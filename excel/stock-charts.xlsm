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20" windowWidth="15180" windowHeight="8070"/>
  </bookViews>
  <sheets>
    <sheet name="Create New" sheetId="288" r:id="rId1"/>
    <sheet name="GOOG|S&amp;P Beta" sheetId="369" r:id="rId2"/>
    <sheet name="GOOG|S&amp;P COR " sheetId="370" r:id="rId3"/>
    <sheet name="GOOG|S&amp;P Stdv" sheetId="371" r:id="rId4"/>
    <sheet name="GOOG|S&amp;P Data" sheetId="368" r:id="rId5"/>
    <sheet name="GOOG" sheetId="289" r:id="rId6"/>
    <sheet name="S&amp;P" sheetId="290" r:id="rId7"/>
  </sheets>
  <calcPr calcId="145621"/>
</workbook>
</file>

<file path=xl/calcChain.xml><?xml version="1.0" encoding="utf-8"?>
<calcChain xmlns="http://schemas.openxmlformats.org/spreadsheetml/2006/main">
  <c r="O157" i="368" l="1"/>
  <c r="N157" i="368"/>
  <c r="P160" i="368"/>
  <c r="Q160" i="368"/>
  <c r="P161" i="368"/>
  <c r="Q161" i="368"/>
  <c r="P162" i="368"/>
  <c r="Q162" i="368"/>
  <c r="P163" i="368"/>
  <c r="Q163" i="368"/>
  <c r="P164" i="368"/>
  <c r="Q164" i="368"/>
  <c r="P165" i="368"/>
  <c r="Q165" i="368"/>
  <c r="P166" i="368"/>
  <c r="Q166" i="368"/>
  <c r="P167" i="368"/>
  <c r="Q167" i="368"/>
  <c r="P168" i="368"/>
  <c r="Q168" i="368"/>
  <c r="P169" i="368"/>
  <c r="Q169" i="368"/>
  <c r="P170" i="368"/>
  <c r="Q170" i="368"/>
  <c r="P171" i="368"/>
  <c r="Q171" i="368"/>
  <c r="P172" i="368"/>
  <c r="Q172" i="368"/>
  <c r="P173" i="368"/>
  <c r="Q173" i="368"/>
  <c r="P174" i="368"/>
  <c r="Q174" i="368"/>
  <c r="P175" i="368"/>
  <c r="Q175" i="368"/>
  <c r="P176" i="368"/>
  <c r="Q176" i="368"/>
  <c r="P177" i="368"/>
  <c r="Q177" i="368"/>
  <c r="P178" i="368"/>
  <c r="Q178" i="368"/>
  <c r="P179" i="368"/>
  <c r="Q179" i="368"/>
  <c r="P180" i="368"/>
  <c r="Q180" i="368"/>
  <c r="P181" i="368"/>
  <c r="Q181" i="368"/>
  <c r="P182" i="368"/>
  <c r="Q182" i="368"/>
  <c r="P183" i="368"/>
  <c r="Q183" i="368"/>
  <c r="P184" i="368"/>
  <c r="Q184" i="368"/>
  <c r="P185" i="368"/>
  <c r="Q185" i="368"/>
  <c r="P186" i="368"/>
  <c r="Q186" i="368"/>
  <c r="P187" i="368"/>
  <c r="Q187" i="368"/>
  <c r="P188" i="368"/>
  <c r="Q188" i="368"/>
  <c r="P189" i="368"/>
  <c r="Q189" i="368"/>
  <c r="P190" i="368"/>
  <c r="Q190" i="368"/>
  <c r="P191" i="368"/>
  <c r="Q191" i="368"/>
  <c r="P192" i="368"/>
  <c r="Q192" i="368"/>
  <c r="P193" i="368"/>
  <c r="Q193" i="368"/>
  <c r="P194" i="368"/>
  <c r="Q194" i="368"/>
  <c r="P195" i="368"/>
  <c r="Q195" i="368"/>
  <c r="P196" i="368"/>
  <c r="Q196" i="368"/>
  <c r="P197" i="368"/>
  <c r="Q197" i="368"/>
  <c r="P198" i="368"/>
  <c r="Q198" i="368"/>
  <c r="P199" i="368"/>
  <c r="Q199" i="368"/>
  <c r="P200" i="368"/>
  <c r="Q200" i="368"/>
  <c r="P201" i="368"/>
  <c r="Q201" i="368"/>
  <c r="P202" i="368"/>
  <c r="Q202" i="368"/>
  <c r="P203" i="368"/>
  <c r="Q203" i="368"/>
  <c r="P204" i="368"/>
  <c r="Q204" i="368"/>
  <c r="P205" i="368"/>
  <c r="Q205" i="368"/>
  <c r="P206" i="368"/>
  <c r="Q206" i="368"/>
  <c r="P207" i="368"/>
  <c r="Q207" i="368"/>
  <c r="P208" i="368"/>
  <c r="Q208" i="368"/>
  <c r="P209" i="368"/>
  <c r="Q209" i="368"/>
  <c r="P210" i="368"/>
  <c r="Q210" i="368"/>
  <c r="P211" i="368"/>
  <c r="Q211" i="368"/>
  <c r="P212" i="368"/>
  <c r="Q212" i="368"/>
  <c r="P213" i="368"/>
  <c r="Q213" i="368"/>
  <c r="P214" i="368"/>
  <c r="Q214" i="368"/>
  <c r="P215" i="368"/>
  <c r="Q215" i="368"/>
  <c r="P216" i="368"/>
  <c r="Q216" i="368"/>
  <c r="P217" i="368"/>
  <c r="Q217" i="368"/>
  <c r="P218" i="368"/>
  <c r="Q218" i="368"/>
  <c r="P219" i="368"/>
  <c r="Q219" i="368"/>
  <c r="P220" i="368"/>
  <c r="Q220" i="368"/>
  <c r="P221" i="368"/>
  <c r="Q221" i="368"/>
  <c r="P222" i="368"/>
  <c r="Q222" i="368"/>
  <c r="P223" i="368"/>
  <c r="Q223" i="368"/>
  <c r="P224" i="368"/>
  <c r="Q224" i="368"/>
  <c r="P225" i="368"/>
  <c r="Q225" i="368"/>
  <c r="P226" i="368"/>
  <c r="Q226" i="368"/>
  <c r="P227" i="368"/>
  <c r="Q227" i="368"/>
  <c r="P228" i="368"/>
  <c r="Q228" i="368"/>
  <c r="P229" i="368"/>
  <c r="Q229" i="368"/>
  <c r="P230" i="368"/>
  <c r="Q230" i="368"/>
  <c r="P231" i="368"/>
  <c r="Q231" i="368"/>
  <c r="P232" i="368"/>
  <c r="Q232" i="368"/>
  <c r="P233" i="368"/>
  <c r="Q233" i="368"/>
  <c r="P234" i="368"/>
  <c r="Q234" i="368"/>
  <c r="P235" i="368"/>
  <c r="Q235" i="368"/>
  <c r="P236" i="368"/>
  <c r="Q236" i="368"/>
  <c r="P237" i="368"/>
  <c r="Q237" i="368"/>
  <c r="P238" i="368"/>
  <c r="Q238" i="368"/>
  <c r="P239" i="368"/>
  <c r="Q239" i="368"/>
  <c r="P240" i="368"/>
  <c r="Q240" i="368"/>
  <c r="P241" i="368"/>
  <c r="Q241" i="368"/>
  <c r="P242" i="368"/>
  <c r="Q242" i="368"/>
  <c r="P243" i="368"/>
  <c r="Q243" i="368"/>
  <c r="P244" i="368"/>
  <c r="Q244" i="368"/>
  <c r="P245" i="368"/>
  <c r="Q245" i="368"/>
  <c r="P246" i="368"/>
  <c r="Q246" i="368"/>
  <c r="P247" i="368"/>
  <c r="Q247" i="368"/>
  <c r="P248" i="368"/>
  <c r="Q248" i="368"/>
  <c r="P249" i="368"/>
  <c r="Q249" i="368"/>
  <c r="P250" i="368"/>
  <c r="Q250" i="368"/>
  <c r="P251" i="368"/>
  <c r="Q251" i="368"/>
  <c r="P252" i="368"/>
  <c r="Q252" i="368"/>
  <c r="P253" i="368"/>
  <c r="Q253" i="368"/>
  <c r="P254" i="368"/>
  <c r="Q254" i="368"/>
  <c r="P255" i="368"/>
  <c r="Q255" i="368"/>
  <c r="P256" i="368"/>
  <c r="Q256" i="368"/>
  <c r="P257" i="368"/>
  <c r="Q257" i="368"/>
  <c r="P258" i="368"/>
  <c r="Q258" i="368"/>
  <c r="P259" i="368"/>
  <c r="Q259" i="368"/>
  <c r="P260" i="368"/>
  <c r="Q260" i="368"/>
  <c r="P261" i="368"/>
  <c r="Q261" i="368"/>
  <c r="P262" i="368"/>
  <c r="Q262" i="368"/>
  <c r="P263" i="368"/>
  <c r="Q263" i="368"/>
  <c r="P264" i="368"/>
  <c r="Q264" i="368"/>
  <c r="P265" i="368"/>
  <c r="Q265" i="368"/>
  <c r="P266" i="368"/>
  <c r="Q266" i="368"/>
  <c r="P267" i="368"/>
  <c r="Q267" i="368"/>
  <c r="P268" i="368"/>
  <c r="Q268" i="368"/>
  <c r="P269" i="368"/>
  <c r="Q269" i="368"/>
  <c r="P270" i="368"/>
  <c r="Q270" i="368"/>
  <c r="P271" i="368"/>
  <c r="Q271" i="368"/>
  <c r="P272" i="368"/>
  <c r="Q272" i="368"/>
  <c r="P273" i="368"/>
  <c r="Q273" i="368"/>
  <c r="P274" i="368"/>
  <c r="Q274" i="368"/>
  <c r="P275" i="368"/>
  <c r="Q275" i="368"/>
  <c r="P276" i="368"/>
  <c r="Q276" i="368"/>
  <c r="P277" i="368"/>
  <c r="Q277" i="368"/>
  <c r="P278" i="368"/>
  <c r="Q278" i="368"/>
  <c r="P279" i="368"/>
  <c r="Q279" i="368"/>
  <c r="P280" i="368"/>
  <c r="Q280" i="368"/>
  <c r="P281" i="368"/>
  <c r="Q281" i="368"/>
  <c r="P282" i="368"/>
  <c r="Q282" i="368"/>
  <c r="P283" i="368"/>
  <c r="Q283" i="368"/>
  <c r="P284" i="368"/>
  <c r="Q284" i="368"/>
  <c r="P285" i="368"/>
  <c r="Q285" i="368"/>
  <c r="P286" i="368"/>
  <c r="Q286" i="368"/>
  <c r="P287" i="368"/>
  <c r="Q287" i="368"/>
  <c r="P288" i="368"/>
  <c r="Q288" i="368"/>
  <c r="P289" i="368"/>
  <c r="Q289" i="368"/>
  <c r="P290" i="368"/>
  <c r="Q290" i="368"/>
  <c r="P291" i="368"/>
  <c r="Q291" i="368"/>
  <c r="P292" i="368"/>
  <c r="Q292" i="368"/>
  <c r="P293" i="368"/>
  <c r="Q293" i="368"/>
  <c r="P294" i="368"/>
  <c r="Q294" i="368"/>
  <c r="P295" i="368"/>
  <c r="Q295" i="368"/>
  <c r="P296" i="368"/>
  <c r="Q296" i="368"/>
  <c r="P297" i="368"/>
  <c r="Q297" i="368"/>
  <c r="P298" i="368"/>
  <c r="Q298" i="368"/>
  <c r="P299" i="368"/>
  <c r="Q299" i="368"/>
  <c r="P300" i="368"/>
  <c r="Q300" i="368"/>
  <c r="P301" i="368"/>
  <c r="Q301" i="368"/>
  <c r="P302" i="368"/>
  <c r="Q302" i="368"/>
  <c r="P303" i="368"/>
  <c r="Q303" i="368"/>
  <c r="P304" i="368"/>
  <c r="Q304" i="368"/>
  <c r="P305" i="368"/>
  <c r="Q305" i="368"/>
  <c r="P306" i="368"/>
  <c r="Q306" i="368"/>
  <c r="P307" i="368"/>
  <c r="Q307" i="368"/>
  <c r="P308" i="368"/>
  <c r="Q308" i="368"/>
  <c r="P309" i="368"/>
  <c r="Q309" i="368"/>
  <c r="P310" i="368"/>
  <c r="Q310" i="368"/>
  <c r="P311" i="368"/>
  <c r="Q311" i="368"/>
  <c r="P312" i="368"/>
  <c r="Q312" i="368"/>
  <c r="P313" i="368"/>
  <c r="Q313" i="368"/>
  <c r="P314" i="368"/>
  <c r="Q314" i="368"/>
  <c r="P315" i="368"/>
  <c r="Q315" i="368"/>
  <c r="P316" i="368"/>
  <c r="Q316" i="368"/>
  <c r="P317" i="368"/>
  <c r="Q317" i="368"/>
  <c r="P318" i="368"/>
  <c r="Q318" i="368"/>
  <c r="P319" i="368"/>
  <c r="Q319" i="368"/>
  <c r="P320" i="368"/>
  <c r="Q320" i="368"/>
  <c r="P321" i="368"/>
  <c r="Q321" i="368"/>
  <c r="P322" i="368"/>
  <c r="Q322" i="368"/>
  <c r="P323" i="368"/>
  <c r="Q323" i="368"/>
  <c r="P324" i="368"/>
  <c r="Q324" i="368"/>
  <c r="P325" i="368"/>
  <c r="Q325" i="368"/>
  <c r="P326" i="368"/>
  <c r="Q326" i="368"/>
  <c r="P327" i="368"/>
  <c r="Q327" i="368"/>
  <c r="P328" i="368"/>
  <c r="Q328" i="368"/>
  <c r="P329" i="368"/>
  <c r="Q329" i="368"/>
  <c r="P330" i="368"/>
  <c r="Q330" i="368"/>
  <c r="P331" i="368"/>
  <c r="Q331" i="368"/>
  <c r="P332" i="368"/>
  <c r="Q332" i="368"/>
  <c r="P333" i="368"/>
  <c r="Q333" i="368"/>
  <c r="P334" i="368"/>
  <c r="Q334" i="368"/>
  <c r="P335" i="368"/>
  <c r="Q335" i="368"/>
  <c r="P336" i="368"/>
  <c r="Q336" i="368"/>
  <c r="P337" i="368"/>
  <c r="Q337" i="368"/>
  <c r="P338" i="368"/>
  <c r="Q338" i="368"/>
  <c r="P339" i="368"/>
  <c r="Q339" i="368"/>
  <c r="P340" i="368"/>
  <c r="Q340" i="368"/>
  <c r="P341" i="368"/>
  <c r="Q341" i="368"/>
  <c r="P342" i="368"/>
  <c r="Q342" i="368"/>
  <c r="P343" i="368"/>
  <c r="Q343" i="368"/>
  <c r="P344" i="368"/>
  <c r="Q344" i="368"/>
  <c r="P345" i="368"/>
  <c r="Q345" i="368"/>
  <c r="P346" i="368"/>
  <c r="Q346" i="368"/>
  <c r="P347" i="368"/>
  <c r="Q347" i="368"/>
  <c r="P348" i="368"/>
  <c r="Q348" i="368"/>
  <c r="P349" i="368"/>
  <c r="Q349" i="368"/>
  <c r="P350" i="368"/>
  <c r="Q350" i="368"/>
  <c r="P351" i="368"/>
  <c r="Q351" i="368"/>
  <c r="P352" i="368"/>
  <c r="Q352" i="368"/>
  <c r="P353" i="368"/>
  <c r="Q353" i="368"/>
  <c r="P354" i="368"/>
  <c r="Q354" i="368"/>
  <c r="P355" i="368"/>
  <c r="Q355" i="368"/>
  <c r="P356" i="368"/>
  <c r="Q356" i="368"/>
  <c r="P357" i="368"/>
  <c r="Q357" i="368"/>
  <c r="P358" i="368"/>
  <c r="Q358" i="368"/>
  <c r="P359" i="368"/>
  <c r="Q359" i="368"/>
  <c r="P360" i="368"/>
  <c r="Q360" i="368"/>
  <c r="P361" i="368"/>
  <c r="Q361" i="368"/>
  <c r="P362" i="368"/>
  <c r="Q362" i="368"/>
  <c r="P363" i="368"/>
  <c r="Q363" i="368"/>
  <c r="P364" i="368"/>
  <c r="Q364" i="368"/>
  <c r="P365" i="368"/>
  <c r="Q365" i="368"/>
  <c r="P366" i="368"/>
  <c r="Q366" i="368"/>
  <c r="P367" i="368"/>
  <c r="Q367" i="368"/>
  <c r="P368" i="368"/>
  <c r="Q368" i="368"/>
  <c r="P369" i="368"/>
  <c r="Q369" i="368"/>
  <c r="P370" i="368"/>
  <c r="Q370" i="368"/>
  <c r="P371" i="368"/>
  <c r="Q371" i="368"/>
  <c r="P372" i="368"/>
  <c r="Q372" i="368"/>
  <c r="P373" i="368"/>
  <c r="Q373" i="368"/>
  <c r="P374" i="368"/>
  <c r="Q374" i="368"/>
  <c r="P375" i="368"/>
  <c r="Q375" i="368"/>
  <c r="P376" i="368"/>
  <c r="Q376" i="368"/>
  <c r="P377" i="368"/>
  <c r="Q377" i="368"/>
  <c r="P378" i="368"/>
  <c r="Q378" i="368"/>
  <c r="P379" i="368"/>
  <c r="Q379" i="368"/>
  <c r="P380" i="368"/>
  <c r="Q380" i="368"/>
  <c r="P381" i="368"/>
  <c r="Q381" i="368"/>
  <c r="P382" i="368"/>
  <c r="Q382" i="368"/>
  <c r="P383" i="368"/>
  <c r="Q383" i="368"/>
  <c r="P384" i="368"/>
  <c r="Q384" i="368"/>
  <c r="Q159" i="368"/>
  <c r="P159" i="368"/>
  <c r="Q158" i="368"/>
  <c r="P158" i="368"/>
  <c r="O160" i="368"/>
  <c r="O161" i="368" s="1"/>
  <c r="O162" i="368" s="1"/>
  <c r="O163" i="368" s="1"/>
  <c r="O164" i="368" s="1"/>
  <c r="O165" i="368" s="1"/>
  <c r="O166" i="368" s="1"/>
  <c r="O167" i="368" s="1"/>
  <c r="O168" i="368" s="1"/>
  <c r="O169" i="368" s="1"/>
  <c r="O170" i="368" s="1"/>
  <c r="O171" i="368" s="1"/>
  <c r="O172" i="368" s="1"/>
  <c r="O173" i="368" s="1"/>
  <c r="O174" i="368" s="1"/>
  <c r="O175" i="368" s="1"/>
  <c r="O176" i="368" s="1"/>
  <c r="O177" i="368" s="1"/>
  <c r="O178" i="368" s="1"/>
  <c r="O179" i="368" s="1"/>
  <c r="O180" i="368" s="1"/>
  <c r="O181" i="368" s="1"/>
  <c r="O182" i="368" s="1"/>
  <c r="O183" i="368" s="1"/>
  <c r="O184" i="368" s="1"/>
  <c r="O185" i="368" s="1"/>
  <c r="O186" i="368" s="1"/>
  <c r="O187" i="368" s="1"/>
  <c r="O188" i="368" s="1"/>
  <c r="O189" i="368" s="1"/>
  <c r="O190" i="368" s="1"/>
  <c r="O191" i="368" s="1"/>
  <c r="O192" i="368" s="1"/>
  <c r="O193" i="368" s="1"/>
  <c r="O194" i="368" s="1"/>
  <c r="O195" i="368" s="1"/>
  <c r="O196" i="368" s="1"/>
  <c r="O197" i="368" s="1"/>
  <c r="O198" i="368" s="1"/>
  <c r="O199" i="368" s="1"/>
  <c r="O200" i="368" s="1"/>
  <c r="O201" i="368" s="1"/>
  <c r="O202" i="368" s="1"/>
  <c r="O203" i="368" s="1"/>
  <c r="O204" i="368" s="1"/>
  <c r="O205" i="368" s="1"/>
  <c r="O206" i="368" s="1"/>
  <c r="O207" i="368" s="1"/>
  <c r="O208" i="368" s="1"/>
  <c r="O209" i="368" s="1"/>
  <c r="O210" i="368" s="1"/>
  <c r="O211" i="368" s="1"/>
  <c r="O212" i="368" s="1"/>
  <c r="O213" i="368" s="1"/>
  <c r="O214" i="368" s="1"/>
  <c r="O215" i="368" s="1"/>
  <c r="O216" i="368" s="1"/>
  <c r="O217" i="368" s="1"/>
  <c r="O218" i="368" s="1"/>
  <c r="O219" i="368" s="1"/>
  <c r="O220" i="368" s="1"/>
  <c r="O221" i="368" s="1"/>
  <c r="O222" i="368" s="1"/>
  <c r="O223" i="368" s="1"/>
  <c r="O224" i="368" s="1"/>
  <c r="O225" i="368" s="1"/>
  <c r="O226" i="368" s="1"/>
  <c r="O227" i="368" s="1"/>
  <c r="O228" i="368" s="1"/>
  <c r="O229" i="368" s="1"/>
  <c r="O230" i="368" s="1"/>
  <c r="O231" i="368" s="1"/>
  <c r="O232" i="368" s="1"/>
  <c r="O233" i="368" s="1"/>
  <c r="O234" i="368" s="1"/>
  <c r="O235" i="368" s="1"/>
  <c r="O236" i="368" s="1"/>
  <c r="O237" i="368" s="1"/>
  <c r="O238" i="368" s="1"/>
  <c r="O239" i="368" s="1"/>
  <c r="O240" i="368" s="1"/>
  <c r="O241" i="368" s="1"/>
  <c r="O242" i="368" s="1"/>
  <c r="O243" i="368" s="1"/>
  <c r="O244" i="368" s="1"/>
  <c r="O245" i="368" s="1"/>
  <c r="O246" i="368" s="1"/>
  <c r="O247" i="368" s="1"/>
  <c r="O248" i="368" s="1"/>
  <c r="O249" i="368" s="1"/>
  <c r="O250" i="368" s="1"/>
  <c r="O251" i="368" s="1"/>
  <c r="O252" i="368" s="1"/>
  <c r="O253" i="368" s="1"/>
  <c r="O254" i="368" s="1"/>
  <c r="O255" i="368" s="1"/>
  <c r="O256" i="368" s="1"/>
  <c r="O257" i="368" s="1"/>
  <c r="O258" i="368" s="1"/>
  <c r="O259" i="368" s="1"/>
  <c r="O260" i="368" s="1"/>
  <c r="O261" i="368" s="1"/>
  <c r="O262" i="368" s="1"/>
  <c r="O263" i="368" s="1"/>
  <c r="O264" i="368" s="1"/>
  <c r="O265" i="368" s="1"/>
  <c r="O266" i="368" s="1"/>
  <c r="O267" i="368" s="1"/>
  <c r="O268" i="368" s="1"/>
  <c r="O269" i="368" s="1"/>
  <c r="O270" i="368" s="1"/>
  <c r="O271" i="368" s="1"/>
  <c r="O272" i="368" s="1"/>
  <c r="O273" i="368" s="1"/>
  <c r="O274" i="368" s="1"/>
  <c r="O275" i="368" s="1"/>
  <c r="O276" i="368" s="1"/>
  <c r="O277" i="368" s="1"/>
  <c r="O278" i="368" s="1"/>
  <c r="O279" i="368" s="1"/>
  <c r="O280" i="368" s="1"/>
  <c r="O281" i="368" s="1"/>
  <c r="O282" i="368" s="1"/>
  <c r="O283" i="368" s="1"/>
  <c r="O284" i="368" s="1"/>
  <c r="O285" i="368" s="1"/>
  <c r="O286" i="368" s="1"/>
  <c r="O287" i="368" s="1"/>
  <c r="O288" i="368" s="1"/>
  <c r="O289" i="368" s="1"/>
  <c r="O290" i="368" s="1"/>
  <c r="O291" i="368" s="1"/>
  <c r="O292" i="368" s="1"/>
  <c r="O293" i="368" s="1"/>
  <c r="O294" i="368" s="1"/>
  <c r="O295" i="368" s="1"/>
  <c r="O296" i="368" s="1"/>
  <c r="O297" i="368" s="1"/>
  <c r="O298" i="368" s="1"/>
  <c r="O299" i="368" s="1"/>
  <c r="O300" i="368" s="1"/>
  <c r="O301" i="368" s="1"/>
  <c r="O302" i="368" s="1"/>
  <c r="O303" i="368" s="1"/>
  <c r="O304" i="368" s="1"/>
  <c r="O305" i="368" s="1"/>
  <c r="O306" i="368" s="1"/>
  <c r="O307" i="368" s="1"/>
  <c r="O308" i="368" s="1"/>
  <c r="O309" i="368" s="1"/>
  <c r="O310" i="368" s="1"/>
  <c r="O311" i="368" s="1"/>
  <c r="O312" i="368" s="1"/>
  <c r="O313" i="368" s="1"/>
  <c r="O314" i="368" s="1"/>
  <c r="O315" i="368" s="1"/>
  <c r="O316" i="368" s="1"/>
  <c r="O317" i="368" s="1"/>
  <c r="O318" i="368" s="1"/>
  <c r="O319" i="368" s="1"/>
  <c r="O320" i="368" s="1"/>
  <c r="O321" i="368" s="1"/>
  <c r="O322" i="368" s="1"/>
  <c r="O323" i="368" s="1"/>
  <c r="O324" i="368" s="1"/>
  <c r="O325" i="368" s="1"/>
  <c r="O326" i="368" s="1"/>
  <c r="O327" i="368" s="1"/>
  <c r="O328" i="368" s="1"/>
  <c r="O329" i="368" s="1"/>
  <c r="O330" i="368" s="1"/>
  <c r="O331" i="368" s="1"/>
  <c r="O332" i="368" s="1"/>
  <c r="O333" i="368" s="1"/>
  <c r="O334" i="368" s="1"/>
  <c r="O335" i="368" s="1"/>
  <c r="O336" i="368" s="1"/>
  <c r="O337" i="368" s="1"/>
  <c r="O338" i="368" s="1"/>
  <c r="O339" i="368" s="1"/>
  <c r="O340" i="368" s="1"/>
  <c r="O341" i="368" s="1"/>
  <c r="O342" i="368" s="1"/>
  <c r="O343" i="368" s="1"/>
  <c r="O344" i="368" s="1"/>
  <c r="O345" i="368" s="1"/>
  <c r="O346" i="368" s="1"/>
  <c r="O347" i="368" s="1"/>
  <c r="O348" i="368" s="1"/>
  <c r="O349" i="368" s="1"/>
  <c r="O350" i="368" s="1"/>
  <c r="O351" i="368" s="1"/>
  <c r="O352" i="368" s="1"/>
  <c r="O353" i="368" s="1"/>
  <c r="O354" i="368" s="1"/>
  <c r="O355" i="368" s="1"/>
  <c r="O356" i="368" s="1"/>
  <c r="O357" i="368" s="1"/>
  <c r="O358" i="368" s="1"/>
  <c r="O359" i="368" s="1"/>
  <c r="O360" i="368" s="1"/>
  <c r="O361" i="368" s="1"/>
  <c r="O362" i="368" s="1"/>
  <c r="O363" i="368" s="1"/>
  <c r="O364" i="368" s="1"/>
  <c r="O365" i="368" s="1"/>
  <c r="O366" i="368" s="1"/>
  <c r="O367" i="368" s="1"/>
  <c r="O368" i="368" s="1"/>
  <c r="O369" i="368" s="1"/>
  <c r="O370" i="368" s="1"/>
  <c r="O371" i="368" s="1"/>
  <c r="O372" i="368" s="1"/>
  <c r="O373" i="368" s="1"/>
  <c r="O374" i="368" s="1"/>
  <c r="O375" i="368" s="1"/>
  <c r="O376" i="368" s="1"/>
  <c r="O377" i="368" s="1"/>
  <c r="O378" i="368" s="1"/>
  <c r="O379" i="368" s="1"/>
  <c r="O380" i="368" s="1"/>
  <c r="O381" i="368" s="1"/>
  <c r="O382" i="368" s="1"/>
  <c r="O383" i="368" s="1"/>
  <c r="O384" i="368" s="1"/>
  <c r="N159" i="368"/>
  <c r="N160" i="368"/>
  <c r="N161" i="368"/>
  <c r="N162" i="368"/>
  <c r="N163" i="368"/>
  <c r="N164" i="368"/>
  <c r="N165" i="368"/>
  <c r="N166" i="368"/>
  <c r="N167" i="368"/>
  <c r="N168" i="368"/>
  <c r="N169" i="368"/>
  <c r="N170" i="368"/>
  <c r="N171" i="368"/>
  <c r="N172" i="368"/>
  <c r="N173" i="368"/>
  <c r="N174" i="368"/>
  <c r="N175" i="368"/>
  <c r="N176" i="368"/>
  <c r="N177" i="368"/>
  <c r="N178" i="368"/>
  <c r="N179" i="368"/>
  <c r="N180" i="368"/>
  <c r="N181" i="368"/>
  <c r="N182" i="368"/>
  <c r="N183" i="368"/>
  <c r="N184" i="368"/>
  <c r="N185" i="368"/>
  <c r="N186" i="368"/>
  <c r="N187" i="368"/>
  <c r="N188" i="368"/>
  <c r="N189" i="368"/>
  <c r="N190" i="368"/>
  <c r="N191" i="368"/>
  <c r="N192" i="368"/>
  <c r="N193" i="368"/>
  <c r="N194" i="368"/>
  <c r="N195" i="368"/>
  <c r="N196" i="368"/>
  <c r="N197" i="368"/>
  <c r="N198" i="368"/>
  <c r="N199" i="368"/>
  <c r="N200" i="368"/>
  <c r="N201" i="368"/>
  <c r="N202" i="368"/>
  <c r="N203" i="368"/>
  <c r="N204" i="368"/>
  <c r="N205" i="368"/>
  <c r="N206" i="368"/>
  <c r="N207" i="368"/>
  <c r="N208" i="368"/>
  <c r="N209" i="368"/>
  <c r="N210" i="368"/>
  <c r="N211" i="368"/>
  <c r="N212" i="368"/>
  <c r="N213" i="368"/>
  <c r="N214" i="368"/>
  <c r="N215" i="368"/>
  <c r="N216" i="368"/>
  <c r="N217" i="368"/>
  <c r="N218" i="368"/>
  <c r="N219" i="368"/>
  <c r="N220" i="368"/>
  <c r="N221" i="368"/>
  <c r="N222" i="368"/>
  <c r="N223" i="368"/>
  <c r="N224" i="368"/>
  <c r="N225" i="368"/>
  <c r="N226" i="368"/>
  <c r="N227" i="368"/>
  <c r="N228" i="368"/>
  <c r="N229" i="368"/>
  <c r="N230" i="368"/>
  <c r="N231" i="368"/>
  <c r="N232" i="368"/>
  <c r="N233" i="368"/>
  <c r="N234" i="368"/>
  <c r="N235" i="368"/>
  <c r="N236" i="368"/>
  <c r="N237" i="368"/>
  <c r="N238" i="368"/>
  <c r="N239" i="368"/>
  <c r="N240" i="368"/>
  <c r="N241" i="368"/>
  <c r="N242" i="368"/>
  <c r="N243" i="368"/>
  <c r="N244" i="368"/>
  <c r="N245" i="368"/>
  <c r="N246" i="368"/>
  <c r="N247" i="368"/>
  <c r="N248" i="368"/>
  <c r="N249" i="368"/>
  <c r="N250" i="368"/>
  <c r="N251" i="368"/>
  <c r="N252" i="368"/>
  <c r="N253" i="368"/>
  <c r="N254" i="368"/>
  <c r="N255" i="368"/>
  <c r="N256" i="368"/>
  <c r="N257" i="368"/>
  <c r="N258" i="368"/>
  <c r="N259" i="368"/>
  <c r="N260" i="368"/>
  <c r="N261" i="368"/>
  <c r="N262" i="368"/>
  <c r="N263" i="368"/>
  <c r="N264" i="368"/>
  <c r="N265" i="368"/>
  <c r="N266" i="368"/>
  <c r="N267" i="368"/>
  <c r="N268" i="368"/>
  <c r="N269" i="368"/>
  <c r="N270" i="368"/>
  <c r="N271" i="368"/>
  <c r="N272" i="368"/>
  <c r="N273" i="368"/>
  <c r="N274" i="368"/>
  <c r="N275" i="368"/>
  <c r="N276" i="368"/>
  <c r="N277" i="368"/>
  <c r="N278" i="368"/>
  <c r="N279" i="368"/>
  <c r="N280" i="368"/>
  <c r="N281" i="368"/>
  <c r="N282" i="368"/>
  <c r="N283" i="368"/>
  <c r="N284" i="368"/>
  <c r="N285" i="368"/>
  <c r="N286" i="368"/>
  <c r="N287" i="368"/>
  <c r="N288" i="368"/>
  <c r="N289" i="368"/>
  <c r="N290" i="368"/>
  <c r="N291" i="368"/>
  <c r="N292" i="368"/>
  <c r="N293" i="368"/>
  <c r="N294" i="368"/>
  <c r="N295" i="368"/>
  <c r="N296" i="368"/>
  <c r="N297" i="368"/>
  <c r="N298" i="368"/>
  <c r="N299" i="368"/>
  <c r="N300" i="368"/>
  <c r="N301" i="368"/>
  <c r="N302" i="368"/>
  <c r="N303" i="368"/>
  <c r="N304" i="368"/>
  <c r="N305" i="368"/>
  <c r="N306" i="368"/>
  <c r="N307" i="368"/>
  <c r="N308" i="368"/>
  <c r="N309" i="368"/>
  <c r="N310" i="368"/>
  <c r="N311" i="368"/>
  <c r="N312" i="368"/>
  <c r="N313" i="368"/>
  <c r="N314" i="368"/>
  <c r="N315" i="368"/>
  <c r="N316" i="368"/>
  <c r="N317" i="368"/>
  <c r="N318" i="368"/>
  <c r="N319" i="368"/>
  <c r="N320" i="368"/>
  <c r="N321" i="368"/>
  <c r="N322" i="368"/>
  <c r="N323" i="368"/>
  <c r="N324" i="368"/>
  <c r="N325" i="368"/>
  <c r="N326" i="368"/>
  <c r="N327" i="368"/>
  <c r="N328" i="368"/>
  <c r="N329" i="368"/>
  <c r="N330" i="368"/>
  <c r="N331" i="368"/>
  <c r="N332" i="368"/>
  <c r="N333" i="368"/>
  <c r="N334" i="368"/>
  <c r="N335" i="368"/>
  <c r="N336" i="368"/>
  <c r="N337" i="368"/>
  <c r="N338" i="368"/>
  <c r="N339" i="368"/>
  <c r="N340" i="368"/>
  <c r="N341" i="368"/>
  <c r="N342" i="368"/>
  <c r="N343" i="368"/>
  <c r="N344" i="368"/>
  <c r="N345" i="368"/>
  <c r="N346" i="368"/>
  <c r="N347" i="368"/>
  <c r="N348" i="368"/>
  <c r="N349" i="368"/>
  <c r="N350" i="368"/>
  <c r="N351" i="368"/>
  <c r="N352" i="368"/>
  <c r="N353" i="368"/>
  <c r="N354" i="368"/>
  <c r="N355" i="368"/>
  <c r="N356" i="368"/>
  <c r="N357" i="368"/>
  <c r="N358" i="368"/>
  <c r="N359" i="368"/>
  <c r="N360" i="368"/>
  <c r="N361" i="368"/>
  <c r="N362" i="368"/>
  <c r="N363" i="368"/>
  <c r="N364" i="368"/>
  <c r="N365" i="368"/>
  <c r="N366" i="368"/>
  <c r="N367" i="368"/>
  <c r="N368" i="368"/>
  <c r="N369" i="368"/>
  <c r="N370" i="368"/>
  <c r="N371" i="368"/>
  <c r="N372" i="368"/>
  <c r="N373" i="368"/>
  <c r="N374" i="368"/>
  <c r="N375" i="368"/>
  <c r="N376" i="368"/>
  <c r="N377" i="368"/>
  <c r="N378" i="368"/>
  <c r="N379" i="368"/>
  <c r="N380" i="368"/>
  <c r="N381" i="368"/>
  <c r="N382" i="368"/>
  <c r="N383" i="368"/>
  <c r="N384" i="368"/>
  <c r="O159" i="368"/>
  <c r="O158" i="368"/>
  <c r="N158" i="368"/>
  <c r="K157" i="368"/>
  <c r="J157" i="368"/>
  <c r="L160" i="368"/>
  <c r="M160" i="368"/>
  <c r="L161" i="368"/>
  <c r="M161" i="368"/>
  <c r="L162" i="368"/>
  <c r="M162" i="368"/>
  <c r="L163" i="368"/>
  <c r="M163" i="368"/>
  <c r="L164" i="368"/>
  <c r="M164" i="368"/>
  <c r="L165" i="368"/>
  <c r="M165" i="368"/>
  <c r="L166" i="368"/>
  <c r="M166" i="368"/>
  <c r="L167" i="368"/>
  <c r="M167" i="368"/>
  <c r="L168" i="368"/>
  <c r="M168" i="368"/>
  <c r="L169" i="368"/>
  <c r="M169" i="368"/>
  <c r="L170" i="368"/>
  <c r="M170" i="368"/>
  <c r="L171" i="368"/>
  <c r="M171" i="368"/>
  <c r="L172" i="368"/>
  <c r="M172" i="368"/>
  <c r="L173" i="368"/>
  <c r="M173" i="368"/>
  <c r="L174" i="368"/>
  <c r="M174" i="368"/>
  <c r="L175" i="368"/>
  <c r="M175" i="368"/>
  <c r="L176" i="368"/>
  <c r="M176" i="368"/>
  <c r="L177" i="368"/>
  <c r="M177" i="368"/>
  <c r="L178" i="368"/>
  <c r="M178" i="368"/>
  <c r="L179" i="368"/>
  <c r="M179" i="368"/>
  <c r="L180" i="368"/>
  <c r="M180" i="368"/>
  <c r="L181" i="368"/>
  <c r="M181" i="368"/>
  <c r="L182" i="368"/>
  <c r="M182" i="368"/>
  <c r="L183" i="368"/>
  <c r="M183" i="368"/>
  <c r="L184" i="368"/>
  <c r="M184" i="368"/>
  <c r="L185" i="368"/>
  <c r="M185" i="368"/>
  <c r="L186" i="368"/>
  <c r="M186" i="368"/>
  <c r="L187" i="368"/>
  <c r="M187" i="368"/>
  <c r="L188" i="368"/>
  <c r="M188" i="368"/>
  <c r="L189" i="368"/>
  <c r="M189" i="368"/>
  <c r="L190" i="368"/>
  <c r="M190" i="368"/>
  <c r="L191" i="368"/>
  <c r="M191" i="368"/>
  <c r="L192" i="368"/>
  <c r="M192" i="368"/>
  <c r="L193" i="368"/>
  <c r="M193" i="368"/>
  <c r="L194" i="368"/>
  <c r="M194" i="368"/>
  <c r="L195" i="368"/>
  <c r="M195" i="368"/>
  <c r="L196" i="368"/>
  <c r="M196" i="368"/>
  <c r="L197" i="368"/>
  <c r="M197" i="368"/>
  <c r="L198" i="368"/>
  <c r="M198" i="368"/>
  <c r="L199" i="368"/>
  <c r="M199" i="368"/>
  <c r="L200" i="368"/>
  <c r="M200" i="368"/>
  <c r="L201" i="368"/>
  <c r="M201" i="368"/>
  <c r="L202" i="368"/>
  <c r="M202" i="368"/>
  <c r="L203" i="368"/>
  <c r="M203" i="368"/>
  <c r="L204" i="368"/>
  <c r="M204" i="368"/>
  <c r="L205" i="368"/>
  <c r="M205" i="368"/>
  <c r="L206" i="368"/>
  <c r="M206" i="368"/>
  <c r="L207" i="368"/>
  <c r="M207" i="368"/>
  <c r="L208" i="368"/>
  <c r="M208" i="368"/>
  <c r="L209" i="368"/>
  <c r="M209" i="368"/>
  <c r="L210" i="368"/>
  <c r="M210" i="368"/>
  <c r="L211" i="368"/>
  <c r="M211" i="368"/>
  <c r="L212" i="368"/>
  <c r="M212" i="368"/>
  <c r="L213" i="368"/>
  <c r="M213" i="368"/>
  <c r="L214" i="368"/>
  <c r="M214" i="368"/>
  <c r="L215" i="368"/>
  <c r="M215" i="368"/>
  <c r="L216" i="368"/>
  <c r="M216" i="368"/>
  <c r="L217" i="368"/>
  <c r="M217" i="368"/>
  <c r="L218" i="368"/>
  <c r="M218" i="368"/>
  <c r="L219" i="368"/>
  <c r="M219" i="368"/>
  <c r="L220" i="368"/>
  <c r="M220" i="368"/>
  <c r="L221" i="368"/>
  <c r="M221" i="368"/>
  <c r="L222" i="368"/>
  <c r="M222" i="368"/>
  <c r="L223" i="368"/>
  <c r="M223" i="368"/>
  <c r="L224" i="368"/>
  <c r="M224" i="368"/>
  <c r="L225" i="368"/>
  <c r="M225" i="368"/>
  <c r="L226" i="368"/>
  <c r="M226" i="368"/>
  <c r="L227" i="368"/>
  <c r="M227" i="368"/>
  <c r="L228" i="368"/>
  <c r="M228" i="368"/>
  <c r="L229" i="368"/>
  <c r="M229" i="368"/>
  <c r="L230" i="368"/>
  <c r="M230" i="368"/>
  <c r="L231" i="368"/>
  <c r="M231" i="368"/>
  <c r="L232" i="368"/>
  <c r="M232" i="368"/>
  <c r="L233" i="368"/>
  <c r="M233" i="368"/>
  <c r="L234" i="368"/>
  <c r="M234" i="368"/>
  <c r="L235" i="368"/>
  <c r="M235" i="368"/>
  <c r="L236" i="368"/>
  <c r="M236" i="368"/>
  <c r="L237" i="368"/>
  <c r="M237" i="368"/>
  <c r="L238" i="368"/>
  <c r="M238" i="368"/>
  <c r="L239" i="368"/>
  <c r="M239" i="368"/>
  <c r="L240" i="368"/>
  <c r="M240" i="368"/>
  <c r="L241" i="368"/>
  <c r="M241" i="368"/>
  <c r="L242" i="368"/>
  <c r="M242" i="368"/>
  <c r="L243" i="368"/>
  <c r="M243" i="368"/>
  <c r="L244" i="368"/>
  <c r="M244" i="368"/>
  <c r="L245" i="368"/>
  <c r="M245" i="368"/>
  <c r="L246" i="368"/>
  <c r="M246" i="368"/>
  <c r="L247" i="368"/>
  <c r="M247" i="368"/>
  <c r="L248" i="368"/>
  <c r="M248" i="368"/>
  <c r="L249" i="368"/>
  <c r="M249" i="368"/>
  <c r="L250" i="368"/>
  <c r="M250" i="368"/>
  <c r="L251" i="368"/>
  <c r="M251" i="368"/>
  <c r="L252" i="368"/>
  <c r="M252" i="368"/>
  <c r="L253" i="368"/>
  <c r="M253" i="368"/>
  <c r="L254" i="368"/>
  <c r="M254" i="368"/>
  <c r="L255" i="368"/>
  <c r="M255" i="368"/>
  <c r="L256" i="368"/>
  <c r="M256" i="368"/>
  <c r="L257" i="368"/>
  <c r="M257" i="368"/>
  <c r="L258" i="368"/>
  <c r="M258" i="368"/>
  <c r="L259" i="368"/>
  <c r="M259" i="368"/>
  <c r="L260" i="368"/>
  <c r="M260" i="368"/>
  <c r="L261" i="368"/>
  <c r="M261" i="368"/>
  <c r="L262" i="368"/>
  <c r="M262" i="368"/>
  <c r="L263" i="368"/>
  <c r="M263" i="368"/>
  <c r="L264" i="368"/>
  <c r="M264" i="368"/>
  <c r="L265" i="368"/>
  <c r="M265" i="368"/>
  <c r="L266" i="368"/>
  <c r="M266" i="368"/>
  <c r="L267" i="368"/>
  <c r="M267" i="368"/>
  <c r="L268" i="368"/>
  <c r="M268" i="368"/>
  <c r="L269" i="368"/>
  <c r="M269" i="368"/>
  <c r="L270" i="368"/>
  <c r="M270" i="368"/>
  <c r="L271" i="368"/>
  <c r="M271" i="368"/>
  <c r="L272" i="368"/>
  <c r="M272" i="368"/>
  <c r="L273" i="368"/>
  <c r="M273" i="368"/>
  <c r="L274" i="368"/>
  <c r="M274" i="368"/>
  <c r="L275" i="368"/>
  <c r="M275" i="368"/>
  <c r="L276" i="368"/>
  <c r="M276" i="368"/>
  <c r="L277" i="368"/>
  <c r="M277" i="368"/>
  <c r="L278" i="368"/>
  <c r="M278" i="368"/>
  <c r="L279" i="368"/>
  <c r="M279" i="368"/>
  <c r="L280" i="368"/>
  <c r="M280" i="368"/>
  <c r="L281" i="368"/>
  <c r="M281" i="368"/>
  <c r="L282" i="368"/>
  <c r="M282" i="368"/>
  <c r="L283" i="368"/>
  <c r="M283" i="368"/>
  <c r="L284" i="368"/>
  <c r="M284" i="368"/>
  <c r="L285" i="368"/>
  <c r="M285" i="368"/>
  <c r="L286" i="368"/>
  <c r="M286" i="368"/>
  <c r="L287" i="368"/>
  <c r="M287" i="368"/>
  <c r="L288" i="368"/>
  <c r="M288" i="368"/>
  <c r="L289" i="368"/>
  <c r="M289" i="368"/>
  <c r="L290" i="368"/>
  <c r="M290" i="368"/>
  <c r="L291" i="368"/>
  <c r="M291" i="368"/>
  <c r="L292" i="368"/>
  <c r="M292" i="368"/>
  <c r="L293" i="368"/>
  <c r="M293" i="368"/>
  <c r="L294" i="368"/>
  <c r="M294" i="368"/>
  <c r="L295" i="368"/>
  <c r="M295" i="368"/>
  <c r="L296" i="368"/>
  <c r="M296" i="368"/>
  <c r="L297" i="368"/>
  <c r="M297" i="368"/>
  <c r="L298" i="368"/>
  <c r="M298" i="368"/>
  <c r="L299" i="368"/>
  <c r="M299" i="368"/>
  <c r="L300" i="368"/>
  <c r="M300" i="368"/>
  <c r="L301" i="368"/>
  <c r="M301" i="368"/>
  <c r="L302" i="368"/>
  <c r="M302" i="368"/>
  <c r="L303" i="368"/>
  <c r="M303" i="368"/>
  <c r="L304" i="368"/>
  <c r="M304" i="368"/>
  <c r="L305" i="368"/>
  <c r="M305" i="368"/>
  <c r="L306" i="368"/>
  <c r="M306" i="368"/>
  <c r="L307" i="368"/>
  <c r="M307" i="368"/>
  <c r="L308" i="368"/>
  <c r="M308" i="368"/>
  <c r="L309" i="368"/>
  <c r="M309" i="368"/>
  <c r="L310" i="368"/>
  <c r="M310" i="368"/>
  <c r="L311" i="368"/>
  <c r="M311" i="368"/>
  <c r="L312" i="368"/>
  <c r="M312" i="368"/>
  <c r="L313" i="368"/>
  <c r="M313" i="368"/>
  <c r="L314" i="368"/>
  <c r="M314" i="368"/>
  <c r="L315" i="368"/>
  <c r="M315" i="368"/>
  <c r="L316" i="368"/>
  <c r="M316" i="368"/>
  <c r="L317" i="368"/>
  <c r="M317" i="368"/>
  <c r="L318" i="368"/>
  <c r="M318" i="368"/>
  <c r="L319" i="368"/>
  <c r="M319" i="368"/>
  <c r="L320" i="368"/>
  <c r="M320" i="368"/>
  <c r="L321" i="368"/>
  <c r="M321" i="368"/>
  <c r="L322" i="368"/>
  <c r="M322" i="368"/>
  <c r="L323" i="368"/>
  <c r="M323" i="368"/>
  <c r="L324" i="368"/>
  <c r="M324" i="368"/>
  <c r="L325" i="368"/>
  <c r="M325" i="368"/>
  <c r="L326" i="368"/>
  <c r="M326" i="368"/>
  <c r="L327" i="368"/>
  <c r="M327" i="368"/>
  <c r="L328" i="368"/>
  <c r="M328" i="368"/>
  <c r="L329" i="368"/>
  <c r="M329" i="368"/>
  <c r="L330" i="368"/>
  <c r="M330" i="368"/>
  <c r="L331" i="368"/>
  <c r="M331" i="368"/>
  <c r="L332" i="368"/>
  <c r="M332" i="368"/>
  <c r="L333" i="368"/>
  <c r="M333" i="368"/>
  <c r="L334" i="368"/>
  <c r="M334" i="368"/>
  <c r="L335" i="368"/>
  <c r="M335" i="368"/>
  <c r="L336" i="368"/>
  <c r="M336" i="368"/>
  <c r="L337" i="368"/>
  <c r="M337" i="368"/>
  <c r="L338" i="368"/>
  <c r="M338" i="368"/>
  <c r="L339" i="368"/>
  <c r="M339" i="368"/>
  <c r="L340" i="368"/>
  <c r="M340" i="368"/>
  <c r="L341" i="368"/>
  <c r="M341" i="368"/>
  <c r="L342" i="368"/>
  <c r="M342" i="368"/>
  <c r="L343" i="368"/>
  <c r="M343" i="368"/>
  <c r="L344" i="368"/>
  <c r="M344" i="368"/>
  <c r="L345" i="368"/>
  <c r="M345" i="368"/>
  <c r="L346" i="368"/>
  <c r="M346" i="368"/>
  <c r="L347" i="368"/>
  <c r="M347" i="368"/>
  <c r="L348" i="368"/>
  <c r="M348" i="368"/>
  <c r="L349" i="368"/>
  <c r="M349" i="368"/>
  <c r="L350" i="368"/>
  <c r="M350" i="368"/>
  <c r="L351" i="368"/>
  <c r="M351" i="368"/>
  <c r="L352" i="368"/>
  <c r="M352" i="368"/>
  <c r="L353" i="368"/>
  <c r="M353" i="368"/>
  <c r="L354" i="368"/>
  <c r="M354" i="368"/>
  <c r="L355" i="368"/>
  <c r="M355" i="368"/>
  <c r="L356" i="368"/>
  <c r="M356" i="368"/>
  <c r="L357" i="368"/>
  <c r="M357" i="368"/>
  <c r="L358" i="368"/>
  <c r="M358" i="368"/>
  <c r="L359" i="368"/>
  <c r="M359" i="368"/>
  <c r="L360" i="368"/>
  <c r="M360" i="368"/>
  <c r="L361" i="368"/>
  <c r="M361" i="368"/>
  <c r="L362" i="368"/>
  <c r="M362" i="368"/>
  <c r="L363" i="368"/>
  <c r="M363" i="368"/>
  <c r="L364" i="368"/>
  <c r="M364" i="368"/>
  <c r="L365" i="368"/>
  <c r="M365" i="368"/>
  <c r="L366" i="368"/>
  <c r="M366" i="368"/>
  <c r="L367" i="368"/>
  <c r="M367" i="368"/>
  <c r="L368" i="368"/>
  <c r="M368" i="368"/>
  <c r="L369" i="368"/>
  <c r="M369" i="368"/>
  <c r="L370" i="368"/>
  <c r="M370" i="368"/>
  <c r="L371" i="368"/>
  <c r="M371" i="368"/>
  <c r="L372" i="368"/>
  <c r="M372" i="368"/>
  <c r="L373" i="368"/>
  <c r="M373" i="368"/>
  <c r="L374" i="368"/>
  <c r="M374" i="368"/>
  <c r="L375" i="368"/>
  <c r="M375" i="368"/>
  <c r="L376" i="368"/>
  <c r="M376" i="368"/>
  <c r="L377" i="368"/>
  <c r="M377" i="368"/>
  <c r="L378" i="368"/>
  <c r="M378" i="368"/>
  <c r="L379" i="368"/>
  <c r="M379" i="368"/>
  <c r="L380" i="368"/>
  <c r="M380" i="368"/>
  <c r="L381" i="368"/>
  <c r="M381" i="368"/>
  <c r="L382" i="368"/>
  <c r="M382" i="368"/>
  <c r="L383" i="368"/>
  <c r="M383" i="368"/>
  <c r="L384" i="368"/>
  <c r="M384" i="368"/>
  <c r="M159" i="368"/>
  <c r="L159" i="368"/>
  <c r="M158" i="368"/>
  <c r="L158" i="368"/>
  <c r="K160" i="368"/>
  <c r="K161" i="368" s="1"/>
  <c r="K162" i="368" s="1"/>
  <c r="K163" i="368" s="1"/>
  <c r="K164" i="368" s="1"/>
  <c r="K165" i="368" s="1"/>
  <c r="K166" i="368" s="1"/>
  <c r="K167" i="368" s="1"/>
  <c r="K168" i="368" s="1"/>
  <c r="K169" i="368" s="1"/>
  <c r="K170" i="368" s="1"/>
  <c r="K171" i="368" s="1"/>
  <c r="K172" i="368" s="1"/>
  <c r="K173" i="368" s="1"/>
  <c r="K174" i="368" s="1"/>
  <c r="K175" i="368" s="1"/>
  <c r="K176" i="368" s="1"/>
  <c r="K177" i="368" s="1"/>
  <c r="K178" i="368" s="1"/>
  <c r="K179" i="368" s="1"/>
  <c r="K180" i="368" s="1"/>
  <c r="K181" i="368" s="1"/>
  <c r="K182" i="368" s="1"/>
  <c r="K183" i="368" s="1"/>
  <c r="K184" i="368" s="1"/>
  <c r="K185" i="368" s="1"/>
  <c r="K186" i="368" s="1"/>
  <c r="K187" i="368" s="1"/>
  <c r="K188" i="368" s="1"/>
  <c r="K189" i="368" s="1"/>
  <c r="K190" i="368" s="1"/>
  <c r="K191" i="368" s="1"/>
  <c r="K192" i="368" s="1"/>
  <c r="K193" i="368" s="1"/>
  <c r="K194" i="368" s="1"/>
  <c r="K195" i="368" s="1"/>
  <c r="K196" i="368" s="1"/>
  <c r="K197" i="368" s="1"/>
  <c r="K198" i="368" s="1"/>
  <c r="K199" i="368" s="1"/>
  <c r="K200" i="368" s="1"/>
  <c r="K201" i="368" s="1"/>
  <c r="K202" i="368" s="1"/>
  <c r="K203" i="368" s="1"/>
  <c r="K204" i="368" s="1"/>
  <c r="K205" i="368" s="1"/>
  <c r="K206" i="368" s="1"/>
  <c r="K207" i="368" s="1"/>
  <c r="K208" i="368" s="1"/>
  <c r="K209" i="368" s="1"/>
  <c r="K210" i="368" s="1"/>
  <c r="K211" i="368" s="1"/>
  <c r="K212" i="368" s="1"/>
  <c r="K213" i="368" s="1"/>
  <c r="K214" i="368" s="1"/>
  <c r="K215" i="368" s="1"/>
  <c r="K216" i="368" s="1"/>
  <c r="K217" i="368" s="1"/>
  <c r="K218" i="368" s="1"/>
  <c r="K219" i="368" s="1"/>
  <c r="K220" i="368" s="1"/>
  <c r="K221" i="368" s="1"/>
  <c r="K222" i="368" s="1"/>
  <c r="K223" i="368" s="1"/>
  <c r="K224" i="368" s="1"/>
  <c r="K225" i="368" s="1"/>
  <c r="K226" i="368" s="1"/>
  <c r="K227" i="368" s="1"/>
  <c r="K228" i="368" s="1"/>
  <c r="K229" i="368" s="1"/>
  <c r="K230" i="368" s="1"/>
  <c r="K231" i="368" s="1"/>
  <c r="K232" i="368" s="1"/>
  <c r="K233" i="368" s="1"/>
  <c r="K234" i="368" s="1"/>
  <c r="K235" i="368" s="1"/>
  <c r="K236" i="368" s="1"/>
  <c r="K237" i="368" s="1"/>
  <c r="K238" i="368" s="1"/>
  <c r="K239" i="368" s="1"/>
  <c r="K240" i="368" s="1"/>
  <c r="K241" i="368" s="1"/>
  <c r="K242" i="368" s="1"/>
  <c r="K243" i="368" s="1"/>
  <c r="K244" i="368" s="1"/>
  <c r="K245" i="368" s="1"/>
  <c r="K246" i="368" s="1"/>
  <c r="K247" i="368" s="1"/>
  <c r="K248" i="368" s="1"/>
  <c r="K249" i="368" s="1"/>
  <c r="K250" i="368" s="1"/>
  <c r="K251" i="368" s="1"/>
  <c r="K252" i="368" s="1"/>
  <c r="K253" i="368" s="1"/>
  <c r="K254" i="368" s="1"/>
  <c r="K255" i="368" s="1"/>
  <c r="K256" i="368" s="1"/>
  <c r="K257" i="368" s="1"/>
  <c r="K258" i="368" s="1"/>
  <c r="K259" i="368" s="1"/>
  <c r="K260" i="368" s="1"/>
  <c r="K261" i="368" s="1"/>
  <c r="K262" i="368" s="1"/>
  <c r="K263" i="368" s="1"/>
  <c r="K264" i="368" s="1"/>
  <c r="K265" i="368" s="1"/>
  <c r="K266" i="368" s="1"/>
  <c r="K267" i="368" s="1"/>
  <c r="K268" i="368" s="1"/>
  <c r="K269" i="368" s="1"/>
  <c r="K270" i="368" s="1"/>
  <c r="K271" i="368" s="1"/>
  <c r="K272" i="368" s="1"/>
  <c r="K273" i="368" s="1"/>
  <c r="K274" i="368" s="1"/>
  <c r="K275" i="368" s="1"/>
  <c r="K276" i="368" s="1"/>
  <c r="K277" i="368" s="1"/>
  <c r="K278" i="368" s="1"/>
  <c r="K279" i="368" s="1"/>
  <c r="K280" i="368" s="1"/>
  <c r="K281" i="368" s="1"/>
  <c r="K282" i="368" s="1"/>
  <c r="K283" i="368" s="1"/>
  <c r="K284" i="368" s="1"/>
  <c r="K285" i="368" s="1"/>
  <c r="K286" i="368" s="1"/>
  <c r="K287" i="368" s="1"/>
  <c r="K288" i="368" s="1"/>
  <c r="K289" i="368" s="1"/>
  <c r="K290" i="368" s="1"/>
  <c r="K291" i="368" s="1"/>
  <c r="K292" i="368" s="1"/>
  <c r="K293" i="368" s="1"/>
  <c r="K294" i="368" s="1"/>
  <c r="K295" i="368" s="1"/>
  <c r="K296" i="368" s="1"/>
  <c r="K297" i="368" s="1"/>
  <c r="K298" i="368" s="1"/>
  <c r="K299" i="368" s="1"/>
  <c r="K300" i="368" s="1"/>
  <c r="K301" i="368" s="1"/>
  <c r="K302" i="368" s="1"/>
  <c r="K303" i="368" s="1"/>
  <c r="K304" i="368" s="1"/>
  <c r="K305" i="368" s="1"/>
  <c r="K306" i="368" s="1"/>
  <c r="K307" i="368" s="1"/>
  <c r="K308" i="368" s="1"/>
  <c r="K309" i="368" s="1"/>
  <c r="K310" i="368" s="1"/>
  <c r="K311" i="368" s="1"/>
  <c r="K312" i="368" s="1"/>
  <c r="K313" i="368" s="1"/>
  <c r="K314" i="368" s="1"/>
  <c r="K315" i="368" s="1"/>
  <c r="K316" i="368" s="1"/>
  <c r="K317" i="368" s="1"/>
  <c r="K318" i="368" s="1"/>
  <c r="K319" i="368" s="1"/>
  <c r="K320" i="368" s="1"/>
  <c r="K321" i="368" s="1"/>
  <c r="K322" i="368" s="1"/>
  <c r="K323" i="368" s="1"/>
  <c r="K324" i="368" s="1"/>
  <c r="K325" i="368" s="1"/>
  <c r="K326" i="368" s="1"/>
  <c r="K327" i="368" s="1"/>
  <c r="K328" i="368" s="1"/>
  <c r="K329" i="368" s="1"/>
  <c r="K330" i="368" s="1"/>
  <c r="K331" i="368" s="1"/>
  <c r="K332" i="368" s="1"/>
  <c r="K333" i="368" s="1"/>
  <c r="K334" i="368" s="1"/>
  <c r="K335" i="368" s="1"/>
  <c r="K336" i="368" s="1"/>
  <c r="K337" i="368" s="1"/>
  <c r="K338" i="368" s="1"/>
  <c r="K339" i="368" s="1"/>
  <c r="K340" i="368" s="1"/>
  <c r="K341" i="368" s="1"/>
  <c r="K342" i="368" s="1"/>
  <c r="K343" i="368" s="1"/>
  <c r="K344" i="368" s="1"/>
  <c r="K345" i="368" s="1"/>
  <c r="K346" i="368" s="1"/>
  <c r="K347" i="368" s="1"/>
  <c r="K348" i="368" s="1"/>
  <c r="K349" i="368" s="1"/>
  <c r="K350" i="368" s="1"/>
  <c r="K351" i="368" s="1"/>
  <c r="K352" i="368" s="1"/>
  <c r="K353" i="368" s="1"/>
  <c r="K354" i="368" s="1"/>
  <c r="K355" i="368" s="1"/>
  <c r="K356" i="368" s="1"/>
  <c r="K357" i="368" s="1"/>
  <c r="K358" i="368" s="1"/>
  <c r="K359" i="368" s="1"/>
  <c r="K360" i="368" s="1"/>
  <c r="K361" i="368" s="1"/>
  <c r="K362" i="368" s="1"/>
  <c r="K363" i="368" s="1"/>
  <c r="K364" i="368" s="1"/>
  <c r="K365" i="368" s="1"/>
  <c r="K366" i="368" s="1"/>
  <c r="K367" i="368" s="1"/>
  <c r="K368" i="368" s="1"/>
  <c r="K369" i="368" s="1"/>
  <c r="K370" i="368" s="1"/>
  <c r="K371" i="368" s="1"/>
  <c r="K372" i="368" s="1"/>
  <c r="K373" i="368" s="1"/>
  <c r="K374" i="368" s="1"/>
  <c r="K375" i="368" s="1"/>
  <c r="K376" i="368" s="1"/>
  <c r="K377" i="368" s="1"/>
  <c r="K378" i="368" s="1"/>
  <c r="K379" i="368" s="1"/>
  <c r="K380" i="368" s="1"/>
  <c r="K381" i="368" s="1"/>
  <c r="K382" i="368" s="1"/>
  <c r="K383" i="368" s="1"/>
  <c r="K384" i="368" s="1"/>
  <c r="J159" i="368"/>
  <c r="J160" i="368"/>
  <c r="J161" i="368"/>
  <c r="J162" i="368"/>
  <c r="J163" i="368"/>
  <c r="J164" i="368"/>
  <c r="J165" i="368"/>
  <c r="J166" i="368"/>
  <c r="J167" i="368"/>
  <c r="J168" i="368"/>
  <c r="J169" i="368"/>
  <c r="J170" i="368"/>
  <c r="J171" i="368"/>
  <c r="J172" i="368"/>
  <c r="J173" i="368"/>
  <c r="J174" i="368"/>
  <c r="J175" i="368"/>
  <c r="J176" i="368"/>
  <c r="J177" i="368"/>
  <c r="J178" i="368"/>
  <c r="J179" i="368"/>
  <c r="J180" i="368"/>
  <c r="J181" i="368"/>
  <c r="J182" i="368"/>
  <c r="J183" i="368"/>
  <c r="J184" i="368"/>
  <c r="J185" i="368"/>
  <c r="J186" i="368"/>
  <c r="J187" i="368"/>
  <c r="J188" i="368"/>
  <c r="J189" i="368"/>
  <c r="J190" i="368"/>
  <c r="J191" i="368"/>
  <c r="J192" i="368"/>
  <c r="J193" i="368"/>
  <c r="J194" i="368"/>
  <c r="J195" i="368"/>
  <c r="J196" i="368"/>
  <c r="J197" i="368"/>
  <c r="J198" i="368"/>
  <c r="J199" i="368"/>
  <c r="J200" i="368"/>
  <c r="J201" i="368"/>
  <c r="J202" i="368"/>
  <c r="J203" i="368"/>
  <c r="J204" i="368"/>
  <c r="J205" i="368"/>
  <c r="J206" i="368"/>
  <c r="J207" i="368"/>
  <c r="J208" i="368"/>
  <c r="J209" i="368"/>
  <c r="J210" i="368"/>
  <c r="J211" i="368"/>
  <c r="J212" i="368"/>
  <c r="J213" i="368"/>
  <c r="J214" i="368"/>
  <c r="J215" i="368"/>
  <c r="J216" i="368"/>
  <c r="J217" i="368"/>
  <c r="J218" i="368"/>
  <c r="J219" i="368"/>
  <c r="J220" i="368"/>
  <c r="J221" i="368"/>
  <c r="J222" i="368"/>
  <c r="J223" i="368"/>
  <c r="J224" i="368"/>
  <c r="J225" i="368"/>
  <c r="J226" i="368"/>
  <c r="J227" i="368"/>
  <c r="J228" i="368"/>
  <c r="J229" i="368"/>
  <c r="J230" i="368"/>
  <c r="J231" i="368"/>
  <c r="J232" i="368"/>
  <c r="J233" i="368"/>
  <c r="J234" i="368"/>
  <c r="J235" i="368"/>
  <c r="J236" i="368"/>
  <c r="J237" i="368"/>
  <c r="J238" i="368"/>
  <c r="J239" i="368"/>
  <c r="J240" i="368"/>
  <c r="J241" i="368"/>
  <c r="J242" i="368"/>
  <c r="J243" i="368"/>
  <c r="J244" i="368"/>
  <c r="J245" i="368"/>
  <c r="J246" i="368"/>
  <c r="J247" i="368"/>
  <c r="J248" i="368"/>
  <c r="J249" i="368"/>
  <c r="J250" i="368"/>
  <c r="J251" i="368"/>
  <c r="J252" i="368"/>
  <c r="J253" i="368"/>
  <c r="J254" i="368"/>
  <c r="J255" i="368"/>
  <c r="J256" i="368"/>
  <c r="J257" i="368"/>
  <c r="J258" i="368"/>
  <c r="J259" i="368"/>
  <c r="J260" i="368"/>
  <c r="J261" i="368"/>
  <c r="J262" i="368"/>
  <c r="J263" i="368"/>
  <c r="J264" i="368"/>
  <c r="J265" i="368"/>
  <c r="J266" i="368"/>
  <c r="J267" i="368"/>
  <c r="J268" i="368"/>
  <c r="J269" i="368"/>
  <c r="J270" i="368"/>
  <c r="J271" i="368"/>
  <c r="J272" i="368"/>
  <c r="J273" i="368"/>
  <c r="J274" i="368"/>
  <c r="J275" i="368"/>
  <c r="J276" i="368"/>
  <c r="J277" i="368"/>
  <c r="J278" i="368"/>
  <c r="J279" i="368"/>
  <c r="J280" i="368"/>
  <c r="J281" i="368"/>
  <c r="J282" i="368"/>
  <c r="J283" i="368"/>
  <c r="J284" i="368"/>
  <c r="J285" i="368"/>
  <c r="J286" i="368"/>
  <c r="J287" i="368"/>
  <c r="J288" i="368"/>
  <c r="J289" i="368"/>
  <c r="J290" i="368"/>
  <c r="J291" i="368"/>
  <c r="J292" i="368"/>
  <c r="J293" i="368"/>
  <c r="J294" i="368"/>
  <c r="J295" i="368"/>
  <c r="J296" i="368"/>
  <c r="J297" i="368"/>
  <c r="J298" i="368"/>
  <c r="J299" i="368"/>
  <c r="J300" i="368"/>
  <c r="J301" i="368"/>
  <c r="J302" i="368"/>
  <c r="J303" i="368"/>
  <c r="J304" i="368"/>
  <c r="J305" i="368"/>
  <c r="J306" i="368"/>
  <c r="J307" i="368"/>
  <c r="J308" i="368"/>
  <c r="J309" i="368"/>
  <c r="J310" i="368"/>
  <c r="J311" i="368"/>
  <c r="J312" i="368"/>
  <c r="J313" i="368"/>
  <c r="J314" i="368"/>
  <c r="J315" i="368"/>
  <c r="J316" i="368"/>
  <c r="J317" i="368"/>
  <c r="J318" i="368"/>
  <c r="J319" i="368"/>
  <c r="J320" i="368"/>
  <c r="J321" i="368"/>
  <c r="J322" i="368"/>
  <c r="J323" i="368"/>
  <c r="J324" i="368"/>
  <c r="J325" i="368"/>
  <c r="J326" i="368"/>
  <c r="J327" i="368"/>
  <c r="J328" i="368"/>
  <c r="J329" i="368"/>
  <c r="J330" i="368"/>
  <c r="J331" i="368"/>
  <c r="J332" i="368"/>
  <c r="J333" i="368"/>
  <c r="J334" i="368"/>
  <c r="J335" i="368"/>
  <c r="J336" i="368"/>
  <c r="J337" i="368"/>
  <c r="J338" i="368"/>
  <c r="J339" i="368"/>
  <c r="J340" i="368"/>
  <c r="J341" i="368"/>
  <c r="J342" i="368"/>
  <c r="J343" i="368"/>
  <c r="J344" i="368"/>
  <c r="J345" i="368"/>
  <c r="J346" i="368"/>
  <c r="J347" i="368"/>
  <c r="J348" i="368"/>
  <c r="J349" i="368"/>
  <c r="J350" i="368"/>
  <c r="J351" i="368"/>
  <c r="J352" i="368"/>
  <c r="J353" i="368"/>
  <c r="J354" i="368"/>
  <c r="J355" i="368"/>
  <c r="J356" i="368"/>
  <c r="J357" i="368"/>
  <c r="J358" i="368"/>
  <c r="J359" i="368"/>
  <c r="J360" i="368"/>
  <c r="J361" i="368"/>
  <c r="J362" i="368"/>
  <c r="J363" i="368"/>
  <c r="J364" i="368"/>
  <c r="J365" i="368"/>
  <c r="J366" i="368"/>
  <c r="J367" i="368"/>
  <c r="J368" i="368"/>
  <c r="J369" i="368"/>
  <c r="J370" i="368"/>
  <c r="J371" i="368"/>
  <c r="J372" i="368"/>
  <c r="J373" i="368"/>
  <c r="J374" i="368"/>
  <c r="J375" i="368"/>
  <c r="J376" i="368"/>
  <c r="J377" i="368"/>
  <c r="J378" i="368"/>
  <c r="J379" i="368"/>
  <c r="J380" i="368"/>
  <c r="J381" i="368"/>
  <c r="J382" i="368"/>
  <c r="J383" i="368"/>
  <c r="J384" i="368"/>
  <c r="K159" i="368"/>
  <c r="K158" i="368"/>
  <c r="J158" i="368"/>
  <c r="G157" i="368"/>
  <c r="F157" i="368"/>
  <c r="H160" i="368"/>
  <c r="I160" i="368"/>
  <c r="H161" i="368"/>
  <c r="I161" i="368"/>
  <c r="H162" i="368"/>
  <c r="I162" i="368"/>
  <c r="H163" i="368"/>
  <c r="I163" i="368"/>
  <c r="H164" i="368"/>
  <c r="I164" i="368"/>
  <c r="H165" i="368"/>
  <c r="I165" i="368"/>
  <c r="H166" i="368"/>
  <c r="I166" i="368"/>
  <c r="H167" i="368"/>
  <c r="I167" i="368"/>
  <c r="H168" i="368"/>
  <c r="I168" i="368"/>
  <c r="H169" i="368"/>
  <c r="I169" i="368"/>
  <c r="H170" i="368"/>
  <c r="I170" i="368"/>
  <c r="H171" i="368"/>
  <c r="I171" i="368"/>
  <c r="H172" i="368"/>
  <c r="I172" i="368"/>
  <c r="H173" i="368"/>
  <c r="I173" i="368"/>
  <c r="H174" i="368"/>
  <c r="I174" i="368"/>
  <c r="H175" i="368"/>
  <c r="I175" i="368"/>
  <c r="H176" i="368"/>
  <c r="I176" i="368"/>
  <c r="H177" i="368"/>
  <c r="I177" i="368"/>
  <c r="H178" i="368"/>
  <c r="I178" i="368"/>
  <c r="H179" i="368"/>
  <c r="I179" i="368"/>
  <c r="H180" i="368"/>
  <c r="I180" i="368"/>
  <c r="H181" i="368"/>
  <c r="I181" i="368"/>
  <c r="H182" i="368"/>
  <c r="I182" i="368"/>
  <c r="H183" i="368"/>
  <c r="I183" i="368"/>
  <c r="H184" i="368"/>
  <c r="I184" i="368"/>
  <c r="H185" i="368"/>
  <c r="I185" i="368"/>
  <c r="H186" i="368"/>
  <c r="I186" i="368"/>
  <c r="H187" i="368"/>
  <c r="I187" i="368"/>
  <c r="H188" i="368"/>
  <c r="I188" i="368"/>
  <c r="H189" i="368"/>
  <c r="I189" i="368"/>
  <c r="H190" i="368"/>
  <c r="I190" i="368"/>
  <c r="H191" i="368"/>
  <c r="I191" i="368"/>
  <c r="H192" i="368"/>
  <c r="I192" i="368"/>
  <c r="H193" i="368"/>
  <c r="I193" i="368"/>
  <c r="H194" i="368"/>
  <c r="I194" i="368"/>
  <c r="H195" i="368"/>
  <c r="I195" i="368"/>
  <c r="H196" i="368"/>
  <c r="I196" i="368"/>
  <c r="H197" i="368"/>
  <c r="I197" i="368"/>
  <c r="H198" i="368"/>
  <c r="I198" i="368"/>
  <c r="H199" i="368"/>
  <c r="I199" i="368"/>
  <c r="H200" i="368"/>
  <c r="I200" i="368"/>
  <c r="H201" i="368"/>
  <c r="I201" i="368"/>
  <c r="H202" i="368"/>
  <c r="I202" i="368"/>
  <c r="H203" i="368"/>
  <c r="I203" i="368"/>
  <c r="H204" i="368"/>
  <c r="I204" i="368"/>
  <c r="H205" i="368"/>
  <c r="I205" i="368"/>
  <c r="H206" i="368"/>
  <c r="I206" i="368"/>
  <c r="H207" i="368"/>
  <c r="I207" i="368"/>
  <c r="H208" i="368"/>
  <c r="I208" i="368"/>
  <c r="H209" i="368"/>
  <c r="I209" i="368"/>
  <c r="H210" i="368"/>
  <c r="I210" i="368"/>
  <c r="H211" i="368"/>
  <c r="I211" i="368"/>
  <c r="H212" i="368"/>
  <c r="I212" i="368"/>
  <c r="H213" i="368"/>
  <c r="I213" i="368"/>
  <c r="H214" i="368"/>
  <c r="I214" i="368"/>
  <c r="H215" i="368"/>
  <c r="I215" i="368"/>
  <c r="H216" i="368"/>
  <c r="I216" i="368"/>
  <c r="H217" i="368"/>
  <c r="I217" i="368"/>
  <c r="H218" i="368"/>
  <c r="I218" i="368"/>
  <c r="H219" i="368"/>
  <c r="I219" i="368"/>
  <c r="H220" i="368"/>
  <c r="I220" i="368"/>
  <c r="H221" i="368"/>
  <c r="I221" i="368"/>
  <c r="H222" i="368"/>
  <c r="I222" i="368"/>
  <c r="H223" i="368"/>
  <c r="I223" i="368"/>
  <c r="H224" i="368"/>
  <c r="I224" i="368"/>
  <c r="H225" i="368"/>
  <c r="I225" i="368"/>
  <c r="H226" i="368"/>
  <c r="I226" i="368"/>
  <c r="H227" i="368"/>
  <c r="I227" i="368"/>
  <c r="H228" i="368"/>
  <c r="I228" i="368"/>
  <c r="H229" i="368"/>
  <c r="I229" i="368"/>
  <c r="H230" i="368"/>
  <c r="I230" i="368"/>
  <c r="H231" i="368"/>
  <c r="I231" i="368"/>
  <c r="H232" i="368"/>
  <c r="I232" i="368"/>
  <c r="H233" i="368"/>
  <c r="I233" i="368"/>
  <c r="H234" i="368"/>
  <c r="I234" i="368"/>
  <c r="H235" i="368"/>
  <c r="I235" i="368"/>
  <c r="H236" i="368"/>
  <c r="I236" i="368"/>
  <c r="H237" i="368"/>
  <c r="I237" i="368"/>
  <c r="H238" i="368"/>
  <c r="I238" i="368"/>
  <c r="H239" i="368"/>
  <c r="I239" i="368"/>
  <c r="H240" i="368"/>
  <c r="I240" i="368"/>
  <c r="H241" i="368"/>
  <c r="I241" i="368"/>
  <c r="H242" i="368"/>
  <c r="I242" i="368"/>
  <c r="H243" i="368"/>
  <c r="I243" i="368"/>
  <c r="H244" i="368"/>
  <c r="I244" i="368"/>
  <c r="H245" i="368"/>
  <c r="I245" i="368"/>
  <c r="H246" i="368"/>
  <c r="I246" i="368"/>
  <c r="H247" i="368"/>
  <c r="I247" i="368"/>
  <c r="H248" i="368"/>
  <c r="I248" i="368"/>
  <c r="H249" i="368"/>
  <c r="I249" i="368"/>
  <c r="H250" i="368"/>
  <c r="I250" i="368"/>
  <c r="H251" i="368"/>
  <c r="I251" i="368"/>
  <c r="H252" i="368"/>
  <c r="I252" i="368"/>
  <c r="H253" i="368"/>
  <c r="I253" i="368"/>
  <c r="H254" i="368"/>
  <c r="I254" i="368"/>
  <c r="H255" i="368"/>
  <c r="I255" i="368"/>
  <c r="H256" i="368"/>
  <c r="I256" i="368"/>
  <c r="H257" i="368"/>
  <c r="I257" i="368"/>
  <c r="H258" i="368"/>
  <c r="I258" i="368"/>
  <c r="H259" i="368"/>
  <c r="I259" i="368"/>
  <c r="H260" i="368"/>
  <c r="I260" i="368"/>
  <c r="H261" i="368"/>
  <c r="I261" i="368"/>
  <c r="H262" i="368"/>
  <c r="I262" i="368"/>
  <c r="H263" i="368"/>
  <c r="I263" i="368"/>
  <c r="H264" i="368"/>
  <c r="I264" i="368"/>
  <c r="H265" i="368"/>
  <c r="I265" i="368"/>
  <c r="H266" i="368"/>
  <c r="I266" i="368"/>
  <c r="H267" i="368"/>
  <c r="I267" i="368"/>
  <c r="H268" i="368"/>
  <c r="I268" i="368"/>
  <c r="H269" i="368"/>
  <c r="I269" i="368"/>
  <c r="H270" i="368"/>
  <c r="I270" i="368"/>
  <c r="H271" i="368"/>
  <c r="I271" i="368"/>
  <c r="H272" i="368"/>
  <c r="I272" i="368"/>
  <c r="H273" i="368"/>
  <c r="I273" i="368"/>
  <c r="H274" i="368"/>
  <c r="I274" i="368"/>
  <c r="H275" i="368"/>
  <c r="I275" i="368"/>
  <c r="H276" i="368"/>
  <c r="I276" i="368"/>
  <c r="H277" i="368"/>
  <c r="I277" i="368"/>
  <c r="H278" i="368"/>
  <c r="I278" i="368"/>
  <c r="H279" i="368"/>
  <c r="I279" i="368"/>
  <c r="H280" i="368"/>
  <c r="I280" i="368"/>
  <c r="H281" i="368"/>
  <c r="I281" i="368"/>
  <c r="H282" i="368"/>
  <c r="I282" i="368"/>
  <c r="H283" i="368"/>
  <c r="I283" i="368"/>
  <c r="H284" i="368"/>
  <c r="I284" i="368"/>
  <c r="H285" i="368"/>
  <c r="I285" i="368"/>
  <c r="H286" i="368"/>
  <c r="I286" i="368"/>
  <c r="H287" i="368"/>
  <c r="I287" i="368"/>
  <c r="H288" i="368"/>
  <c r="I288" i="368"/>
  <c r="H289" i="368"/>
  <c r="I289" i="368"/>
  <c r="H290" i="368"/>
  <c r="I290" i="368"/>
  <c r="H291" i="368"/>
  <c r="I291" i="368"/>
  <c r="H292" i="368"/>
  <c r="I292" i="368"/>
  <c r="H293" i="368"/>
  <c r="I293" i="368"/>
  <c r="H294" i="368"/>
  <c r="I294" i="368"/>
  <c r="H295" i="368"/>
  <c r="I295" i="368"/>
  <c r="H296" i="368"/>
  <c r="I296" i="368"/>
  <c r="H297" i="368"/>
  <c r="I297" i="368"/>
  <c r="H298" i="368"/>
  <c r="I298" i="368"/>
  <c r="H299" i="368"/>
  <c r="I299" i="368"/>
  <c r="H300" i="368"/>
  <c r="I300" i="368"/>
  <c r="H301" i="368"/>
  <c r="I301" i="368"/>
  <c r="H302" i="368"/>
  <c r="I302" i="368"/>
  <c r="H303" i="368"/>
  <c r="I303" i="368"/>
  <c r="H304" i="368"/>
  <c r="I304" i="368"/>
  <c r="H305" i="368"/>
  <c r="I305" i="368"/>
  <c r="H306" i="368"/>
  <c r="I306" i="368"/>
  <c r="H307" i="368"/>
  <c r="I307" i="368"/>
  <c r="H308" i="368"/>
  <c r="I308" i="368"/>
  <c r="H309" i="368"/>
  <c r="I309" i="368"/>
  <c r="H310" i="368"/>
  <c r="I310" i="368"/>
  <c r="H311" i="368"/>
  <c r="I311" i="368"/>
  <c r="H312" i="368"/>
  <c r="I312" i="368"/>
  <c r="H313" i="368"/>
  <c r="I313" i="368"/>
  <c r="H314" i="368"/>
  <c r="I314" i="368"/>
  <c r="H315" i="368"/>
  <c r="I315" i="368"/>
  <c r="H316" i="368"/>
  <c r="I316" i="368"/>
  <c r="H317" i="368"/>
  <c r="I317" i="368"/>
  <c r="H318" i="368"/>
  <c r="I318" i="368"/>
  <c r="H319" i="368"/>
  <c r="I319" i="368"/>
  <c r="H320" i="368"/>
  <c r="I320" i="368"/>
  <c r="H321" i="368"/>
  <c r="I321" i="368"/>
  <c r="H322" i="368"/>
  <c r="I322" i="368"/>
  <c r="H323" i="368"/>
  <c r="I323" i="368"/>
  <c r="H324" i="368"/>
  <c r="I324" i="368"/>
  <c r="H325" i="368"/>
  <c r="I325" i="368"/>
  <c r="H326" i="368"/>
  <c r="I326" i="368"/>
  <c r="H327" i="368"/>
  <c r="I327" i="368"/>
  <c r="H328" i="368"/>
  <c r="I328" i="368"/>
  <c r="H329" i="368"/>
  <c r="I329" i="368"/>
  <c r="H330" i="368"/>
  <c r="I330" i="368"/>
  <c r="H331" i="368"/>
  <c r="I331" i="368"/>
  <c r="H332" i="368"/>
  <c r="I332" i="368"/>
  <c r="H333" i="368"/>
  <c r="I333" i="368"/>
  <c r="H334" i="368"/>
  <c r="I334" i="368"/>
  <c r="H335" i="368"/>
  <c r="I335" i="368"/>
  <c r="H336" i="368"/>
  <c r="I336" i="368"/>
  <c r="H337" i="368"/>
  <c r="I337" i="368"/>
  <c r="H338" i="368"/>
  <c r="I338" i="368"/>
  <c r="H339" i="368"/>
  <c r="I339" i="368"/>
  <c r="H340" i="368"/>
  <c r="I340" i="368"/>
  <c r="H341" i="368"/>
  <c r="I341" i="368"/>
  <c r="H342" i="368"/>
  <c r="I342" i="368"/>
  <c r="H343" i="368"/>
  <c r="I343" i="368"/>
  <c r="H344" i="368"/>
  <c r="I344" i="368"/>
  <c r="H345" i="368"/>
  <c r="I345" i="368"/>
  <c r="H346" i="368"/>
  <c r="I346" i="368"/>
  <c r="H347" i="368"/>
  <c r="I347" i="368"/>
  <c r="H348" i="368"/>
  <c r="I348" i="368"/>
  <c r="H349" i="368"/>
  <c r="I349" i="368"/>
  <c r="H350" i="368"/>
  <c r="I350" i="368"/>
  <c r="H351" i="368"/>
  <c r="I351" i="368"/>
  <c r="H352" i="368"/>
  <c r="I352" i="368"/>
  <c r="H353" i="368"/>
  <c r="I353" i="368"/>
  <c r="H354" i="368"/>
  <c r="I354" i="368"/>
  <c r="H355" i="368"/>
  <c r="I355" i="368"/>
  <c r="H356" i="368"/>
  <c r="I356" i="368"/>
  <c r="H357" i="368"/>
  <c r="I357" i="368"/>
  <c r="H358" i="368"/>
  <c r="I358" i="368"/>
  <c r="H359" i="368"/>
  <c r="I359" i="368"/>
  <c r="H360" i="368"/>
  <c r="I360" i="368"/>
  <c r="H361" i="368"/>
  <c r="I361" i="368"/>
  <c r="H362" i="368"/>
  <c r="I362" i="368"/>
  <c r="H363" i="368"/>
  <c r="I363" i="368"/>
  <c r="H364" i="368"/>
  <c r="I364" i="368"/>
  <c r="H365" i="368"/>
  <c r="I365" i="368"/>
  <c r="H366" i="368"/>
  <c r="I366" i="368"/>
  <c r="H367" i="368"/>
  <c r="I367" i="368"/>
  <c r="H368" i="368"/>
  <c r="I368" i="368"/>
  <c r="H369" i="368"/>
  <c r="I369" i="368"/>
  <c r="H370" i="368"/>
  <c r="I370" i="368"/>
  <c r="H371" i="368"/>
  <c r="I371" i="368"/>
  <c r="H372" i="368"/>
  <c r="I372" i="368"/>
  <c r="H373" i="368"/>
  <c r="I373" i="368"/>
  <c r="H374" i="368"/>
  <c r="I374" i="368"/>
  <c r="H375" i="368"/>
  <c r="I375" i="368"/>
  <c r="H376" i="368"/>
  <c r="I376" i="368"/>
  <c r="H377" i="368"/>
  <c r="I377" i="368"/>
  <c r="H378" i="368"/>
  <c r="I378" i="368"/>
  <c r="H379" i="368"/>
  <c r="I379" i="368"/>
  <c r="H380" i="368"/>
  <c r="I380" i="368"/>
  <c r="H381" i="368"/>
  <c r="I381" i="368"/>
  <c r="H382" i="368"/>
  <c r="I382" i="368"/>
  <c r="H383" i="368"/>
  <c r="I383" i="368"/>
  <c r="H384" i="368"/>
  <c r="I384" i="368"/>
  <c r="I159" i="368"/>
  <c r="H159" i="368"/>
  <c r="I158" i="368"/>
  <c r="H158" i="368"/>
  <c r="G160" i="368"/>
  <c r="G161" i="368" s="1"/>
  <c r="G162" i="368" s="1"/>
  <c r="G163" i="368" s="1"/>
  <c r="G164" i="368" s="1"/>
  <c r="G165" i="368" s="1"/>
  <c r="G166" i="368" s="1"/>
  <c r="G167" i="368" s="1"/>
  <c r="G168" i="368" s="1"/>
  <c r="G169" i="368" s="1"/>
  <c r="G170" i="368" s="1"/>
  <c r="G171" i="368" s="1"/>
  <c r="G172" i="368" s="1"/>
  <c r="G173" i="368" s="1"/>
  <c r="G174" i="368" s="1"/>
  <c r="G175" i="368" s="1"/>
  <c r="G176" i="368" s="1"/>
  <c r="G177" i="368" s="1"/>
  <c r="G178" i="368" s="1"/>
  <c r="G179" i="368" s="1"/>
  <c r="G180" i="368" s="1"/>
  <c r="G181" i="368" s="1"/>
  <c r="G182" i="368" s="1"/>
  <c r="G183" i="368" s="1"/>
  <c r="G184" i="368" s="1"/>
  <c r="G185" i="368" s="1"/>
  <c r="G186" i="368" s="1"/>
  <c r="G187" i="368" s="1"/>
  <c r="G188" i="368" s="1"/>
  <c r="G189" i="368" s="1"/>
  <c r="G190" i="368" s="1"/>
  <c r="G191" i="368" s="1"/>
  <c r="G192" i="368" s="1"/>
  <c r="G193" i="368" s="1"/>
  <c r="G194" i="368" s="1"/>
  <c r="G195" i="368" s="1"/>
  <c r="G196" i="368" s="1"/>
  <c r="G197" i="368" s="1"/>
  <c r="G198" i="368" s="1"/>
  <c r="G199" i="368" s="1"/>
  <c r="G200" i="368" s="1"/>
  <c r="G201" i="368" s="1"/>
  <c r="G202" i="368" s="1"/>
  <c r="G203" i="368" s="1"/>
  <c r="G204" i="368" s="1"/>
  <c r="G205" i="368" s="1"/>
  <c r="G206" i="368" s="1"/>
  <c r="G207" i="368" s="1"/>
  <c r="G208" i="368" s="1"/>
  <c r="G209" i="368" s="1"/>
  <c r="G210" i="368" s="1"/>
  <c r="G211" i="368" s="1"/>
  <c r="G212" i="368" s="1"/>
  <c r="G213" i="368" s="1"/>
  <c r="G214" i="368" s="1"/>
  <c r="G215" i="368" s="1"/>
  <c r="G216" i="368" s="1"/>
  <c r="G217" i="368" s="1"/>
  <c r="G218" i="368" s="1"/>
  <c r="G219" i="368" s="1"/>
  <c r="G220" i="368" s="1"/>
  <c r="G221" i="368" s="1"/>
  <c r="G222" i="368" s="1"/>
  <c r="G223" i="368" s="1"/>
  <c r="G224" i="368" s="1"/>
  <c r="G225" i="368" s="1"/>
  <c r="G226" i="368" s="1"/>
  <c r="G227" i="368" s="1"/>
  <c r="G228" i="368" s="1"/>
  <c r="G229" i="368" s="1"/>
  <c r="G230" i="368" s="1"/>
  <c r="G231" i="368" s="1"/>
  <c r="G232" i="368" s="1"/>
  <c r="G233" i="368" s="1"/>
  <c r="G234" i="368" s="1"/>
  <c r="G235" i="368" s="1"/>
  <c r="G236" i="368" s="1"/>
  <c r="G237" i="368" s="1"/>
  <c r="G238" i="368" s="1"/>
  <c r="G239" i="368" s="1"/>
  <c r="G240" i="368" s="1"/>
  <c r="G241" i="368" s="1"/>
  <c r="G242" i="368" s="1"/>
  <c r="G243" i="368" s="1"/>
  <c r="G244" i="368" s="1"/>
  <c r="G245" i="368" s="1"/>
  <c r="G246" i="368" s="1"/>
  <c r="G247" i="368" s="1"/>
  <c r="G248" i="368" s="1"/>
  <c r="G249" i="368" s="1"/>
  <c r="G250" i="368" s="1"/>
  <c r="G251" i="368" s="1"/>
  <c r="G252" i="368" s="1"/>
  <c r="G253" i="368" s="1"/>
  <c r="G254" i="368" s="1"/>
  <c r="G255" i="368" s="1"/>
  <c r="G256" i="368" s="1"/>
  <c r="G257" i="368" s="1"/>
  <c r="G258" i="368" s="1"/>
  <c r="G259" i="368" s="1"/>
  <c r="G260" i="368" s="1"/>
  <c r="G261" i="368" s="1"/>
  <c r="G262" i="368" s="1"/>
  <c r="G263" i="368" s="1"/>
  <c r="G264" i="368" s="1"/>
  <c r="G265" i="368" s="1"/>
  <c r="G266" i="368" s="1"/>
  <c r="G267" i="368" s="1"/>
  <c r="G268" i="368" s="1"/>
  <c r="G269" i="368" s="1"/>
  <c r="G270" i="368" s="1"/>
  <c r="G271" i="368" s="1"/>
  <c r="G272" i="368" s="1"/>
  <c r="G273" i="368" s="1"/>
  <c r="G274" i="368" s="1"/>
  <c r="G275" i="368" s="1"/>
  <c r="G276" i="368" s="1"/>
  <c r="G277" i="368" s="1"/>
  <c r="G278" i="368" s="1"/>
  <c r="G279" i="368" s="1"/>
  <c r="G280" i="368" s="1"/>
  <c r="G281" i="368" s="1"/>
  <c r="G282" i="368" s="1"/>
  <c r="G283" i="368" s="1"/>
  <c r="G284" i="368" s="1"/>
  <c r="G285" i="368" s="1"/>
  <c r="G286" i="368" s="1"/>
  <c r="G287" i="368" s="1"/>
  <c r="G288" i="368" s="1"/>
  <c r="G289" i="368" s="1"/>
  <c r="G290" i="368" s="1"/>
  <c r="G291" i="368" s="1"/>
  <c r="G292" i="368" s="1"/>
  <c r="G293" i="368" s="1"/>
  <c r="G294" i="368" s="1"/>
  <c r="G295" i="368" s="1"/>
  <c r="G296" i="368" s="1"/>
  <c r="G297" i="368" s="1"/>
  <c r="G298" i="368" s="1"/>
  <c r="G299" i="368" s="1"/>
  <c r="G300" i="368" s="1"/>
  <c r="G301" i="368" s="1"/>
  <c r="G302" i="368" s="1"/>
  <c r="G303" i="368" s="1"/>
  <c r="G304" i="368" s="1"/>
  <c r="G305" i="368" s="1"/>
  <c r="G306" i="368" s="1"/>
  <c r="G307" i="368" s="1"/>
  <c r="G308" i="368" s="1"/>
  <c r="G309" i="368" s="1"/>
  <c r="G310" i="368" s="1"/>
  <c r="G311" i="368" s="1"/>
  <c r="G312" i="368" s="1"/>
  <c r="G313" i="368" s="1"/>
  <c r="G314" i="368" s="1"/>
  <c r="G315" i="368" s="1"/>
  <c r="G316" i="368" s="1"/>
  <c r="G317" i="368" s="1"/>
  <c r="G318" i="368" s="1"/>
  <c r="G319" i="368" s="1"/>
  <c r="G320" i="368" s="1"/>
  <c r="G321" i="368" s="1"/>
  <c r="G322" i="368" s="1"/>
  <c r="G323" i="368" s="1"/>
  <c r="G324" i="368" s="1"/>
  <c r="G325" i="368" s="1"/>
  <c r="G326" i="368" s="1"/>
  <c r="G327" i="368" s="1"/>
  <c r="G328" i="368" s="1"/>
  <c r="G329" i="368" s="1"/>
  <c r="G330" i="368" s="1"/>
  <c r="G331" i="368" s="1"/>
  <c r="G332" i="368" s="1"/>
  <c r="G333" i="368" s="1"/>
  <c r="G334" i="368" s="1"/>
  <c r="G335" i="368" s="1"/>
  <c r="G336" i="368" s="1"/>
  <c r="G337" i="368" s="1"/>
  <c r="G338" i="368" s="1"/>
  <c r="G339" i="368" s="1"/>
  <c r="G340" i="368" s="1"/>
  <c r="G341" i="368" s="1"/>
  <c r="G342" i="368" s="1"/>
  <c r="G343" i="368" s="1"/>
  <c r="G344" i="368" s="1"/>
  <c r="G345" i="368" s="1"/>
  <c r="G346" i="368" s="1"/>
  <c r="G347" i="368" s="1"/>
  <c r="G348" i="368" s="1"/>
  <c r="G349" i="368" s="1"/>
  <c r="G350" i="368" s="1"/>
  <c r="G351" i="368" s="1"/>
  <c r="G352" i="368" s="1"/>
  <c r="G353" i="368" s="1"/>
  <c r="G354" i="368" s="1"/>
  <c r="G355" i="368" s="1"/>
  <c r="G356" i="368" s="1"/>
  <c r="G357" i="368" s="1"/>
  <c r="G358" i="368" s="1"/>
  <c r="G359" i="368" s="1"/>
  <c r="G360" i="368" s="1"/>
  <c r="G361" i="368" s="1"/>
  <c r="G362" i="368" s="1"/>
  <c r="G363" i="368" s="1"/>
  <c r="G364" i="368" s="1"/>
  <c r="G365" i="368" s="1"/>
  <c r="G366" i="368" s="1"/>
  <c r="G367" i="368" s="1"/>
  <c r="G368" i="368" s="1"/>
  <c r="G369" i="368" s="1"/>
  <c r="G370" i="368" s="1"/>
  <c r="G371" i="368" s="1"/>
  <c r="G372" i="368" s="1"/>
  <c r="G373" i="368" s="1"/>
  <c r="G374" i="368" s="1"/>
  <c r="G375" i="368" s="1"/>
  <c r="G376" i="368" s="1"/>
  <c r="G377" i="368" s="1"/>
  <c r="G378" i="368" s="1"/>
  <c r="G379" i="368" s="1"/>
  <c r="G380" i="368" s="1"/>
  <c r="G381" i="368" s="1"/>
  <c r="G382" i="368" s="1"/>
  <c r="G383" i="368" s="1"/>
  <c r="G384" i="368" s="1"/>
  <c r="F159" i="368"/>
  <c r="F160" i="368"/>
  <c r="F161" i="368"/>
  <c r="F162" i="368"/>
  <c r="F163" i="368"/>
  <c r="F164" i="368"/>
  <c r="F165" i="368"/>
  <c r="F166" i="368"/>
  <c r="F167" i="368"/>
  <c r="F168" i="368"/>
  <c r="F169" i="368"/>
  <c r="F170" i="368"/>
  <c r="F171" i="368"/>
  <c r="F172" i="368"/>
  <c r="F173" i="368"/>
  <c r="F174" i="368"/>
  <c r="F175" i="368"/>
  <c r="F176" i="368"/>
  <c r="F177" i="368"/>
  <c r="F178" i="368"/>
  <c r="F179" i="368"/>
  <c r="F180" i="368"/>
  <c r="F181" i="368"/>
  <c r="F182" i="368"/>
  <c r="F183" i="368"/>
  <c r="F184" i="368"/>
  <c r="F185" i="368"/>
  <c r="F186" i="368"/>
  <c r="F187" i="368"/>
  <c r="F188" i="368"/>
  <c r="F189" i="368"/>
  <c r="F190" i="368"/>
  <c r="F191" i="368"/>
  <c r="F192" i="368"/>
  <c r="F193" i="368"/>
  <c r="F194" i="368"/>
  <c r="F195" i="368"/>
  <c r="F196" i="368"/>
  <c r="F197" i="368"/>
  <c r="F198" i="368"/>
  <c r="F199" i="368"/>
  <c r="F200" i="368"/>
  <c r="F201" i="368"/>
  <c r="F202" i="368"/>
  <c r="F203" i="368"/>
  <c r="F204" i="368"/>
  <c r="F205" i="368"/>
  <c r="F206" i="368"/>
  <c r="F207" i="368"/>
  <c r="F208" i="368"/>
  <c r="F209" i="368"/>
  <c r="F210" i="368"/>
  <c r="F211" i="368"/>
  <c r="F212" i="368"/>
  <c r="F213" i="368"/>
  <c r="F214" i="368"/>
  <c r="F215" i="368"/>
  <c r="F216" i="368"/>
  <c r="F217" i="368"/>
  <c r="F218" i="368"/>
  <c r="F219" i="368"/>
  <c r="F220" i="368"/>
  <c r="F221" i="368"/>
  <c r="F222" i="368"/>
  <c r="F223" i="368"/>
  <c r="F224" i="368"/>
  <c r="F225" i="368"/>
  <c r="F226" i="368"/>
  <c r="F227" i="368"/>
  <c r="F228" i="368"/>
  <c r="F229" i="368"/>
  <c r="F230" i="368"/>
  <c r="F231" i="368"/>
  <c r="F232" i="368"/>
  <c r="F233" i="368"/>
  <c r="F234" i="368"/>
  <c r="F235" i="368"/>
  <c r="F236" i="368"/>
  <c r="F237" i="368"/>
  <c r="F238" i="368"/>
  <c r="F239" i="368"/>
  <c r="F240" i="368"/>
  <c r="F241" i="368"/>
  <c r="F242" i="368"/>
  <c r="F243" i="368"/>
  <c r="F244" i="368"/>
  <c r="F245" i="368"/>
  <c r="F246" i="368"/>
  <c r="F247" i="368"/>
  <c r="F248" i="368"/>
  <c r="F249" i="368"/>
  <c r="F250" i="368"/>
  <c r="F251" i="368"/>
  <c r="F252" i="368"/>
  <c r="F253" i="368"/>
  <c r="F254" i="368"/>
  <c r="F255" i="368"/>
  <c r="F256" i="368"/>
  <c r="F257" i="368"/>
  <c r="F258" i="368"/>
  <c r="F259" i="368"/>
  <c r="F260" i="368"/>
  <c r="F261" i="368"/>
  <c r="F262" i="368"/>
  <c r="F263" i="368"/>
  <c r="F264" i="368"/>
  <c r="F265" i="368"/>
  <c r="F266" i="368"/>
  <c r="F267" i="368"/>
  <c r="F268" i="368"/>
  <c r="F269" i="368"/>
  <c r="F270" i="368"/>
  <c r="F271" i="368"/>
  <c r="F272" i="368"/>
  <c r="F273" i="368"/>
  <c r="F274" i="368"/>
  <c r="F275" i="368"/>
  <c r="F276" i="368"/>
  <c r="F277" i="368"/>
  <c r="F278" i="368"/>
  <c r="F279" i="368"/>
  <c r="F280" i="368"/>
  <c r="F281" i="368"/>
  <c r="F282" i="368"/>
  <c r="F283" i="368"/>
  <c r="F284" i="368"/>
  <c r="F285" i="368"/>
  <c r="F286" i="368"/>
  <c r="F287" i="368"/>
  <c r="F288" i="368"/>
  <c r="F289" i="368"/>
  <c r="F290" i="368"/>
  <c r="F291" i="368"/>
  <c r="F292" i="368"/>
  <c r="F293" i="368"/>
  <c r="F294" i="368"/>
  <c r="F295" i="368"/>
  <c r="F296" i="368"/>
  <c r="F297" i="368"/>
  <c r="F298" i="368"/>
  <c r="F299" i="368"/>
  <c r="F300" i="368"/>
  <c r="F301" i="368"/>
  <c r="F302" i="368"/>
  <c r="F303" i="368"/>
  <c r="F304" i="368"/>
  <c r="F305" i="368"/>
  <c r="F306" i="368"/>
  <c r="F307" i="368"/>
  <c r="F308" i="368"/>
  <c r="F309" i="368"/>
  <c r="F310" i="368"/>
  <c r="F311" i="368"/>
  <c r="F312" i="368"/>
  <c r="F313" i="368"/>
  <c r="F314" i="368"/>
  <c r="F315" i="368"/>
  <c r="F316" i="368"/>
  <c r="F317" i="368"/>
  <c r="F318" i="368"/>
  <c r="F319" i="368"/>
  <c r="F320" i="368"/>
  <c r="F321" i="368"/>
  <c r="F322" i="368"/>
  <c r="F323" i="368"/>
  <c r="F324" i="368"/>
  <c r="F325" i="368"/>
  <c r="F326" i="368"/>
  <c r="F327" i="368"/>
  <c r="F328" i="368"/>
  <c r="F329" i="368"/>
  <c r="F330" i="368"/>
  <c r="F331" i="368"/>
  <c r="F332" i="368"/>
  <c r="F333" i="368"/>
  <c r="F334" i="368"/>
  <c r="F335" i="368"/>
  <c r="F336" i="368"/>
  <c r="F337" i="368"/>
  <c r="F338" i="368"/>
  <c r="F339" i="368"/>
  <c r="F340" i="368"/>
  <c r="F341" i="368"/>
  <c r="F342" i="368"/>
  <c r="F343" i="368"/>
  <c r="F344" i="368"/>
  <c r="F345" i="368"/>
  <c r="F346" i="368"/>
  <c r="F347" i="368"/>
  <c r="F348" i="368"/>
  <c r="F349" i="368"/>
  <c r="F350" i="368"/>
  <c r="F351" i="368"/>
  <c r="F352" i="368"/>
  <c r="F353" i="368"/>
  <c r="F354" i="368"/>
  <c r="F355" i="368"/>
  <c r="F356" i="368"/>
  <c r="F357" i="368"/>
  <c r="F358" i="368"/>
  <c r="F359" i="368"/>
  <c r="F360" i="368"/>
  <c r="F361" i="368"/>
  <c r="F362" i="368"/>
  <c r="F363" i="368"/>
  <c r="F364" i="368"/>
  <c r="F365" i="368"/>
  <c r="F366" i="368"/>
  <c r="F367" i="368"/>
  <c r="F368" i="368"/>
  <c r="F369" i="368"/>
  <c r="F370" i="368"/>
  <c r="F371" i="368"/>
  <c r="F372" i="368"/>
  <c r="F373" i="368"/>
  <c r="F374" i="368"/>
  <c r="F375" i="368"/>
  <c r="F376" i="368"/>
  <c r="F377" i="368"/>
  <c r="F378" i="368"/>
  <c r="F379" i="368"/>
  <c r="F380" i="368"/>
  <c r="F381" i="368"/>
  <c r="F382" i="368"/>
  <c r="F383" i="368"/>
  <c r="F384" i="368"/>
  <c r="G159" i="368"/>
  <c r="G158" i="368"/>
  <c r="F158" i="368"/>
  <c r="E4" i="368"/>
  <c r="E5" i="368"/>
  <c r="E6" i="368"/>
  <c r="E7" i="368"/>
  <c r="E8" i="368"/>
  <c r="E9" i="368"/>
  <c r="E10" i="368"/>
  <c r="E11" i="368"/>
  <c r="E12" i="368"/>
  <c r="E13" i="368"/>
  <c r="E14" i="368"/>
  <c r="E15" i="368"/>
  <c r="E16" i="368"/>
  <c r="E17" i="368"/>
  <c r="E18" i="368"/>
  <c r="E19" i="368"/>
  <c r="E20" i="368"/>
  <c r="E21" i="368"/>
  <c r="E22" i="368"/>
  <c r="E23" i="368"/>
  <c r="E24" i="368"/>
  <c r="E25" i="368"/>
  <c r="E26" i="368"/>
  <c r="E27" i="368"/>
  <c r="E28" i="368"/>
  <c r="E29" i="368"/>
  <c r="E30" i="368"/>
  <c r="E31" i="368"/>
  <c r="E32" i="368"/>
  <c r="E33" i="368"/>
  <c r="E34" i="368"/>
  <c r="E35" i="368"/>
  <c r="E36" i="368"/>
  <c r="E37" i="368"/>
  <c r="E38" i="368"/>
  <c r="E39" i="368"/>
  <c r="E40" i="368"/>
  <c r="E41" i="368"/>
  <c r="E42" i="368"/>
  <c r="E43" i="368"/>
  <c r="E44" i="368"/>
  <c r="E45" i="368"/>
  <c r="E46" i="368"/>
  <c r="E47" i="368"/>
  <c r="E48" i="368"/>
  <c r="E49" i="368"/>
  <c r="E50" i="368"/>
  <c r="E51" i="368"/>
  <c r="E52" i="368"/>
  <c r="E53" i="368"/>
  <c r="E54" i="368"/>
  <c r="E55" i="368"/>
  <c r="E56" i="368"/>
  <c r="E57" i="368"/>
  <c r="E58" i="368"/>
  <c r="E59" i="368"/>
  <c r="E60" i="368"/>
  <c r="E61" i="368"/>
  <c r="E62" i="368"/>
  <c r="E63" i="368"/>
  <c r="E64" i="368"/>
  <c r="E65" i="368"/>
  <c r="E66" i="368"/>
  <c r="E67" i="368"/>
  <c r="E68" i="368"/>
  <c r="E69" i="368"/>
  <c r="E70" i="368"/>
  <c r="E71" i="368"/>
  <c r="E72" i="368"/>
  <c r="E73" i="368"/>
  <c r="E74" i="368"/>
  <c r="E75" i="368"/>
  <c r="E76" i="368"/>
  <c r="E77" i="368"/>
  <c r="E78" i="368"/>
  <c r="E79" i="368"/>
  <c r="E80" i="368"/>
  <c r="E81" i="368"/>
  <c r="E82" i="368"/>
  <c r="E83" i="368"/>
  <c r="E84" i="368"/>
  <c r="E85" i="368"/>
  <c r="E86" i="368"/>
  <c r="E87" i="368"/>
  <c r="E88" i="368"/>
  <c r="E89" i="368"/>
  <c r="E90" i="368"/>
  <c r="E91" i="368"/>
  <c r="E92" i="368"/>
  <c r="E93" i="368"/>
  <c r="E94" i="368"/>
  <c r="E95" i="368"/>
  <c r="E96" i="368"/>
  <c r="E97" i="368"/>
  <c r="E98" i="368"/>
  <c r="E99" i="368"/>
  <c r="E100" i="368"/>
  <c r="E101" i="368"/>
  <c r="E102" i="368"/>
  <c r="E103" i="368"/>
  <c r="E104" i="368"/>
  <c r="E105" i="368"/>
  <c r="E106" i="368"/>
  <c r="E107" i="368"/>
  <c r="E108" i="368"/>
  <c r="E109" i="368"/>
  <c r="E110" i="368"/>
  <c r="E111" i="368"/>
  <c r="E112" i="368"/>
  <c r="E113" i="368"/>
  <c r="E114" i="368"/>
  <c r="E115" i="368"/>
  <c r="E116" i="368"/>
  <c r="E117" i="368"/>
  <c r="E118" i="368"/>
  <c r="E119" i="368"/>
  <c r="E120" i="368"/>
  <c r="E121" i="368"/>
  <c r="E122" i="368"/>
  <c r="E123" i="368"/>
  <c r="E124" i="368"/>
  <c r="E125" i="368"/>
  <c r="E126" i="368"/>
  <c r="E127" i="368"/>
  <c r="E128" i="368"/>
  <c r="E129" i="368"/>
  <c r="E130" i="368"/>
  <c r="E131" i="368"/>
  <c r="E132" i="368"/>
  <c r="E133" i="368"/>
  <c r="E134" i="368"/>
  <c r="E135" i="368"/>
  <c r="E136" i="368"/>
  <c r="E137" i="368"/>
  <c r="E138" i="368"/>
  <c r="E139" i="368"/>
  <c r="E140" i="368"/>
  <c r="E141" i="368"/>
  <c r="E142" i="368"/>
  <c r="E143" i="368"/>
  <c r="E144" i="368"/>
  <c r="E145" i="368"/>
  <c r="E146" i="368"/>
  <c r="E147" i="368"/>
  <c r="E148" i="368"/>
  <c r="E149" i="368"/>
  <c r="E150" i="368"/>
  <c r="E151" i="368"/>
  <c r="E152" i="368"/>
  <c r="E153" i="368"/>
  <c r="E154" i="368"/>
  <c r="E155" i="368"/>
  <c r="E156" i="368"/>
  <c r="E157" i="368"/>
  <c r="E158" i="368"/>
  <c r="E159" i="368"/>
  <c r="E160" i="368"/>
  <c r="E161" i="368"/>
  <c r="E162" i="368"/>
  <c r="E163" i="368"/>
  <c r="E164" i="368"/>
  <c r="E165" i="368"/>
  <c r="E166" i="368"/>
  <c r="E167" i="368"/>
  <c r="E168" i="368"/>
  <c r="E169" i="368"/>
  <c r="E170" i="368"/>
  <c r="E171" i="368"/>
  <c r="E172" i="368"/>
  <c r="E173" i="368"/>
  <c r="E174" i="368"/>
  <c r="E175" i="368"/>
  <c r="E176" i="368"/>
  <c r="E177" i="368"/>
  <c r="E178" i="368"/>
  <c r="E179" i="368"/>
  <c r="E180" i="368"/>
  <c r="E181" i="368"/>
  <c r="E182" i="368"/>
  <c r="E183" i="368"/>
  <c r="E184" i="368"/>
  <c r="E185" i="368"/>
  <c r="E186" i="368"/>
  <c r="E187" i="368"/>
  <c r="E188" i="368"/>
  <c r="E189" i="368"/>
  <c r="E190" i="368"/>
  <c r="E191" i="368"/>
  <c r="E192" i="368"/>
  <c r="E193" i="368"/>
  <c r="E194" i="368"/>
  <c r="E195" i="368"/>
  <c r="E196" i="368"/>
  <c r="E197" i="368"/>
  <c r="E198" i="368"/>
  <c r="E199" i="368"/>
  <c r="E200" i="368"/>
  <c r="E201" i="368"/>
  <c r="E202" i="368"/>
  <c r="E203" i="368"/>
  <c r="E204" i="368"/>
  <c r="E205" i="368"/>
  <c r="E206" i="368"/>
  <c r="E207" i="368"/>
  <c r="E208" i="368"/>
  <c r="E209" i="368"/>
  <c r="E210" i="368"/>
  <c r="E211" i="368"/>
  <c r="E212" i="368"/>
  <c r="E213" i="368"/>
  <c r="E214" i="368"/>
  <c r="E215" i="368"/>
  <c r="E216" i="368"/>
  <c r="E217" i="368"/>
  <c r="E218" i="368"/>
  <c r="E219" i="368"/>
  <c r="E220" i="368"/>
  <c r="E221" i="368"/>
  <c r="E222" i="368"/>
  <c r="E223" i="368"/>
  <c r="E224" i="368"/>
  <c r="E225" i="368"/>
  <c r="E226" i="368"/>
  <c r="E227" i="368"/>
  <c r="E228" i="368"/>
  <c r="E229" i="368"/>
  <c r="E230" i="368"/>
  <c r="E231" i="368"/>
  <c r="E232" i="368"/>
  <c r="E233" i="368"/>
  <c r="E234" i="368"/>
  <c r="E235" i="368"/>
  <c r="E236" i="368"/>
  <c r="E237" i="368"/>
  <c r="E238" i="368"/>
  <c r="E239" i="368"/>
  <c r="E240" i="368"/>
  <c r="E241" i="368"/>
  <c r="E242" i="368"/>
  <c r="E243" i="368"/>
  <c r="E244" i="368"/>
  <c r="E245" i="368"/>
  <c r="E246" i="368"/>
  <c r="E247" i="368"/>
  <c r="E248" i="368"/>
  <c r="E249" i="368"/>
  <c r="E250" i="368"/>
  <c r="E251" i="368"/>
  <c r="E252" i="368"/>
  <c r="E253" i="368"/>
  <c r="E254" i="368"/>
  <c r="E255" i="368"/>
  <c r="E256" i="368"/>
  <c r="E257" i="368"/>
  <c r="E258" i="368"/>
  <c r="E259" i="368"/>
  <c r="E260" i="368"/>
  <c r="E261" i="368"/>
  <c r="E262" i="368"/>
  <c r="E263" i="368"/>
  <c r="E264" i="368"/>
  <c r="E265" i="368"/>
  <c r="E266" i="368"/>
  <c r="E267" i="368"/>
  <c r="E268" i="368"/>
  <c r="E269" i="368"/>
  <c r="E270" i="368"/>
  <c r="E271" i="368"/>
  <c r="E272" i="368"/>
  <c r="E273" i="368"/>
  <c r="E274" i="368"/>
  <c r="E275" i="368"/>
  <c r="E276" i="368"/>
  <c r="E277" i="368"/>
  <c r="E278" i="368"/>
  <c r="E279" i="368"/>
  <c r="E280" i="368"/>
  <c r="E281" i="368"/>
  <c r="E282" i="368"/>
  <c r="E283" i="368"/>
  <c r="E284" i="368"/>
  <c r="E285" i="368"/>
  <c r="E286" i="368"/>
  <c r="E287" i="368"/>
  <c r="E288" i="368"/>
  <c r="E289" i="368"/>
  <c r="E290" i="368"/>
  <c r="E291" i="368"/>
  <c r="E292" i="368"/>
  <c r="E293" i="368"/>
  <c r="E294" i="368"/>
  <c r="E295" i="368"/>
  <c r="E296" i="368"/>
  <c r="E297" i="368"/>
  <c r="E298" i="368"/>
  <c r="E299" i="368"/>
  <c r="E300" i="368"/>
  <c r="E301" i="368"/>
  <c r="E302" i="368"/>
  <c r="E303" i="368"/>
  <c r="E304" i="368"/>
  <c r="E305" i="368"/>
  <c r="E306" i="368"/>
  <c r="E307" i="368"/>
  <c r="E308" i="368"/>
  <c r="E309" i="368"/>
  <c r="E310" i="368"/>
  <c r="E311" i="368"/>
  <c r="E312" i="368"/>
  <c r="E313" i="368"/>
  <c r="E314" i="368"/>
  <c r="E315" i="368"/>
  <c r="E316" i="368"/>
  <c r="E317" i="368"/>
  <c r="E318" i="368"/>
  <c r="E319" i="368"/>
  <c r="E320" i="368"/>
  <c r="E321" i="368"/>
  <c r="E322" i="368"/>
  <c r="E323" i="368"/>
  <c r="E324" i="368"/>
  <c r="E325" i="368"/>
  <c r="E326" i="368"/>
  <c r="E327" i="368"/>
  <c r="E328" i="368"/>
  <c r="E329" i="368"/>
  <c r="E330" i="368"/>
  <c r="E331" i="368"/>
  <c r="E332" i="368"/>
  <c r="E333" i="368"/>
  <c r="E334" i="368"/>
  <c r="E335" i="368"/>
  <c r="E336" i="368"/>
  <c r="E337" i="368"/>
  <c r="E338" i="368"/>
  <c r="E339" i="368"/>
  <c r="E340" i="368"/>
  <c r="E341" i="368"/>
  <c r="E342" i="368"/>
  <c r="E343" i="368"/>
  <c r="E344" i="368"/>
  <c r="E345" i="368"/>
  <c r="E346" i="368"/>
  <c r="E347" i="368"/>
  <c r="E348" i="368"/>
  <c r="E349" i="368"/>
  <c r="E350" i="368"/>
  <c r="E351" i="368"/>
  <c r="E352" i="368"/>
  <c r="E353" i="368"/>
  <c r="E354" i="368"/>
  <c r="E355" i="368"/>
  <c r="E356" i="368"/>
  <c r="E357" i="368"/>
  <c r="E358" i="368"/>
  <c r="E359" i="368"/>
  <c r="E360" i="368"/>
  <c r="E361" i="368"/>
  <c r="E362" i="368"/>
  <c r="E363" i="368"/>
  <c r="E364" i="368"/>
  <c r="E365" i="368"/>
  <c r="E366" i="368"/>
  <c r="E367" i="368"/>
  <c r="E368" i="368"/>
  <c r="E369" i="368"/>
  <c r="E370" i="368"/>
  <c r="E371" i="368"/>
  <c r="E372" i="368"/>
  <c r="E373" i="368"/>
  <c r="E374" i="368"/>
  <c r="E375" i="368"/>
  <c r="E376" i="368"/>
  <c r="E377" i="368"/>
  <c r="E378" i="368"/>
  <c r="E379" i="368"/>
  <c r="E380" i="368"/>
  <c r="E381" i="368"/>
  <c r="E382" i="368"/>
  <c r="E383" i="368"/>
  <c r="E384" i="368"/>
  <c r="D4" i="368"/>
  <c r="D5" i="368"/>
  <c r="D6" i="368"/>
  <c r="D7" i="368"/>
  <c r="D8" i="368"/>
  <c r="D9" i="368"/>
  <c r="D10" i="368"/>
  <c r="D11" i="368"/>
  <c r="D12" i="368"/>
  <c r="D13" i="368"/>
  <c r="D14" i="368"/>
  <c r="D15" i="368"/>
  <c r="D16" i="368"/>
  <c r="D17" i="368"/>
  <c r="D18" i="368"/>
  <c r="D19" i="368"/>
  <c r="D20" i="368"/>
  <c r="D21" i="368"/>
  <c r="D22" i="368"/>
  <c r="D23" i="368"/>
  <c r="D24" i="368"/>
  <c r="D25" i="368"/>
  <c r="D26" i="368"/>
  <c r="D27" i="368"/>
  <c r="D28" i="368"/>
  <c r="D29" i="368"/>
  <c r="D30" i="368"/>
  <c r="D31" i="368"/>
  <c r="D32" i="368"/>
  <c r="D33" i="368"/>
  <c r="D34" i="368"/>
  <c r="D35" i="368"/>
  <c r="D36" i="368"/>
  <c r="D37" i="368"/>
  <c r="D38" i="368"/>
  <c r="D39" i="368"/>
  <c r="D40" i="368"/>
  <c r="D41" i="368"/>
  <c r="D42" i="368"/>
  <c r="D43" i="368"/>
  <c r="D44" i="368"/>
  <c r="D45" i="368"/>
  <c r="D46" i="368"/>
  <c r="D47" i="368"/>
  <c r="D48" i="368"/>
  <c r="D49" i="368"/>
  <c r="D50" i="368"/>
  <c r="D51" i="368"/>
  <c r="D52" i="368"/>
  <c r="D53" i="368"/>
  <c r="D54" i="368"/>
  <c r="D55" i="368"/>
  <c r="D56" i="368"/>
  <c r="D57" i="368"/>
  <c r="D58" i="368"/>
  <c r="D59" i="368"/>
  <c r="D60" i="368"/>
  <c r="D61" i="368"/>
  <c r="D62" i="368"/>
  <c r="D63" i="368"/>
  <c r="D64" i="368"/>
  <c r="D65" i="368"/>
  <c r="D66" i="368"/>
  <c r="D67" i="368"/>
  <c r="D68" i="368"/>
  <c r="D69" i="368"/>
  <c r="D70" i="368"/>
  <c r="D71" i="368"/>
  <c r="D72" i="368"/>
  <c r="D73" i="368"/>
  <c r="D74" i="368"/>
  <c r="D75" i="368"/>
  <c r="D76" i="368"/>
  <c r="D77" i="368"/>
  <c r="D78" i="368"/>
  <c r="D79" i="368"/>
  <c r="D80" i="368"/>
  <c r="D81" i="368"/>
  <c r="D82" i="368"/>
  <c r="D83" i="368"/>
  <c r="D84" i="368"/>
  <c r="D85" i="368"/>
  <c r="D86" i="368"/>
  <c r="D87" i="368"/>
  <c r="D88" i="368"/>
  <c r="D89" i="368"/>
  <c r="D90" i="368"/>
  <c r="D91" i="368"/>
  <c r="D92" i="368"/>
  <c r="D93" i="368"/>
  <c r="D94" i="368"/>
  <c r="D95" i="368"/>
  <c r="D96" i="368"/>
  <c r="D97" i="368"/>
  <c r="D98" i="368"/>
  <c r="D99" i="368"/>
  <c r="D100" i="368"/>
  <c r="D101" i="368"/>
  <c r="D102" i="368"/>
  <c r="D103" i="368"/>
  <c r="D104" i="368"/>
  <c r="D105" i="368"/>
  <c r="D106" i="368"/>
  <c r="D107" i="368"/>
  <c r="D108" i="368"/>
  <c r="D109" i="368"/>
  <c r="D110" i="368"/>
  <c r="D111" i="368"/>
  <c r="D112" i="368"/>
  <c r="D113" i="368"/>
  <c r="D114" i="368"/>
  <c r="D115" i="368"/>
  <c r="D116" i="368"/>
  <c r="D117" i="368"/>
  <c r="D118" i="368"/>
  <c r="D119" i="368"/>
  <c r="D120" i="368"/>
  <c r="D121" i="368"/>
  <c r="D122" i="368"/>
  <c r="D123" i="368"/>
  <c r="D124" i="368"/>
  <c r="D125" i="368"/>
  <c r="D126" i="368"/>
  <c r="D127" i="368"/>
  <c r="D128" i="368"/>
  <c r="D129" i="368"/>
  <c r="D130" i="368"/>
  <c r="D131" i="368"/>
  <c r="D132" i="368"/>
  <c r="D133" i="368"/>
  <c r="D134" i="368"/>
  <c r="D135" i="368"/>
  <c r="D136" i="368"/>
  <c r="D137" i="368"/>
  <c r="D138" i="368"/>
  <c r="D139" i="368"/>
  <c r="D140" i="368"/>
  <c r="D141" i="368"/>
  <c r="D142" i="368"/>
  <c r="D143" i="368"/>
  <c r="D144" i="368"/>
  <c r="D145" i="368"/>
  <c r="D146" i="368"/>
  <c r="D147" i="368"/>
  <c r="D148" i="368"/>
  <c r="D149" i="368"/>
  <c r="D150" i="368"/>
  <c r="D151" i="368"/>
  <c r="D152" i="368"/>
  <c r="D153" i="368"/>
  <c r="D154" i="368"/>
  <c r="D155" i="368"/>
  <c r="D156" i="368"/>
  <c r="D157" i="368"/>
  <c r="D158" i="368"/>
  <c r="D159" i="368"/>
  <c r="D160" i="368"/>
  <c r="D161" i="368"/>
  <c r="D162" i="368"/>
  <c r="D163" i="368"/>
  <c r="D164" i="368"/>
  <c r="D165" i="368"/>
  <c r="D166" i="368"/>
  <c r="D167" i="368"/>
  <c r="D168" i="368"/>
  <c r="D169" i="368"/>
  <c r="D170" i="368"/>
  <c r="D171" i="368"/>
  <c r="D172" i="368"/>
  <c r="D173" i="368"/>
  <c r="D174" i="368"/>
  <c r="D175" i="368"/>
  <c r="D176" i="368"/>
  <c r="D177" i="368"/>
  <c r="D178" i="368"/>
  <c r="D179" i="368"/>
  <c r="D180" i="368"/>
  <c r="D181" i="368"/>
  <c r="D182" i="368"/>
  <c r="D183" i="368"/>
  <c r="D184" i="368"/>
  <c r="D185" i="368"/>
  <c r="D186" i="368"/>
  <c r="D187" i="368"/>
  <c r="D188" i="368"/>
  <c r="D189" i="368"/>
  <c r="D190" i="368"/>
  <c r="D191" i="368"/>
  <c r="D192" i="368"/>
  <c r="D193" i="368"/>
  <c r="D194" i="368"/>
  <c r="D195" i="368"/>
  <c r="D196" i="368"/>
  <c r="D197" i="368"/>
  <c r="D198" i="368"/>
  <c r="D199" i="368"/>
  <c r="D200" i="368"/>
  <c r="D201" i="368"/>
  <c r="D202" i="368"/>
  <c r="D203" i="368"/>
  <c r="D204" i="368"/>
  <c r="D205" i="368"/>
  <c r="D206" i="368"/>
  <c r="D207" i="368"/>
  <c r="D208" i="368"/>
  <c r="D209" i="368"/>
  <c r="D210" i="368"/>
  <c r="D211" i="368"/>
  <c r="D212" i="368"/>
  <c r="D213" i="368"/>
  <c r="D214" i="368"/>
  <c r="D215" i="368"/>
  <c r="D216" i="368"/>
  <c r="D217" i="368"/>
  <c r="D218" i="368"/>
  <c r="D219" i="368"/>
  <c r="D220" i="368"/>
  <c r="D221" i="368"/>
  <c r="D222" i="368"/>
  <c r="D223" i="368"/>
  <c r="D224" i="368"/>
  <c r="D225" i="368"/>
  <c r="D226" i="368"/>
  <c r="D227" i="368"/>
  <c r="D228" i="368"/>
  <c r="D229" i="368"/>
  <c r="D230" i="368"/>
  <c r="D231" i="368"/>
  <c r="D232" i="368"/>
  <c r="D233" i="368"/>
  <c r="D234" i="368"/>
  <c r="D235" i="368"/>
  <c r="D236" i="368"/>
  <c r="D237" i="368"/>
  <c r="D238" i="368"/>
  <c r="D239" i="368"/>
  <c r="D240" i="368"/>
  <c r="D241" i="368"/>
  <c r="D242" i="368"/>
  <c r="D243" i="368"/>
  <c r="D244" i="368"/>
  <c r="D245" i="368"/>
  <c r="D246" i="368"/>
  <c r="D247" i="368"/>
  <c r="D248" i="368"/>
  <c r="D249" i="368"/>
  <c r="D250" i="368"/>
  <c r="D251" i="368"/>
  <c r="D252" i="368"/>
  <c r="D253" i="368"/>
  <c r="D254" i="368"/>
  <c r="D255" i="368"/>
  <c r="D256" i="368"/>
  <c r="D257" i="368"/>
  <c r="D258" i="368"/>
  <c r="D259" i="368"/>
  <c r="D260" i="368"/>
  <c r="D261" i="368"/>
  <c r="D262" i="368"/>
  <c r="D263" i="368"/>
  <c r="D264" i="368"/>
  <c r="D265" i="368"/>
  <c r="D266" i="368"/>
  <c r="D267" i="368"/>
  <c r="D268" i="368"/>
  <c r="D269" i="368"/>
  <c r="D270" i="368"/>
  <c r="D271" i="368"/>
  <c r="D272" i="368"/>
  <c r="D273" i="368"/>
  <c r="D274" i="368"/>
  <c r="D275" i="368"/>
  <c r="D276" i="368"/>
  <c r="D277" i="368"/>
  <c r="D278" i="368"/>
  <c r="D279" i="368"/>
  <c r="D280" i="368"/>
  <c r="D281" i="368"/>
  <c r="D282" i="368"/>
  <c r="D283" i="368"/>
  <c r="D284" i="368"/>
  <c r="D285" i="368"/>
  <c r="D286" i="368"/>
  <c r="D287" i="368"/>
  <c r="D288" i="368"/>
  <c r="D289" i="368"/>
  <c r="D290" i="368"/>
  <c r="D291" i="368"/>
  <c r="D292" i="368"/>
  <c r="D293" i="368"/>
  <c r="D294" i="368"/>
  <c r="D295" i="368"/>
  <c r="D296" i="368"/>
  <c r="D297" i="368"/>
  <c r="D298" i="368"/>
  <c r="D299" i="368"/>
  <c r="D300" i="368"/>
  <c r="D301" i="368"/>
  <c r="D302" i="368"/>
  <c r="D303" i="368"/>
  <c r="D304" i="368"/>
  <c r="D305" i="368"/>
  <c r="D306" i="368"/>
  <c r="D307" i="368"/>
  <c r="D308" i="368"/>
  <c r="D309" i="368"/>
  <c r="D310" i="368"/>
  <c r="D311" i="368"/>
  <c r="D312" i="368"/>
  <c r="D313" i="368"/>
  <c r="D314" i="368"/>
  <c r="D315" i="368"/>
  <c r="D316" i="368"/>
  <c r="D317" i="368"/>
  <c r="D318" i="368"/>
  <c r="D319" i="368"/>
  <c r="D320" i="368"/>
  <c r="D321" i="368"/>
  <c r="D322" i="368"/>
  <c r="D323" i="368"/>
  <c r="D324" i="368"/>
  <c r="D325" i="368"/>
  <c r="D326" i="368"/>
  <c r="D327" i="368"/>
  <c r="D328" i="368"/>
  <c r="D329" i="368"/>
  <c r="D330" i="368"/>
  <c r="D331" i="368"/>
  <c r="D332" i="368"/>
  <c r="D333" i="368"/>
  <c r="D334" i="368"/>
  <c r="D335" i="368"/>
  <c r="D336" i="368"/>
  <c r="D337" i="368"/>
  <c r="D338" i="368"/>
  <c r="D339" i="368"/>
  <c r="D340" i="368"/>
  <c r="D341" i="368"/>
  <c r="D342" i="368"/>
  <c r="D343" i="368"/>
  <c r="D344" i="368"/>
  <c r="D345" i="368"/>
  <c r="D346" i="368"/>
  <c r="D347" i="368"/>
  <c r="D348" i="368"/>
  <c r="D349" i="368"/>
  <c r="D350" i="368"/>
  <c r="D351" i="368"/>
  <c r="D352" i="368"/>
  <c r="D353" i="368"/>
  <c r="D354" i="368"/>
  <c r="D355" i="368"/>
  <c r="D356" i="368"/>
  <c r="D357" i="368"/>
  <c r="D358" i="368"/>
  <c r="D359" i="368"/>
  <c r="D360" i="368"/>
  <c r="D361" i="368"/>
  <c r="D362" i="368"/>
  <c r="D363" i="368"/>
  <c r="D364" i="368"/>
  <c r="D365" i="368"/>
  <c r="D366" i="368"/>
  <c r="D367" i="368"/>
  <c r="D368" i="368"/>
  <c r="D369" i="368"/>
  <c r="D370" i="368"/>
  <c r="D371" i="368"/>
  <c r="D372" i="368"/>
  <c r="D373" i="368"/>
  <c r="D374" i="368"/>
  <c r="D375" i="368"/>
  <c r="D376" i="368"/>
  <c r="D377" i="368"/>
  <c r="D378" i="368"/>
  <c r="D379" i="368"/>
  <c r="D380" i="368"/>
  <c r="D381" i="368"/>
  <c r="D382" i="368"/>
  <c r="D383" i="368"/>
  <c r="D384" i="368"/>
  <c r="E3" i="368"/>
  <c r="D3" i="368"/>
</calcChain>
</file>

<file path=xl/sharedStrings.xml><?xml version="1.0" encoding="utf-8"?>
<sst xmlns="http://schemas.openxmlformats.org/spreadsheetml/2006/main" count="30" uniqueCount="18">
  <si>
    <t>Instructions:</t>
  </si>
  <si>
    <t>2.  Open the .csv file. You may copy the sheet into this workbook</t>
  </si>
  <si>
    <t>or rename the sheet in the .csv file for easier finding</t>
  </si>
  <si>
    <t>3.  Press the "Create Beta Chart" button below to show userform</t>
  </si>
  <si>
    <t>by Zach Mueller</t>
  </si>
  <si>
    <t>For questions, comments, requests - email:</t>
  </si>
  <si>
    <t>zacharymueller@gmail.com</t>
  </si>
  <si>
    <t>1.  Download WEEKLY historical prices data from Yahoo! Finance</t>
  </si>
  <si>
    <t>for a stock and a market index.</t>
  </si>
  <si>
    <t>Date</t>
  </si>
  <si>
    <t>Open</t>
  </si>
  <si>
    <t>High</t>
  </si>
  <si>
    <t>Low</t>
  </si>
  <si>
    <t>Close</t>
  </si>
  <si>
    <t>Volume</t>
  </si>
  <si>
    <t>Adj Close</t>
  </si>
  <si>
    <t>Percentile</t>
  </si>
  <si>
    <t>Charts Spreadsheet v1.1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</si>
</sst>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 indent="2"/>
    </xf>
    <xf numFmtId="0" fontId="1" fillId="2" borderId="0" xfId="0" applyFont="1" applyFill="1" applyAlignment="1">
      <alignment horizontal="right"/>
    </xf>
    <xf numFmtId="0" fontId="3" fillId="2" borderId="0" xfId="1" applyFont="1" applyFill="1" applyAlignment="1">
      <alignment horizontal="right"/>
    </xf>
    <xf numFmtId="14" fontId="0" fillId="0" borderId="0" xfId="0" applyNumberFormat="1"/>
    <xf numFmtId="10" fontId="0" fillId="0" borderId="0" xfId="0" applyNumberFormat="1"/>
    <xf numFmtId="43" fontId="0" fillId="0" borderId="0" xfId="2" applyFont="1"/>
    <xf numFmtId="10" fontId="0" fillId="0" borderId="0" xfId="2" applyNumberFormat="1" applyFont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4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GOOG vs. S&amp;P Beta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'GOOG|S&amp;P Data'!$A$158:$A$384</c:f>
              <c:numCache>
                <c:formatCode>m/d/yyyy</c:formatCode>
                <c:ptCount val="227"/>
                <c:pt idx="0">
                  <c:v>39314</c:v>
                </c:pt>
                <c:pt idx="1">
                  <c:v>39321</c:v>
                </c:pt>
                <c:pt idx="2">
                  <c:v>39329</c:v>
                </c:pt>
                <c:pt idx="3">
                  <c:v>39335</c:v>
                </c:pt>
                <c:pt idx="4">
                  <c:v>39342</c:v>
                </c:pt>
                <c:pt idx="5">
                  <c:v>39349</c:v>
                </c:pt>
                <c:pt idx="6">
                  <c:v>39356</c:v>
                </c:pt>
                <c:pt idx="7">
                  <c:v>39363</c:v>
                </c:pt>
                <c:pt idx="8">
                  <c:v>39370</c:v>
                </c:pt>
                <c:pt idx="9">
                  <c:v>39377</c:v>
                </c:pt>
                <c:pt idx="10">
                  <c:v>39384</c:v>
                </c:pt>
                <c:pt idx="11">
                  <c:v>39391</c:v>
                </c:pt>
                <c:pt idx="12">
                  <c:v>39398</c:v>
                </c:pt>
                <c:pt idx="13">
                  <c:v>39405</c:v>
                </c:pt>
                <c:pt idx="14">
                  <c:v>39412</c:v>
                </c:pt>
                <c:pt idx="15">
                  <c:v>39419</c:v>
                </c:pt>
                <c:pt idx="16">
                  <c:v>39426</c:v>
                </c:pt>
                <c:pt idx="17">
                  <c:v>39433</c:v>
                </c:pt>
                <c:pt idx="18">
                  <c:v>39440</c:v>
                </c:pt>
                <c:pt idx="19">
                  <c:v>39447</c:v>
                </c:pt>
                <c:pt idx="20">
                  <c:v>39454</c:v>
                </c:pt>
                <c:pt idx="21">
                  <c:v>39461</c:v>
                </c:pt>
                <c:pt idx="22">
                  <c:v>39469</c:v>
                </c:pt>
                <c:pt idx="23">
                  <c:v>39475</c:v>
                </c:pt>
                <c:pt idx="24">
                  <c:v>39482</c:v>
                </c:pt>
                <c:pt idx="25">
                  <c:v>39489</c:v>
                </c:pt>
                <c:pt idx="26">
                  <c:v>39497</c:v>
                </c:pt>
                <c:pt idx="27">
                  <c:v>39503</c:v>
                </c:pt>
                <c:pt idx="28">
                  <c:v>39510</c:v>
                </c:pt>
                <c:pt idx="29">
                  <c:v>39517</c:v>
                </c:pt>
                <c:pt idx="30">
                  <c:v>39524</c:v>
                </c:pt>
                <c:pt idx="31">
                  <c:v>39531</c:v>
                </c:pt>
                <c:pt idx="32">
                  <c:v>39538</c:v>
                </c:pt>
                <c:pt idx="33">
                  <c:v>39545</c:v>
                </c:pt>
                <c:pt idx="34">
                  <c:v>39552</c:v>
                </c:pt>
                <c:pt idx="35">
                  <c:v>39559</c:v>
                </c:pt>
                <c:pt idx="36">
                  <c:v>39566</c:v>
                </c:pt>
                <c:pt idx="37">
                  <c:v>39573</c:v>
                </c:pt>
                <c:pt idx="38">
                  <c:v>39580</c:v>
                </c:pt>
                <c:pt idx="39">
                  <c:v>39587</c:v>
                </c:pt>
                <c:pt idx="40">
                  <c:v>39595</c:v>
                </c:pt>
                <c:pt idx="41">
                  <c:v>39601</c:v>
                </c:pt>
                <c:pt idx="42">
                  <c:v>39608</c:v>
                </c:pt>
                <c:pt idx="43">
                  <c:v>39615</c:v>
                </c:pt>
                <c:pt idx="44">
                  <c:v>39622</c:v>
                </c:pt>
                <c:pt idx="45">
                  <c:v>39629</c:v>
                </c:pt>
                <c:pt idx="46">
                  <c:v>39636</c:v>
                </c:pt>
                <c:pt idx="47">
                  <c:v>39643</c:v>
                </c:pt>
                <c:pt idx="48">
                  <c:v>39650</c:v>
                </c:pt>
                <c:pt idx="49">
                  <c:v>39657</c:v>
                </c:pt>
                <c:pt idx="50">
                  <c:v>39664</c:v>
                </c:pt>
                <c:pt idx="51">
                  <c:v>39671</c:v>
                </c:pt>
                <c:pt idx="52">
                  <c:v>39678</c:v>
                </c:pt>
                <c:pt idx="53">
                  <c:v>39685</c:v>
                </c:pt>
                <c:pt idx="54">
                  <c:v>39693</c:v>
                </c:pt>
                <c:pt idx="55">
                  <c:v>39699</c:v>
                </c:pt>
                <c:pt idx="56">
                  <c:v>39706</c:v>
                </c:pt>
                <c:pt idx="57">
                  <c:v>39713</c:v>
                </c:pt>
                <c:pt idx="58">
                  <c:v>39720</c:v>
                </c:pt>
                <c:pt idx="59">
                  <c:v>39727</c:v>
                </c:pt>
                <c:pt idx="60">
                  <c:v>39734</c:v>
                </c:pt>
                <c:pt idx="61">
                  <c:v>39741</c:v>
                </c:pt>
                <c:pt idx="62">
                  <c:v>39748</c:v>
                </c:pt>
                <c:pt idx="63">
                  <c:v>39755</c:v>
                </c:pt>
                <c:pt idx="64">
                  <c:v>39762</c:v>
                </c:pt>
                <c:pt idx="65">
                  <c:v>39769</c:v>
                </c:pt>
                <c:pt idx="66">
                  <c:v>39776</c:v>
                </c:pt>
                <c:pt idx="67">
                  <c:v>39783</c:v>
                </c:pt>
                <c:pt idx="68">
                  <c:v>39790</c:v>
                </c:pt>
                <c:pt idx="69">
                  <c:v>39797</c:v>
                </c:pt>
                <c:pt idx="70">
                  <c:v>39804</c:v>
                </c:pt>
                <c:pt idx="71">
                  <c:v>39811</c:v>
                </c:pt>
                <c:pt idx="72">
                  <c:v>39818</c:v>
                </c:pt>
                <c:pt idx="73">
                  <c:v>39825</c:v>
                </c:pt>
                <c:pt idx="74">
                  <c:v>39833</c:v>
                </c:pt>
                <c:pt idx="75">
                  <c:v>39839</c:v>
                </c:pt>
                <c:pt idx="76">
                  <c:v>39846</c:v>
                </c:pt>
                <c:pt idx="77">
                  <c:v>39853</c:v>
                </c:pt>
                <c:pt idx="78">
                  <c:v>39861</c:v>
                </c:pt>
                <c:pt idx="79">
                  <c:v>39867</c:v>
                </c:pt>
                <c:pt idx="80">
                  <c:v>39874</c:v>
                </c:pt>
                <c:pt idx="81">
                  <c:v>39881</c:v>
                </c:pt>
                <c:pt idx="82">
                  <c:v>39888</c:v>
                </c:pt>
                <c:pt idx="83">
                  <c:v>39895</c:v>
                </c:pt>
                <c:pt idx="84">
                  <c:v>39902</c:v>
                </c:pt>
                <c:pt idx="85">
                  <c:v>39909</c:v>
                </c:pt>
                <c:pt idx="86">
                  <c:v>39916</c:v>
                </c:pt>
                <c:pt idx="87">
                  <c:v>39923</c:v>
                </c:pt>
                <c:pt idx="88">
                  <c:v>39930</c:v>
                </c:pt>
                <c:pt idx="89">
                  <c:v>39937</c:v>
                </c:pt>
                <c:pt idx="90">
                  <c:v>39944</c:v>
                </c:pt>
                <c:pt idx="91">
                  <c:v>39951</c:v>
                </c:pt>
                <c:pt idx="92">
                  <c:v>39959</c:v>
                </c:pt>
                <c:pt idx="93">
                  <c:v>39965</c:v>
                </c:pt>
                <c:pt idx="94">
                  <c:v>39972</c:v>
                </c:pt>
                <c:pt idx="95">
                  <c:v>39979</c:v>
                </c:pt>
                <c:pt idx="96">
                  <c:v>39986</c:v>
                </c:pt>
                <c:pt idx="97">
                  <c:v>39993</c:v>
                </c:pt>
                <c:pt idx="98">
                  <c:v>40000</c:v>
                </c:pt>
                <c:pt idx="99">
                  <c:v>40007</c:v>
                </c:pt>
                <c:pt idx="100">
                  <c:v>40014</c:v>
                </c:pt>
                <c:pt idx="101">
                  <c:v>40021</c:v>
                </c:pt>
                <c:pt idx="102">
                  <c:v>40028</c:v>
                </c:pt>
                <c:pt idx="103">
                  <c:v>40035</c:v>
                </c:pt>
                <c:pt idx="104">
                  <c:v>40042</c:v>
                </c:pt>
                <c:pt idx="105">
                  <c:v>40049</c:v>
                </c:pt>
                <c:pt idx="106">
                  <c:v>40056</c:v>
                </c:pt>
                <c:pt idx="107">
                  <c:v>40064</c:v>
                </c:pt>
                <c:pt idx="108">
                  <c:v>40070</c:v>
                </c:pt>
                <c:pt idx="109">
                  <c:v>40077</c:v>
                </c:pt>
                <c:pt idx="110">
                  <c:v>40084</c:v>
                </c:pt>
                <c:pt idx="111">
                  <c:v>40091</c:v>
                </c:pt>
                <c:pt idx="112">
                  <c:v>40098</c:v>
                </c:pt>
                <c:pt idx="113">
                  <c:v>40105</c:v>
                </c:pt>
                <c:pt idx="114">
                  <c:v>40112</c:v>
                </c:pt>
                <c:pt idx="115">
                  <c:v>40119</c:v>
                </c:pt>
                <c:pt idx="116">
                  <c:v>40126</c:v>
                </c:pt>
                <c:pt idx="117">
                  <c:v>40133</c:v>
                </c:pt>
                <c:pt idx="118">
                  <c:v>40140</c:v>
                </c:pt>
                <c:pt idx="119">
                  <c:v>40147</c:v>
                </c:pt>
                <c:pt idx="120">
                  <c:v>40154</c:v>
                </c:pt>
                <c:pt idx="121">
                  <c:v>40161</c:v>
                </c:pt>
                <c:pt idx="122">
                  <c:v>40168</c:v>
                </c:pt>
                <c:pt idx="123">
                  <c:v>40175</c:v>
                </c:pt>
                <c:pt idx="124">
                  <c:v>40182</c:v>
                </c:pt>
                <c:pt idx="125">
                  <c:v>40189</c:v>
                </c:pt>
                <c:pt idx="126">
                  <c:v>40197</c:v>
                </c:pt>
                <c:pt idx="127">
                  <c:v>40203</c:v>
                </c:pt>
                <c:pt idx="128">
                  <c:v>40210</c:v>
                </c:pt>
                <c:pt idx="129">
                  <c:v>40217</c:v>
                </c:pt>
                <c:pt idx="130">
                  <c:v>40225</c:v>
                </c:pt>
                <c:pt idx="131">
                  <c:v>40231</c:v>
                </c:pt>
                <c:pt idx="132">
                  <c:v>40238</c:v>
                </c:pt>
                <c:pt idx="133">
                  <c:v>40245</c:v>
                </c:pt>
                <c:pt idx="134">
                  <c:v>40252</c:v>
                </c:pt>
                <c:pt idx="135">
                  <c:v>40259</c:v>
                </c:pt>
                <c:pt idx="136">
                  <c:v>40266</c:v>
                </c:pt>
                <c:pt idx="137">
                  <c:v>40273</c:v>
                </c:pt>
                <c:pt idx="138">
                  <c:v>40280</c:v>
                </c:pt>
                <c:pt idx="139">
                  <c:v>40287</c:v>
                </c:pt>
                <c:pt idx="140">
                  <c:v>40294</c:v>
                </c:pt>
                <c:pt idx="141">
                  <c:v>40301</c:v>
                </c:pt>
                <c:pt idx="142">
                  <c:v>40308</c:v>
                </c:pt>
                <c:pt idx="143">
                  <c:v>40315</c:v>
                </c:pt>
                <c:pt idx="144">
                  <c:v>40322</c:v>
                </c:pt>
                <c:pt idx="145">
                  <c:v>40330</c:v>
                </c:pt>
                <c:pt idx="146">
                  <c:v>40336</c:v>
                </c:pt>
                <c:pt idx="147">
                  <c:v>40343</c:v>
                </c:pt>
                <c:pt idx="148">
                  <c:v>40350</c:v>
                </c:pt>
                <c:pt idx="149">
                  <c:v>40357</c:v>
                </c:pt>
                <c:pt idx="150">
                  <c:v>40365</c:v>
                </c:pt>
                <c:pt idx="151">
                  <c:v>40371</c:v>
                </c:pt>
                <c:pt idx="152">
                  <c:v>40378</c:v>
                </c:pt>
                <c:pt idx="153">
                  <c:v>40385</c:v>
                </c:pt>
                <c:pt idx="154">
                  <c:v>40392</c:v>
                </c:pt>
                <c:pt idx="155">
                  <c:v>40399</c:v>
                </c:pt>
                <c:pt idx="156">
                  <c:v>40406</c:v>
                </c:pt>
                <c:pt idx="157">
                  <c:v>40413</c:v>
                </c:pt>
                <c:pt idx="158">
                  <c:v>40420</c:v>
                </c:pt>
                <c:pt idx="159">
                  <c:v>40428</c:v>
                </c:pt>
                <c:pt idx="160">
                  <c:v>40434</c:v>
                </c:pt>
                <c:pt idx="161">
                  <c:v>40441</c:v>
                </c:pt>
                <c:pt idx="162">
                  <c:v>40448</c:v>
                </c:pt>
                <c:pt idx="163">
                  <c:v>40455</c:v>
                </c:pt>
                <c:pt idx="164">
                  <c:v>40462</c:v>
                </c:pt>
                <c:pt idx="165">
                  <c:v>40469</c:v>
                </c:pt>
                <c:pt idx="166">
                  <c:v>40476</c:v>
                </c:pt>
                <c:pt idx="167">
                  <c:v>40483</c:v>
                </c:pt>
                <c:pt idx="168">
                  <c:v>40490</c:v>
                </c:pt>
                <c:pt idx="169">
                  <c:v>40497</c:v>
                </c:pt>
                <c:pt idx="170">
                  <c:v>40504</c:v>
                </c:pt>
                <c:pt idx="171">
                  <c:v>40511</c:v>
                </c:pt>
                <c:pt idx="172">
                  <c:v>40518</c:v>
                </c:pt>
                <c:pt idx="173">
                  <c:v>40525</c:v>
                </c:pt>
                <c:pt idx="174">
                  <c:v>40532</c:v>
                </c:pt>
                <c:pt idx="175">
                  <c:v>40539</c:v>
                </c:pt>
                <c:pt idx="176">
                  <c:v>40546</c:v>
                </c:pt>
                <c:pt idx="177">
                  <c:v>40553</c:v>
                </c:pt>
                <c:pt idx="178">
                  <c:v>40561</c:v>
                </c:pt>
                <c:pt idx="179">
                  <c:v>40567</c:v>
                </c:pt>
                <c:pt idx="180">
                  <c:v>40574</c:v>
                </c:pt>
                <c:pt idx="181">
                  <c:v>40581</c:v>
                </c:pt>
                <c:pt idx="182">
                  <c:v>40588</c:v>
                </c:pt>
                <c:pt idx="183">
                  <c:v>40596</c:v>
                </c:pt>
                <c:pt idx="184">
                  <c:v>40602</c:v>
                </c:pt>
                <c:pt idx="185">
                  <c:v>40609</c:v>
                </c:pt>
                <c:pt idx="186">
                  <c:v>40616</c:v>
                </c:pt>
                <c:pt idx="187">
                  <c:v>40623</c:v>
                </c:pt>
                <c:pt idx="188">
                  <c:v>40630</c:v>
                </c:pt>
                <c:pt idx="189">
                  <c:v>40637</c:v>
                </c:pt>
                <c:pt idx="190">
                  <c:v>40644</c:v>
                </c:pt>
                <c:pt idx="191">
                  <c:v>40651</c:v>
                </c:pt>
                <c:pt idx="192">
                  <c:v>40658</c:v>
                </c:pt>
                <c:pt idx="193">
                  <c:v>40665</c:v>
                </c:pt>
                <c:pt idx="194">
                  <c:v>40672</c:v>
                </c:pt>
                <c:pt idx="195">
                  <c:v>40679</c:v>
                </c:pt>
                <c:pt idx="196">
                  <c:v>40686</c:v>
                </c:pt>
                <c:pt idx="197">
                  <c:v>40694</c:v>
                </c:pt>
                <c:pt idx="198">
                  <c:v>40700</c:v>
                </c:pt>
                <c:pt idx="199">
                  <c:v>40707</c:v>
                </c:pt>
                <c:pt idx="200">
                  <c:v>40714</c:v>
                </c:pt>
                <c:pt idx="201">
                  <c:v>40721</c:v>
                </c:pt>
                <c:pt idx="202">
                  <c:v>40729</c:v>
                </c:pt>
                <c:pt idx="203">
                  <c:v>40735</c:v>
                </c:pt>
                <c:pt idx="204">
                  <c:v>40742</c:v>
                </c:pt>
                <c:pt idx="205">
                  <c:v>40749</c:v>
                </c:pt>
                <c:pt idx="206">
                  <c:v>40756</c:v>
                </c:pt>
                <c:pt idx="207">
                  <c:v>40763</c:v>
                </c:pt>
                <c:pt idx="208">
                  <c:v>40770</c:v>
                </c:pt>
                <c:pt idx="209">
                  <c:v>40777</c:v>
                </c:pt>
                <c:pt idx="210">
                  <c:v>40784</c:v>
                </c:pt>
                <c:pt idx="211">
                  <c:v>40792</c:v>
                </c:pt>
                <c:pt idx="212">
                  <c:v>40798</c:v>
                </c:pt>
                <c:pt idx="213">
                  <c:v>40805</c:v>
                </c:pt>
                <c:pt idx="214">
                  <c:v>40812</c:v>
                </c:pt>
                <c:pt idx="215">
                  <c:v>40819</c:v>
                </c:pt>
                <c:pt idx="216">
                  <c:v>40826</c:v>
                </c:pt>
                <c:pt idx="217">
                  <c:v>40833</c:v>
                </c:pt>
                <c:pt idx="218">
                  <c:v>40840</c:v>
                </c:pt>
                <c:pt idx="219">
                  <c:v>40847</c:v>
                </c:pt>
                <c:pt idx="220">
                  <c:v>40854</c:v>
                </c:pt>
                <c:pt idx="221">
                  <c:v>40861</c:v>
                </c:pt>
                <c:pt idx="222">
                  <c:v>40868</c:v>
                </c:pt>
                <c:pt idx="223">
                  <c:v>40875</c:v>
                </c:pt>
                <c:pt idx="224">
                  <c:v>40882</c:v>
                </c:pt>
                <c:pt idx="225">
                  <c:v>40889</c:v>
                </c:pt>
                <c:pt idx="226">
                  <c:v>40896</c:v>
                </c:pt>
              </c:numCache>
            </c:numRef>
          </c:cat>
          <c:val>
            <c:numRef>
              <c:f>'GOOG|S&amp;P Data'!$F$158:$F$384</c:f>
              <c:numCache>
                <c:formatCode>_(* #,##0.00_);_(* \(#,##0.00\);_(* "-"??_);_(@_)</c:formatCode>
                <c:ptCount val="227"/>
                <c:pt idx="0">
                  <c:v>1.1993502887574727</c:v>
                </c:pt>
                <c:pt idx="1">
                  <c:v>1.2075267458852539</c:v>
                </c:pt>
                <c:pt idx="2">
                  <c:v>1.1931385257556357</c:v>
                </c:pt>
                <c:pt idx="3">
                  <c:v>1.176965563249307</c:v>
                </c:pt>
                <c:pt idx="4">
                  <c:v>1.2068435187687214</c:v>
                </c:pt>
                <c:pt idx="5">
                  <c:v>1.1686797443072303</c:v>
                </c:pt>
                <c:pt idx="6">
                  <c:v>1.189254561691756</c:v>
                </c:pt>
                <c:pt idx="7">
                  <c:v>1.2131145365146059</c:v>
                </c:pt>
                <c:pt idx="8">
                  <c:v>1.2300082687280374</c:v>
                </c:pt>
                <c:pt idx="9">
                  <c:v>1.1862016687490933</c:v>
                </c:pt>
                <c:pt idx="10">
                  <c:v>1.2865784509576483</c:v>
                </c:pt>
                <c:pt idx="11">
                  <c:v>1.2971065624899563</c:v>
                </c:pt>
                <c:pt idx="12">
                  <c:v>1.2710458302985477</c:v>
                </c:pt>
                <c:pt idx="13">
                  <c:v>1.2319203865005433</c:v>
                </c:pt>
                <c:pt idx="14">
                  <c:v>1.2202213667020392</c:v>
                </c:pt>
                <c:pt idx="15">
                  <c:v>1.215659639513617</c:v>
                </c:pt>
                <c:pt idx="16">
                  <c:v>1.2214828464035821</c:v>
                </c:pt>
                <c:pt idx="17">
                  <c:v>1.2121649780728752</c:v>
                </c:pt>
                <c:pt idx="18">
                  <c:v>1.21132072075845</c:v>
                </c:pt>
                <c:pt idx="19">
                  <c:v>1.2461608421636856</c:v>
                </c:pt>
                <c:pt idx="20">
                  <c:v>1.2538567540967693</c:v>
                </c:pt>
                <c:pt idx="21">
                  <c:v>1.234888281120486</c:v>
                </c:pt>
                <c:pt idx="22">
                  <c:v>1.2297138362487887</c:v>
                </c:pt>
                <c:pt idx="23">
                  <c:v>1.0380190059379963</c:v>
                </c:pt>
                <c:pt idx="24">
                  <c:v>0.99567374784872154</c:v>
                </c:pt>
                <c:pt idx="25">
                  <c:v>1.0014854608090316</c:v>
                </c:pt>
                <c:pt idx="26">
                  <c:v>1.0119763275213114</c:v>
                </c:pt>
                <c:pt idx="27">
                  <c:v>1.038129439552798</c:v>
                </c:pt>
                <c:pt idx="28">
                  <c:v>1.0611495326926996</c:v>
                </c:pt>
                <c:pt idx="29">
                  <c:v>1.0634374891625429</c:v>
                </c:pt>
                <c:pt idx="30">
                  <c:v>1.0321324708207005</c:v>
                </c:pt>
                <c:pt idx="31">
                  <c:v>1.0282538279127911</c:v>
                </c:pt>
                <c:pt idx="32">
                  <c:v>1.0437883840743427</c:v>
                </c:pt>
                <c:pt idx="33">
                  <c:v>1.0415433119439783</c:v>
                </c:pt>
                <c:pt idx="34">
                  <c:v>1.1276139578577775</c:v>
                </c:pt>
                <c:pt idx="35">
                  <c:v>1.1268709668744814</c:v>
                </c:pt>
                <c:pt idx="36">
                  <c:v>1.1332161003619448</c:v>
                </c:pt>
                <c:pt idx="37">
                  <c:v>1.1381117906839842</c:v>
                </c:pt>
                <c:pt idx="38">
                  <c:v>1.1179604708736945</c:v>
                </c:pt>
                <c:pt idx="39">
                  <c:v>1.1254442331976942</c:v>
                </c:pt>
                <c:pt idx="40">
                  <c:v>1.1454051687076792</c:v>
                </c:pt>
                <c:pt idx="41">
                  <c:v>1.147675920216028</c:v>
                </c:pt>
                <c:pt idx="42">
                  <c:v>1.1561931500491163</c:v>
                </c:pt>
                <c:pt idx="43">
                  <c:v>1.1967695173673873</c:v>
                </c:pt>
                <c:pt idx="44">
                  <c:v>1.1986521898779863</c:v>
                </c:pt>
                <c:pt idx="45">
                  <c:v>1.1934788353110832</c:v>
                </c:pt>
                <c:pt idx="46">
                  <c:v>1.1902060111310437</c:v>
                </c:pt>
                <c:pt idx="47">
                  <c:v>1.1524550678080978</c:v>
                </c:pt>
                <c:pt idx="48">
                  <c:v>1.1515440324762303</c:v>
                </c:pt>
                <c:pt idx="49">
                  <c:v>1.1521476027889235</c:v>
                </c:pt>
                <c:pt idx="50">
                  <c:v>1.1639102682932629</c:v>
                </c:pt>
                <c:pt idx="51">
                  <c:v>1.1596687408235733</c:v>
                </c:pt>
                <c:pt idx="52">
                  <c:v>1.1684155453093708</c:v>
                </c:pt>
                <c:pt idx="53">
                  <c:v>1.1755512970750337</c:v>
                </c:pt>
                <c:pt idx="54">
                  <c:v>1.1762190007966906</c:v>
                </c:pt>
                <c:pt idx="55">
                  <c:v>1.1728248183258279</c:v>
                </c:pt>
                <c:pt idx="56">
                  <c:v>1.1969879936948478</c:v>
                </c:pt>
                <c:pt idx="57">
                  <c:v>1.2015419636551501</c:v>
                </c:pt>
                <c:pt idx="58">
                  <c:v>1.1980269923101299</c:v>
                </c:pt>
                <c:pt idx="59">
                  <c:v>1.0584913316696036</c:v>
                </c:pt>
                <c:pt idx="60">
                  <c:v>1.0990113537602404</c:v>
                </c:pt>
                <c:pt idx="61">
                  <c:v>1.1047521348162768</c:v>
                </c:pt>
                <c:pt idx="62">
                  <c:v>1.0380900964847097</c:v>
                </c:pt>
                <c:pt idx="63">
                  <c:v>1.0527582434288343</c:v>
                </c:pt>
                <c:pt idx="64">
                  <c:v>1.0515890681912829</c:v>
                </c:pt>
                <c:pt idx="65">
                  <c:v>1.0873307063923494</c:v>
                </c:pt>
                <c:pt idx="66">
                  <c:v>1.0738129090772404</c:v>
                </c:pt>
                <c:pt idx="67">
                  <c:v>1.0745932456062532</c:v>
                </c:pt>
                <c:pt idx="68">
                  <c:v>1.0766471499191692</c:v>
                </c:pt>
                <c:pt idx="69">
                  <c:v>1.0743660784119509</c:v>
                </c:pt>
                <c:pt idx="70">
                  <c:v>1.073788468692366</c:v>
                </c:pt>
                <c:pt idx="71">
                  <c:v>1.052455739207494</c:v>
                </c:pt>
                <c:pt idx="72">
                  <c:v>1.0447033157250061</c:v>
                </c:pt>
                <c:pt idx="73">
                  <c:v>1.0302570924176604</c:v>
                </c:pt>
                <c:pt idx="74">
                  <c:v>1.0079990745136045</c:v>
                </c:pt>
                <c:pt idx="75">
                  <c:v>0.99692645379541123</c:v>
                </c:pt>
                <c:pt idx="76">
                  <c:v>1.0136124399685351</c:v>
                </c:pt>
                <c:pt idx="77">
                  <c:v>1.0113128346901294</c:v>
                </c:pt>
                <c:pt idx="78">
                  <c:v>0.99622287084628469</c:v>
                </c:pt>
                <c:pt idx="79">
                  <c:v>0.99159841084264932</c:v>
                </c:pt>
                <c:pt idx="80">
                  <c:v>0.9995052144362645</c:v>
                </c:pt>
                <c:pt idx="81">
                  <c:v>0.96410313405162484</c:v>
                </c:pt>
                <c:pt idx="82">
                  <c:v>0.96416350377279747</c:v>
                </c:pt>
                <c:pt idx="83">
                  <c:v>0.96217967959789985</c:v>
                </c:pt>
                <c:pt idx="84">
                  <c:v>0.96727775299526597</c:v>
                </c:pt>
                <c:pt idx="85">
                  <c:v>0.96595386138020756</c:v>
                </c:pt>
                <c:pt idx="86">
                  <c:v>0.96215742019738626</c:v>
                </c:pt>
                <c:pt idx="87">
                  <c:v>0.96260986927460679</c:v>
                </c:pt>
                <c:pt idx="88">
                  <c:v>0.9675447273873069</c:v>
                </c:pt>
                <c:pt idx="89">
                  <c:v>0.9552224292838436</c:v>
                </c:pt>
                <c:pt idx="90">
                  <c:v>0.95507470913811632</c:v>
                </c:pt>
                <c:pt idx="91">
                  <c:v>0.95397705445759451</c:v>
                </c:pt>
                <c:pt idx="92">
                  <c:v>0.95914628063800833</c:v>
                </c:pt>
                <c:pt idx="93">
                  <c:v>0.97027596996230903</c:v>
                </c:pt>
                <c:pt idx="94">
                  <c:v>0.96804909098467218</c:v>
                </c:pt>
                <c:pt idx="95">
                  <c:v>0.96741084128730914</c:v>
                </c:pt>
                <c:pt idx="96">
                  <c:v>0.96580522615474773</c:v>
                </c:pt>
                <c:pt idx="97">
                  <c:v>0.96812691336545442</c:v>
                </c:pt>
                <c:pt idx="98">
                  <c:v>0.96287583963361878</c:v>
                </c:pt>
                <c:pt idx="99">
                  <c:v>0.95208453122012604</c:v>
                </c:pt>
                <c:pt idx="100">
                  <c:v>0.9573827387991225</c:v>
                </c:pt>
                <c:pt idx="101">
                  <c:v>0.95678301431489332</c:v>
                </c:pt>
                <c:pt idx="102">
                  <c:v>0.95715748980255366</c:v>
                </c:pt>
                <c:pt idx="103">
                  <c:v>0.95539852792002655</c:v>
                </c:pt>
                <c:pt idx="104">
                  <c:v>0.95327353930605352</c:v>
                </c:pt>
                <c:pt idx="105">
                  <c:v>0.9532003456628142</c:v>
                </c:pt>
                <c:pt idx="106">
                  <c:v>0.95330159690655059</c:v>
                </c:pt>
                <c:pt idx="107">
                  <c:v>0.94691357038368085</c:v>
                </c:pt>
                <c:pt idx="108">
                  <c:v>0.94860209617249525</c:v>
                </c:pt>
                <c:pt idx="109">
                  <c:v>0.94838811023375624</c:v>
                </c:pt>
                <c:pt idx="110">
                  <c:v>0.94663271226096624</c:v>
                </c:pt>
                <c:pt idx="111">
                  <c:v>0.95106602475318103</c:v>
                </c:pt>
                <c:pt idx="112">
                  <c:v>0.95382535023555859</c:v>
                </c:pt>
                <c:pt idx="113">
                  <c:v>0.95255646311967512</c:v>
                </c:pt>
                <c:pt idx="114">
                  <c:v>0.95182025657780178</c:v>
                </c:pt>
                <c:pt idx="115">
                  <c:v>0.95162085986660672</c:v>
                </c:pt>
                <c:pt idx="116">
                  <c:v>0.95036218467363587</c:v>
                </c:pt>
                <c:pt idx="117">
                  <c:v>0.95034869395278265</c:v>
                </c:pt>
                <c:pt idx="118">
                  <c:v>0.94991766830365765</c:v>
                </c:pt>
                <c:pt idx="119">
                  <c:v>0.94970641994106464</c:v>
                </c:pt>
                <c:pt idx="120">
                  <c:v>0.9512555951330981</c:v>
                </c:pt>
                <c:pt idx="121">
                  <c:v>0.94880130502596116</c:v>
                </c:pt>
                <c:pt idx="122">
                  <c:v>0.95015616223220023</c:v>
                </c:pt>
                <c:pt idx="123">
                  <c:v>0.95133904449634432</c:v>
                </c:pt>
                <c:pt idx="124">
                  <c:v>0.94188771928063941</c:v>
                </c:pt>
                <c:pt idx="125">
                  <c:v>0.94312324703190886</c:v>
                </c:pt>
                <c:pt idx="126">
                  <c:v>0.94686234003756364</c:v>
                </c:pt>
                <c:pt idx="127">
                  <c:v>0.95345459917729991</c:v>
                </c:pt>
                <c:pt idx="128">
                  <c:v>0.95219388721243559</c:v>
                </c:pt>
                <c:pt idx="129">
                  <c:v>0.95161779376027611</c:v>
                </c:pt>
                <c:pt idx="130">
                  <c:v>0.94864297837753386</c:v>
                </c:pt>
                <c:pt idx="131">
                  <c:v>0.9427851012860482</c:v>
                </c:pt>
                <c:pt idx="132">
                  <c:v>0.94773748003268909</c:v>
                </c:pt>
                <c:pt idx="133">
                  <c:v>0.94745859763038565</c:v>
                </c:pt>
                <c:pt idx="134">
                  <c:v>0.94345159964469694</c:v>
                </c:pt>
                <c:pt idx="135">
                  <c:v>0.94327884476802348</c:v>
                </c:pt>
                <c:pt idx="136">
                  <c:v>0.94229114500056743</c:v>
                </c:pt>
                <c:pt idx="137">
                  <c:v>0.94150094243459848</c:v>
                </c:pt>
                <c:pt idx="138">
                  <c:v>0.94040233671583273</c:v>
                </c:pt>
                <c:pt idx="139">
                  <c:v>0.93750985924979602</c:v>
                </c:pt>
                <c:pt idx="140">
                  <c:v>0.94038947252231209</c:v>
                </c:pt>
                <c:pt idx="141">
                  <c:v>0.94188100166143418</c:v>
                </c:pt>
                <c:pt idx="142">
                  <c:v>0.94284034862273747</c:v>
                </c:pt>
                <c:pt idx="143">
                  <c:v>0.94978475680389574</c:v>
                </c:pt>
                <c:pt idx="144">
                  <c:v>0.94872925781090423</c:v>
                </c:pt>
                <c:pt idx="145">
                  <c:v>0.94783770021177216</c:v>
                </c:pt>
                <c:pt idx="146">
                  <c:v>0.94509148107159546</c:v>
                </c:pt>
                <c:pt idx="147">
                  <c:v>0.94977362059521453</c:v>
                </c:pt>
                <c:pt idx="148">
                  <c:v>0.95355462354881382</c:v>
                </c:pt>
                <c:pt idx="149">
                  <c:v>0.95934594032760778</c:v>
                </c:pt>
                <c:pt idx="150">
                  <c:v>0.96322640790389602</c:v>
                </c:pt>
                <c:pt idx="151">
                  <c:v>0.96125481618201447</c:v>
                </c:pt>
                <c:pt idx="152">
                  <c:v>0.97300342158024422</c:v>
                </c:pt>
                <c:pt idx="153">
                  <c:v>0.97282978593170089</c:v>
                </c:pt>
                <c:pt idx="154">
                  <c:v>0.97323515323174703</c:v>
                </c:pt>
                <c:pt idx="155">
                  <c:v>0.97150690772388304</c:v>
                </c:pt>
                <c:pt idx="156">
                  <c:v>0.97211080844513331</c:v>
                </c:pt>
                <c:pt idx="157">
                  <c:v>0.97219158440832265</c:v>
                </c:pt>
                <c:pt idx="158">
                  <c:v>0.97095830443554787</c:v>
                </c:pt>
                <c:pt idx="159">
                  <c:v>0.97155283564159001</c:v>
                </c:pt>
                <c:pt idx="160">
                  <c:v>0.96840159637433243</c:v>
                </c:pt>
                <c:pt idx="161">
                  <c:v>0.97379711393396384</c:v>
                </c:pt>
                <c:pt idx="162">
                  <c:v>0.97123596062248518</c:v>
                </c:pt>
                <c:pt idx="163">
                  <c:v>0.97021000543591285</c:v>
                </c:pt>
                <c:pt idx="164">
                  <c:v>0.98428052842500413</c:v>
                </c:pt>
                <c:pt idx="165">
                  <c:v>0.98214694755946663</c:v>
                </c:pt>
                <c:pt idx="166">
                  <c:v>0.98730691939021209</c:v>
                </c:pt>
                <c:pt idx="167">
                  <c:v>0.9787932095675338</c:v>
                </c:pt>
                <c:pt idx="168">
                  <c:v>0.98123515235623504</c:v>
                </c:pt>
                <c:pt idx="169">
                  <c:v>0.9855403326480876</c:v>
                </c:pt>
                <c:pt idx="170">
                  <c:v>0.98591663282679021</c:v>
                </c:pt>
                <c:pt idx="171">
                  <c:v>0.97631124256577706</c:v>
                </c:pt>
                <c:pt idx="172">
                  <c:v>0.97628808865665817</c:v>
                </c:pt>
                <c:pt idx="173">
                  <c:v>0.9763032950519539</c:v>
                </c:pt>
                <c:pt idx="174">
                  <c:v>0.97711089261977524</c:v>
                </c:pt>
                <c:pt idx="175">
                  <c:v>0.97245967726175275</c:v>
                </c:pt>
                <c:pt idx="176">
                  <c:v>0.97304989390286645</c:v>
                </c:pt>
                <c:pt idx="177">
                  <c:v>0.97056958164252216</c:v>
                </c:pt>
                <c:pt idx="178">
                  <c:v>0.97217312526794297</c:v>
                </c:pt>
                <c:pt idx="179">
                  <c:v>1.0052754501203516</c:v>
                </c:pt>
                <c:pt idx="180">
                  <c:v>1.0140658954508481</c:v>
                </c:pt>
                <c:pt idx="181">
                  <c:v>1.0138749118024384</c:v>
                </c:pt>
                <c:pt idx="182">
                  <c:v>1.0140911870805951</c:v>
                </c:pt>
                <c:pt idx="183">
                  <c:v>1.0106738019743475</c:v>
                </c:pt>
                <c:pt idx="184">
                  <c:v>1.002948766134437</c:v>
                </c:pt>
                <c:pt idx="185">
                  <c:v>1.0051994887465885</c:v>
                </c:pt>
                <c:pt idx="186">
                  <c:v>1.0131482829368443</c:v>
                </c:pt>
                <c:pt idx="187">
                  <c:v>1.014664726986042</c:v>
                </c:pt>
                <c:pt idx="188">
                  <c:v>1.0086638647032649</c:v>
                </c:pt>
                <c:pt idx="189">
                  <c:v>1.0085983942047296</c:v>
                </c:pt>
                <c:pt idx="190">
                  <c:v>0.98241025429258733</c:v>
                </c:pt>
                <c:pt idx="191">
                  <c:v>0.98074083042921401</c:v>
                </c:pt>
                <c:pt idx="192">
                  <c:v>0.97917422059036774</c:v>
                </c:pt>
                <c:pt idx="193">
                  <c:v>0.97947318694042285</c:v>
                </c:pt>
                <c:pt idx="194">
                  <c:v>0.98149166765358797</c:v>
                </c:pt>
                <c:pt idx="195">
                  <c:v>0.97676005274015854</c:v>
                </c:pt>
                <c:pt idx="196">
                  <c:v>0.9716763962169801</c:v>
                </c:pt>
                <c:pt idx="197">
                  <c:v>0.96779809069919376</c:v>
                </c:pt>
                <c:pt idx="198">
                  <c:v>0.96833590469368458</c:v>
                </c:pt>
                <c:pt idx="199">
                  <c:v>0.96609074598491429</c:v>
                </c:pt>
                <c:pt idx="200">
                  <c:v>0.96566597885576877</c:v>
                </c:pt>
                <c:pt idx="201">
                  <c:v>0.97958605352140737</c:v>
                </c:pt>
                <c:pt idx="202">
                  <c:v>0.98098862556660626</c:v>
                </c:pt>
                <c:pt idx="203">
                  <c:v>0.97477932075755402</c:v>
                </c:pt>
                <c:pt idx="204">
                  <c:v>0.9763803721495814</c:v>
                </c:pt>
                <c:pt idx="205">
                  <c:v>0.97404697631307546</c:v>
                </c:pt>
                <c:pt idx="206">
                  <c:v>0.96051054008984849</c:v>
                </c:pt>
                <c:pt idx="207">
                  <c:v>0.96131885740135214</c:v>
                </c:pt>
                <c:pt idx="208">
                  <c:v>0.97993155332369353</c:v>
                </c:pt>
                <c:pt idx="209">
                  <c:v>0.98391053527495409</c:v>
                </c:pt>
                <c:pt idx="210">
                  <c:v>0.98213322674274195</c:v>
                </c:pt>
                <c:pt idx="211">
                  <c:v>0.98179954246909273</c:v>
                </c:pt>
                <c:pt idx="212">
                  <c:v>0.97827906476991866</c:v>
                </c:pt>
                <c:pt idx="213">
                  <c:v>0.96959740465930755</c:v>
                </c:pt>
                <c:pt idx="214">
                  <c:v>0.96386676026573381</c:v>
                </c:pt>
                <c:pt idx="215">
                  <c:v>0.99490122811186921</c:v>
                </c:pt>
                <c:pt idx="216">
                  <c:v>1.005090470975166</c:v>
                </c:pt>
                <c:pt idx="217">
                  <c:v>0.99477121721017003</c:v>
                </c:pt>
                <c:pt idx="218">
                  <c:v>1.0199064070576682</c:v>
                </c:pt>
                <c:pt idx="219">
                  <c:v>1.0064025711591698</c:v>
                </c:pt>
                <c:pt idx="220">
                  <c:v>1.0051739715885373</c:v>
                </c:pt>
                <c:pt idx="221">
                  <c:v>0.95933816650345904</c:v>
                </c:pt>
                <c:pt idx="222">
                  <c:v>0.96540228475842005</c:v>
                </c:pt>
                <c:pt idx="223">
                  <c:v>0.97710583556378594</c:v>
                </c:pt>
                <c:pt idx="224">
                  <c:v>0.9760195946104081</c:v>
                </c:pt>
                <c:pt idx="225">
                  <c:v>0.97250832723756997</c:v>
                </c:pt>
                <c:pt idx="226">
                  <c:v>0.96327271769791656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'GOOG|S&amp;P Data'!$G$158:$G$384</c:f>
              <c:numCache>
                <c:formatCode>_(* #,##0.00_);_(* \(#,##0.00\);_(* "-"??_);_(@_)</c:formatCode>
                <c:ptCount val="227"/>
                <c:pt idx="0">
                  <c:v>1.0213028478756274</c:v>
                </c:pt>
                <c:pt idx="1">
                  <c:v>1.0213028478756274</c:v>
                </c:pt>
                <c:pt idx="2">
                  <c:v>1.0213028478756274</c:v>
                </c:pt>
                <c:pt idx="3">
                  <c:v>1.0213028478756274</c:v>
                </c:pt>
                <c:pt idx="4">
                  <c:v>1.0213028478756274</c:v>
                </c:pt>
                <c:pt idx="5">
                  <c:v>1.0213028478756274</c:v>
                </c:pt>
                <c:pt idx="6">
                  <c:v>1.0213028478756274</c:v>
                </c:pt>
                <c:pt idx="7">
                  <c:v>1.0213028478756274</c:v>
                </c:pt>
                <c:pt idx="8">
                  <c:v>1.0213028478756274</c:v>
                </c:pt>
                <c:pt idx="9">
                  <c:v>1.0213028478756274</c:v>
                </c:pt>
                <c:pt idx="10">
                  <c:v>1.0213028478756274</c:v>
                </c:pt>
                <c:pt idx="11">
                  <c:v>1.0213028478756274</c:v>
                </c:pt>
                <c:pt idx="12">
                  <c:v>1.0213028478756274</c:v>
                </c:pt>
                <c:pt idx="13">
                  <c:v>1.0213028478756274</c:v>
                </c:pt>
                <c:pt idx="14">
                  <c:v>1.0213028478756274</c:v>
                </c:pt>
                <c:pt idx="15">
                  <c:v>1.0213028478756274</c:v>
                </c:pt>
                <c:pt idx="16">
                  <c:v>1.0213028478756274</c:v>
                </c:pt>
                <c:pt idx="17">
                  <c:v>1.0213028478756274</c:v>
                </c:pt>
                <c:pt idx="18">
                  <c:v>1.0213028478756274</c:v>
                </c:pt>
                <c:pt idx="19">
                  <c:v>1.0213028478756274</c:v>
                </c:pt>
                <c:pt idx="20">
                  <c:v>1.0213028478756274</c:v>
                </c:pt>
                <c:pt idx="21">
                  <c:v>1.0213028478756274</c:v>
                </c:pt>
                <c:pt idx="22">
                  <c:v>1.0213028478756274</c:v>
                </c:pt>
                <c:pt idx="23">
                  <c:v>1.0213028478756274</c:v>
                </c:pt>
                <c:pt idx="24">
                  <c:v>1.0213028478756274</c:v>
                </c:pt>
                <c:pt idx="25">
                  <c:v>1.0213028478756274</c:v>
                </c:pt>
                <c:pt idx="26">
                  <c:v>1.0213028478756274</c:v>
                </c:pt>
                <c:pt idx="27">
                  <c:v>1.0213028478756274</c:v>
                </c:pt>
                <c:pt idx="28">
                  <c:v>1.0213028478756274</c:v>
                </c:pt>
                <c:pt idx="29">
                  <c:v>1.0213028478756274</c:v>
                </c:pt>
                <c:pt idx="30">
                  <c:v>1.0213028478756274</c:v>
                </c:pt>
                <c:pt idx="31">
                  <c:v>1.0213028478756274</c:v>
                </c:pt>
                <c:pt idx="32">
                  <c:v>1.0213028478756274</c:v>
                </c:pt>
                <c:pt idx="33">
                  <c:v>1.0213028478756274</c:v>
                </c:pt>
                <c:pt idx="34">
                  <c:v>1.0213028478756274</c:v>
                </c:pt>
                <c:pt idx="35">
                  <c:v>1.0213028478756274</c:v>
                </c:pt>
                <c:pt idx="36">
                  <c:v>1.0213028478756274</c:v>
                </c:pt>
                <c:pt idx="37">
                  <c:v>1.0213028478756274</c:v>
                </c:pt>
                <c:pt idx="38">
                  <c:v>1.0213028478756274</c:v>
                </c:pt>
                <c:pt idx="39">
                  <c:v>1.0213028478756274</c:v>
                </c:pt>
                <c:pt idx="40">
                  <c:v>1.0213028478756274</c:v>
                </c:pt>
                <c:pt idx="41">
                  <c:v>1.0213028478756274</c:v>
                </c:pt>
                <c:pt idx="42">
                  <c:v>1.0213028478756274</c:v>
                </c:pt>
                <c:pt idx="43">
                  <c:v>1.0213028478756274</c:v>
                </c:pt>
                <c:pt idx="44">
                  <c:v>1.0213028478756274</c:v>
                </c:pt>
                <c:pt idx="45">
                  <c:v>1.0213028478756274</c:v>
                </c:pt>
                <c:pt idx="46">
                  <c:v>1.0213028478756274</c:v>
                </c:pt>
                <c:pt idx="47">
                  <c:v>1.0213028478756274</c:v>
                </c:pt>
                <c:pt idx="48">
                  <c:v>1.0213028478756274</c:v>
                </c:pt>
                <c:pt idx="49">
                  <c:v>1.0213028478756274</c:v>
                </c:pt>
                <c:pt idx="50">
                  <c:v>1.0213028478756274</c:v>
                </c:pt>
                <c:pt idx="51">
                  <c:v>1.0213028478756274</c:v>
                </c:pt>
                <c:pt idx="52">
                  <c:v>1.0213028478756274</c:v>
                </c:pt>
                <c:pt idx="53">
                  <c:v>1.0213028478756274</c:v>
                </c:pt>
                <c:pt idx="54">
                  <c:v>1.0213028478756274</c:v>
                </c:pt>
                <c:pt idx="55">
                  <c:v>1.0213028478756274</c:v>
                </c:pt>
                <c:pt idx="56">
                  <c:v>1.0213028478756274</c:v>
                </c:pt>
                <c:pt idx="57">
                  <c:v>1.0213028478756274</c:v>
                </c:pt>
                <c:pt idx="58">
                  <c:v>1.0213028478756274</c:v>
                </c:pt>
                <c:pt idx="59">
                  <c:v>1.0213028478756274</c:v>
                </c:pt>
                <c:pt idx="60">
                  <c:v>1.0213028478756274</c:v>
                </c:pt>
                <c:pt idx="61">
                  <c:v>1.0213028478756274</c:v>
                </c:pt>
                <c:pt idx="62">
                  <c:v>1.0213028478756274</c:v>
                </c:pt>
                <c:pt idx="63">
                  <c:v>1.0213028478756274</c:v>
                </c:pt>
                <c:pt idx="64">
                  <c:v>1.0213028478756274</c:v>
                </c:pt>
                <c:pt idx="65">
                  <c:v>1.0213028478756274</c:v>
                </c:pt>
                <c:pt idx="66">
                  <c:v>1.0213028478756274</c:v>
                </c:pt>
                <c:pt idx="67">
                  <c:v>1.0213028478756274</c:v>
                </c:pt>
                <c:pt idx="68">
                  <c:v>1.0213028478756274</c:v>
                </c:pt>
                <c:pt idx="69">
                  <c:v>1.0213028478756274</c:v>
                </c:pt>
                <c:pt idx="70">
                  <c:v>1.0213028478756274</c:v>
                </c:pt>
                <c:pt idx="71">
                  <c:v>1.0213028478756274</c:v>
                </c:pt>
                <c:pt idx="72">
                  <c:v>1.0213028478756274</c:v>
                </c:pt>
                <c:pt idx="73">
                  <c:v>1.0213028478756274</c:v>
                </c:pt>
                <c:pt idx="74">
                  <c:v>1.0213028478756274</c:v>
                </c:pt>
                <c:pt idx="75">
                  <c:v>1.0213028478756274</c:v>
                </c:pt>
                <c:pt idx="76">
                  <c:v>1.0213028478756274</c:v>
                </c:pt>
                <c:pt idx="77">
                  <c:v>1.0213028478756274</c:v>
                </c:pt>
                <c:pt idx="78">
                  <c:v>1.0213028478756274</c:v>
                </c:pt>
                <c:pt idx="79">
                  <c:v>1.0213028478756274</c:v>
                </c:pt>
                <c:pt idx="80">
                  <c:v>1.0213028478756274</c:v>
                </c:pt>
                <c:pt idx="81">
                  <c:v>1.0213028478756274</c:v>
                </c:pt>
                <c:pt idx="82">
                  <c:v>1.0213028478756274</c:v>
                </c:pt>
                <c:pt idx="83">
                  <c:v>1.0213028478756274</c:v>
                </c:pt>
                <c:pt idx="84">
                  <c:v>1.0213028478756274</c:v>
                </c:pt>
                <c:pt idx="85">
                  <c:v>1.0213028478756274</c:v>
                </c:pt>
                <c:pt idx="86">
                  <c:v>1.0213028478756274</c:v>
                </c:pt>
                <c:pt idx="87">
                  <c:v>1.0213028478756274</c:v>
                </c:pt>
                <c:pt idx="88">
                  <c:v>1.0213028478756274</c:v>
                </c:pt>
                <c:pt idx="89">
                  <c:v>1.0213028478756274</c:v>
                </c:pt>
                <c:pt idx="90">
                  <c:v>1.0213028478756274</c:v>
                </c:pt>
                <c:pt idx="91">
                  <c:v>1.0213028478756274</c:v>
                </c:pt>
                <c:pt idx="92">
                  <c:v>1.0213028478756274</c:v>
                </c:pt>
                <c:pt idx="93">
                  <c:v>1.0213028478756274</c:v>
                </c:pt>
                <c:pt idx="94">
                  <c:v>1.0213028478756274</c:v>
                </c:pt>
                <c:pt idx="95">
                  <c:v>1.0213028478756274</c:v>
                </c:pt>
                <c:pt idx="96">
                  <c:v>1.0213028478756274</c:v>
                </c:pt>
                <c:pt idx="97">
                  <c:v>1.0213028478756274</c:v>
                </c:pt>
                <c:pt idx="98">
                  <c:v>1.0213028478756274</c:v>
                </c:pt>
                <c:pt idx="99">
                  <c:v>1.0213028478756274</c:v>
                </c:pt>
                <c:pt idx="100">
                  <c:v>1.0213028478756274</c:v>
                </c:pt>
                <c:pt idx="101">
                  <c:v>1.0213028478756274</c:v>
                </c:pt>
                <c:pt idx="102">
                  <c:v>1.0213028478756274</c:v>
                </c:pt>
                <c:pt idx="103">
                  <c:v>1.0213028478756274</c:v>
                </c:pt>
                <c:pt idx="104">
                  <c:v>1.0213028478756274</c:v>
                </c:pt>
                <c:pt idx="105">
                  <c:v>1.0213028478756274</c:v>
                </c:pt>
                <c:pt idx="106">
                  <c:v>1.0213028478756274</c:v>
                </c:pt>
                <c:pt idx="107">
                  <c:v>1.0213028478756274</c:v>
                </c:pt>
                <c:pt idx="108">
                  <c:v>1.0213028478756274</c:v>
                </c:pt>
                <c:pt idx="109">
                  <c:v>1.0213028478756274</c:v>
                </c:pt>
                <c:pt idx="110">
                  <c:v>1.0213028478756274</c:v>
                </c:pt>
                <c:pt idx="111">
                  <c:v>1.0213028478756274</c:v>
                </c:pt>
                <c:pt idx="112">
                  <c:v>1.0213028478756274</c:v>
                </c:pt>
                <c:pt idx="113">
                  <c:v>1.0213028478756274</c:v>
                </c:pt>
                <c:pt idx="114">
                  <c:v>1.0213028478756274</c:v>
                </c:pt>
                <c:pt idx="115">
                  <c:v>1.0213028478756274</c:v>
                </c:pt>
                <c:pt idx="116">
                  <c:v>1.0213028478756274</c:v>
                </c:pt>
                <c:pt idx="117">
                  <c:v>1.0213028478756274</c:v>
                </c:pt>
                <c:pt idx="118">
                  <c:v>1.0213028478756274</c:v>
                </c:pt>
                <c:pt idx="119">
                  <c:v>1.0213028478756274</c:v>
                </c:pt>
                <c:pt idx="120">
                  <c:v>1.0213028478756274</c:v>
                </c:pt>
                <c:pt idx="121">
                  <c:v>1.0213028478756274</c:v>
                </c:pt>
                <c:pt idx="122">
                  <c:v>1.0213028478756274</c:v>
                </c:pt>
                <c:pt idx="123">
                  <c:v>1.0213028478756274</c:v>
                </c:pt>
                <c:pt idx="124">
                  <c:v>1.0213028478756274</c:v>
                </c:pt>
                <c:pt idx="125">
                  <c:v>1.0213028478756274</c:v>
                </c:pt>
                <c:pt idx="126">
                  <c:v>1.0213028478756274</c:v>
                </c:pt>
                <c:pt idx="127">
                  <c:v>1.0213028478756274</c:v>
                </c:pt>
                <c:pt idx="128">
                  <c:v>1.0213028478756274</c:v>
                </c:pt>
                <c:pt idx="129">
                  <c:v>1.0213028478756274</c:v>
                </c:pt>
                <c:pt idx="130">
                  <c:v>1.0213028478756274</c:v>
                </c:pt>
                <c:pt idx="131">
                  <c:v>1.0213028478756274</c:v>
                </c:pt>
                <c:pt idx="132">
                  <c:v>1.0213028478756274</c:v>
                </c:pt>
                <c:pt idx="133">
                  <c:v>1.0213028478756274</c:v>
                </c:pt>
                <c:pt idx="134">
                  <c:v>1.0213028478756274</c:v>
                </c:pt>
                <c:pt idx="135">
                  <c:v>1.0213028478756274</c:v>
                </c:pt>
                <c:pt idx="136">
                  <c:v>1.0213028478756274</c:v>
                </c:pt>
                <c:pt idx="137">
                  <c:v>1.0213028478756274</c:v>
                </c:pt>
                <c:pt idx="138">
                  <c:v>1.0213028478756274</c:v>
                </c:pt>
                <c:pt idx="139">
                  <c:v>1.0213028478756274</c:v>
                </c:pt>
                <c:pt idx="140">
                  <c:v>1.0213028478756274</c:v>
                </c:pt>
                <c:pt idx="141">
                  <c:v>1.0213028478756274</c:v>
                </c:pt>
                <c:pt idx="142">
                  <c:v>1.0213028478756274</c:v>
                </c:pt>
                <c:pt idx="143">
                  <c:v>1.0213028478756274</c:v>
                </c:pt>
                <c:pt idx="144">
                  <c:v>1.0213028478756274</c:v>
                </c:pt>
                <c:pt idx="145">
                  <c:v>1.0213028478756274</c:v>
                </c:pt>
                <c:pt idx="146">
                  <c:v>1.0213028478756274</c:v>
                </c:pt>
                <c:pt idx="147">
                  <c:v>1.0213028478756274</c:v>
                </c:pt>
                <c:pt idx="148">
                  <c:v>1.0213028478756274</c:v>
                </c:pt>
                <c:pt idx="149">
                  <c:v>1.0213028478756274</c:v>
                </c:pt>
                <c:pt idx="150">
                  <c:v>1.0213028478756274</c:v>
                </c:pt>
                <c:pt idx="151">
                  <c:v>1.0213028478756274</c:v>
                </c:pt>
                <c:pt idx="152">
                  <c:v>1.0213028478756274</c:v>
                </c:pt>
                <c:pt idx="153">
                  <c:v>1.0213028478756274</c:v>
                </c:pt>
                <c:pt idx="154">
                  <c:v>1.0213028478756274</c:v>
                </c:pt>
                <c:pt idx="155">
                  <c:v>1.0213028478756274</c:v>
                </c:pt>
                <c:pt idx="156">
                  <c:v>1.0213028478756274</c:v>
                </c:pt>
                <c:pt idx="157">
                  <c:v>1.0213028478756274</c:v>
                </c:pt>
                <c:pt idx="158">
                  <c:v>1.0213028478756274</c:v>
                </c:pt>
                <c:pt idx="159">
                  <c:v>1.0213028478756274</c:v>
                </c:pt>
                <c:pt idx="160">
                  <c:v>1.0213028478756274</c:v>
                </c:pt>
                <c:pt idx="161">
                  <c:v>1.0213028478756274</c:v>
                </c:pt>
                <c:pt idx="162">
                  <c:v>1.0213028478756274</c:v>
                </c:pt>
                <c:pt idx="163">
                  <c:v>1.0213028478756274</c:v>
                </c:pt>
                <c:pt idx="164">
                  <c:v>1.0213028478756274</c:v>
                </c:pt>
                <c:pt idx="165">
                  <c:v>1.0213028478756274</c:v>
                </c:pt>
                <c:pt idx="166">
                  <c:v>1.0213028478756274</c:v>
                </c:pt>
                <c:pt idx="167">
                  <c:v>1.0213028478756274</c:v>
                </c:pt>
                <c:pt idx="168">
                  <c:v>1.0213028478756274</c:v>
                </c:pt>
                <c:pt idx="169">
                  <c:v>1.0213028478756274</c:v>
                </c:pt>
                <c:pt idx="170">
                  <c:v>1.0213028478756274</c:v>
                </c:pt>
                <c:pt idx="171">
                  <c:v>1.0213028478756274</c:v>
                </c:pt>
                <c:pt idx="172">
                  <c:v>1.0213028478756274</c:v>
                </c:pt>
                <c:pt idx="173">
                  <c:v>1.0213028478756274</c:v>
                </c:pt>
                <c:pt idx="174">
                  <c:v>1.0213028478756274</c:v>
                </c:pt>
                <c:pt idx="175">
                  <c:v>1.0213028478756274</c:v>
                </c:pt>
                <c:pt idx="176">
                  <c:v>1.0213028478756274</c:v>
                </c:pt>
                <c:pt idx="177">
                  <c:v>1.0213028478756274</c:v>
                </c:pt>
                <c:pt idx="178">
                  <c:v>1.0213028478756274</c:v>
                </c:pt>
                <c:pt idx="179">
                  <c:v>1.0213028478756274</c:v>
                </c:pt>
                <c:pt idx="180">
                  <c:v>1.0213028478756274</c:v>
                </c:pt>
                <c:pt idx="181">
                  <c:v>1.0213028478756274</c:v>
                </c:pt>
                <c:pt idx="182">
                  <c:v>1.0213028478756274</c:v>
                </c:pt>
                <c:pt idx="183">
                  <c:v>1.0213028478756274</c:v>
                </c:pt>
                <c:pt idx="184">
                  <c:v>1.0213028478756274</c:v>
                </c:pt>
                <c:pt idx="185">
                  <c:v>1.0213028478756274</c:v>
                </c:pt>
                <c:pt idx="186">
                  <c:v>1.0213028478756274</c:v>
                </c:pt>
                <c:pt idx="187">
                  <c:v>1.0213028478756274</c:v>
                </c:pt>
                <c:pt idx="188">
                  <c:v>1.0213028478756274</c:v>
                </c:pt>
                <c:pt idx="189">
                  <c:v>1.0213028478756274</c:v>
                </c:pt>
                <c:pt idx="190">
                  <c:v>1.0213028478756274</c:v>
                </c:pt>
                <c:pt idx="191">
                  <c:v>1.0213028478756274</c:v>
                </c:pt>
                <c:pt idx="192">
                  <c:v>1.0213028478756274</c:v>
                </c:pt>
                <c:pt idx="193">
                  <c:v>1.0213028478756274</c:v>
                </c:pt>
                <c:pt idx="194">
                  <c:v>1.0213028478756274</c:v>
                </c:pt>
                <c:pt idx="195">
                  <c:v>1.0213028478756274</c:v>
                </c:pt>
                <c:pt idx="196">
                  <c:v>1.0213028478756274</c:v>
                </c:pt>
                <c:pt idx="197">
                  <c:v>1.0213028478756274</c:v>
                </c:pt>
                <c:pt idx="198">
                  <c:v>1.0213028478756274</c:v>
                </c:pt>
                <c:pt idx="199">
                  <c:v>1.0213028478756274</c:v>
                </c:pt>
                <c:pt idx="200">
                  <c:v>1.0213028478756274</c:v>
                </c:pt>
                <c:pt idx="201">
                  <c:v>1.0213028478756274</c:v>
                </c:pt>
                <c:pt idx="202">
                  <c:v>1.0213028478756274</c:v>
                </c:pt>
                <c:pt idx="203">
                  <c:v>1.0213028478756274</c:v>
                </c:pt>
                <c:pt idx="204">
                  <c:v>1.0213028478756274</c:v>
                </c:pt>
                <c:pt idx="205">
                  <c:v>1.0213028478756274</c:v>
                </c:pt>
                <c:pt idx="206">
                  <c:v>1.0213028478756274</c:v>
                </c:pt>
                <c:pt idx="207">
                  <c:v>1.0213028478756274</c:v>
                </c:pt>
                <c:pt idx="208">
                  <c:v>1.0213028478756274</c:v>
                </c:pt>
                <c:pt idx="209">
                  <c:v>1.0213028478756274</c:v>
                </c:pt>
                <c:pt idx="210">
                  <c:v>1.0213028478756274</c:v>
                </c:pt>
                <c:pt idx="211">
                  <c:v>1.0213028478756274</c:v>
                </c:pt>
                <c:pt idx="212">
                  <c:v>1.0213028478756274</c:v>
                </c:pt>
                <c:pt idx="213">
                  <c:v>1.0213028478756274</c:v>
                </c:pt>
                <c:pt idx="214">
                  <c:v>1.0213028478756274</c:v>
                </c:pt>
                <c:pt idx="215">
                  <c:v>1.0213028478756274</c:v>
                </c:pt>
                <c:pt idx="216">
                  <c:v>1.0213028478756274</c:v>
                </c:pt>
                <c:pt idx="217">
                  <c:v>1.0213028478756274</c:v>
                </c:pt>
                <c:pt idx="218">
                  <c:v>1.0213028478756274</c:v>
                </c:pt>
                <c:pt idx="219">
                  <c:v>1.0213028478756274</c:v>
                </c:pt>
                <c:pt idx="220">
                  <c:v>1.0213028478756274</c:v>
                </c:pt>
                <c:pt idx="221">
                  <c:v>1.0213028478756274</c:v>
                </c:pt>
                <c:pt idx="222">
                  <c:v>1.0213028478756274</c:v>
                </c:pt>
                <c:pt idx="223">
                  <c:v>1.0213028478756274</c:v>
                </c:pt>
                <c:pt idx="224">
                  <c:v>1.0213028478756274</c:v>
                </c:pt>
                <c:pt idx="225">
                  <c:v>1.0213028478756274</c:v>
                </c:pt>
                <c:pt idx="226">
                  <c:v>1.0213028478756274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'GOOG|S&amp;P Data'!$H$158:$H$384</c:f>
              <c:numCache>
                <c:formatCode>_(* #,##0.00_);_(* \(#,##0.00\);_(* "-"??_);_(@_)</c:formatCode>
                <c:ptCount val="227"/>
                <c:pt idx="0">
                  <c:v>0.94871200192423011</c:v>
                </c:pt>
                <c:pt idx="1">
                  <c:v>0.94871200192423011</c:v>
                </c:pt>
                <c:pt idx="2">
                  <c:v>0.94871200192423011</c:v>
                </c:pt>
                <c:pt idx="3">
                  <c:v>0.94871200192423011</c:v>
                </c:pt>
                <c:pt idx="4">
                  <c:v>0.94871200192423011</c:v>
                </c:pt>
                <c:pt idx="5">
                  <c:v>0.94871200192423011</c:v>
                </c:pt>
                <c:pt idx="6">
                  <c:v>0.94871200192423011</c:v>
                </c:pt>
                <c:pt idx="7">
                  <c:v>0.94871200192423011</c:v>
                </c:pt>
                <c:pt idx="8">
                  <c:v>0.94871200192423011</c:v>
                </c:pt>
                <c:pt idx="9">
                  <c:v>0.94871200192423011</c:v>
                </c:pt>
                <c:pt idx="10">
                  <c:v>0.94871200192423011</c:v>
                </c:pt>
                <c:pt idx="11">
                  <c:v>0.94871200192423011</c:v>
                </c:pt>
                <c:pt idx="12">
                  <c:v>0.94871200192423011</c:v>
                </c:pt>
                <c:pt idx="13">
                  <c:v>0.94871200192423011</c:v>
                </c:pt>
                <c:pt idx="14">
                  <c:v>0.94871200192423011</c:v>
                </c:pt>
                <c:pt idx="15">
                  <c:v>0.94871200192423011</c:v>
                </c:pt>
                <c:pt idx="16">
                  <c:v>0.94871200192423011</c:v>
                </c:pt>
                <c:pt idx="17">
                  <c:v>0.94871200192423011</c:v>
                </c:pt>
                <c:pt idx="18">
                  <c:v>0.94871200192423011</c:v>
                </c:pt>
                <c:pt idx="19">
                  <c:v>0.94871200192423011</c:v>
                </c:pt>
                <c:pt idx="20">
                  <c:v>0.94871200192423011</c:v>
                </c:pt>
                <c:pt idx="21">
                  <c:v>0.94871200192423011</c:v>
                </c:pt>
                <c:pt idx="22">
                  <c:v>0.94871200192423011</c:v>
                </c:pt>
                <c:pt idx="23">
                  <c:v>0.94871200192423011</c:v>
                </c:pt>
                <c:pt idx="24">
                  <c:v>0.94871200192423011</c:v>
                </c:pt>
                <c:pt idx="25">
                  <c:v>0.94871200192423011</c:v>
                </c:pt>
                <c:pt idx="26">
                  <c:v>0.94871200192423011</c:v>
                </c:pt>
                <c:pt idx="27">
                  <c:v>0.94871200192423011</c:v>
                </c:pt>
                <c:pt idx="28">
                  <c:v>0.94871200192423011</c:v>
                </c:pt>
                <c:pt idx="29">
                  <c:v>0.94871200192423011</c:v>
                </c:pt>
                <c:pt idx="30">
                  <c:v>0.94871200192423011</c:v>
                </c:pt>
                <c:pt idx="31">
                  <c:v>0.94871200192423011</c:v>
                </c:pt>
                <c:pt idx="32">
                  <c:v>0.94871200192423011</c:v>
                </c:pt>
                <c:pt idx="33">
                  <c:v>0.94871200192423011</c:v>
                </c:pt>
                <c:pt idx="34">
                  <c:v>0.94871200192423011</c:v>
                </c:pt>
                <c:pt idx="35">
                  <c:v>0.94871200192423011</c:v>
                </c:pt>
                <c:pt idx="36">
                  <c:v>0.94871200192423011</c:v>
                </c:pt>
                <c:pt idx="37">
                  <c:v>0.94871200192423011</c:v>
                </c:pt>
                <c:pt idx="38">
                  <c:v>0.94871200192423011</c:v>
                </c:pt>
                <c:pt idx="39">
                  <c:v>0.94871200192423011</c:v>
                </c:pt>
                <c:pt idx="40">
                  <c:v>0.94871200192423011</c:v>
                </c:pt>
                <c:pt idx="41">
                  <c:v>0.94871200192423011</c:v>
                </c:pt>
                <c:pt idx="42">
                  <c:v>0.94871200192423011</c:v>
                </c:pt>
                <c:pt idx="43">
                  <c:v>0.94871200192423011</c:v>
                </c:pt>
                <c:pt idx="44">
                  <c:v>0.94871200192423011</c:v>
                </c:pt>
                <c:pt idx="45">
                  <c:v>0.94871200192423011</c:v>
                </c:pt>
                <c:pt idx="46">
                  <c:v>0.94871200192423011</c:v>
                </c:pt>
                <c:pt idx="47">
                  <c:v>0.94871200192423011</c:v>
                </c:pt>
                <c:pt idx="48">
                  <c:v>0.94871200192423011</c:v>
                </c:pt>
                <c:pt idx="49">
                  <c:v>0.94871200192423011</c:v>
                </c:pt>
                <c:pt idx="50">
                  <c:v>0.94871200192423011</c:v>
                </c:pt>
                <c:pt idx="51">
                  <c:v>0.94871200192423011</c:v>
                </c:pt>
                <c:pt idx="52">
                  <c:v>0.94871200192423011</c:v>
                </c:pt>
                <c:pt idx="53">
                  <c:v>0.94871200192423011</c:v>
                </c:pt>
                <c:pt idx="54">
                  <c:v>0.94871200192423011</c:v>
                </c:pt>
                <c:pt idx="55">
                  <c:v>0.94871200192423011</c:v>
                </c:pt>
                <c:pt idx="56">
                  <c:v>0.94871200192423011</c:v>
                </c:pt>
                <c:pt idx="57">
                  <c:v>0.94871200192423011</c:v>
                </c:pt>
                <c:pt idx="58">
                  <c:v>0.94871200192423011</c:v>
                </c:pt>
                <c:pt idx="59">
                  <c:v>0.94871200192423011</c:v>
                </c:pt>
                <c:pt idx="60">
                  <c:v>0.94871200192423011</c:v>
                </c:pt>
                <c:pt idx="61">
                  <c:v>0.94871200192423011</c:v>
                </c:pt>
                <c:pt idx="62">
                  <c:v>0.94871200192423011</c:v>
                </c:pt>
                <c:pt idx="63">
                  <c:v>0.94871200192423011</c:v>
                </c:pt>
                <c:pt idx="64">
                  <c:v>0.94871200192423011</c:v>
                </c:pt>
                <c:pt idx="65">
                  <c:v>0.94871200192423011</c:v>
                </c:pt>
                <c:pt idx="66">
                  <c:v>0.94871200192423011</c:v>
                </c:pt>
                <c:pt idx="67">
                  <c:v>0.94871200192423011</c:v>
                </c:pt>
                <c:pt idx="68">
                  <c:v>0.94871200192423011</c:v>
                </c:pt>
                <c:pt idx="69">
                  <c:v>0.94871200192423011</c:v>
                </c:pt>
                <c:pt idx="70">
                  <c:v>0.94871200192423011</c:v>
                </c:pt>
                <c:pt idx="71">
                  <c:v>0.94871200192423011</c:v>
                </c:pt>
                <c:pt idx="72">
                  <c:v>0.94871200192423011</c:v>
                </c:pt>
                <c:pt idx="73">
                  <c:v>0.94871200192423011</c:v>
                </c:pt>
                <c:pt idx="74">
                  <c:v>0.94871200192423011</c:v>
                </c:pt>
                <c:pt idx="75">
                  <c:v>0.94871200192423011</c:v>
                </c:pt>
                <c:pt idx="76">
                  <c:v>0.94871200192423011</c:v>
                </c:pt>
                <c:pt idx="77">
                  <c:v>0.94871200192423011</c:v>
                </c:pt>
                <c:pt idx="78">
                  <c:v>0.94871200192423011</c:v>
                </c:pt>
                <c:pt idx="79">
                  <c:v>0.94871200192423011</c:v>
                </c:pt>
                <c:pt idx="80">
                  <c:v>0.94871200192423011</c:v>
                </c:pt>
                <c:pt idx="81">
                  <c:v>0.94871200192423011</c:v>
                </c:pt>
                <c:pt idx="82">
                  <c:v>0.94871200192423011</c:v>
                </c:pt>
                <c:pt idx="83">
                  <c:v>0.94871200192423011</c:v>
                </c:pt>
                <c:pt idx="84">
                  <c:v>0.94871200192423011</c:v>
                </c:pt>
                <c:pt idx="85">
                  <c:v>0.94871200192423011</c:v>
                </c:pt>
                <c:pt idx="86">
                  <c:v>0.94871200192423011</c:v>
                </c:pt>
                <c:pt idx="87">
                  <c:v>0.94871200192423011</c:v>
                </c:pt>
                <c:pt idx="88">
                  <c:v>0.94871200192423011</c:v>
                </c:pt>
                <c:pt idx="89">
                  <c:v>0.94871200192423011</c:v>
                </c:pt>
                <c:pt idx="90">
                  <c:v>0.94871200192423011</c:v>
                </c:pt>
                <c:pt idx="91">
                  <c:v>0.94871200192423011</c:v>
                </c:pt>
                <c:pt idx="92">
                  <c:v>0.94871200192423011</c:v>
                </c:pt>
                <c:pt idx="93">
                  <c:v>0.94871200192423011</c:v>
                </c:pt>
                <c:pt idx="94">
                  <c:v>0.94871200192423011</c:v>
                </c:pt>
                <c:pt idx="95">
                  <c:v>0.94871200192423011</c:v>
                </c:pt>
                <c:pt idx="96">
                  <c:v>0.94871200192423011</c:v>
                </c:pt>
                <c:pt idx="97">
                  <c:v>0.94871200192423011</c:v>
                </c:pt>
                <c:pt idx="98">
                  <c:v>0.94871200192423011</c:v>
                </c:pt>
                <c:pt idx="99">
                  <c:v>0.94871200192423011</c:v>
                </c:pt>
                <c:pt idx="100">
                  <c:v>0.94871200192423011</c:v>
                </c:pt>
                <c:pt idx="101">
                  <c:v>0.94871200192423011</c:v>
                </c:pt>
                <c:pt idx="102">
                  <c:v>0.94871200192423011</c:v>
                </c:pt>
                <c:pt idx="103">
                  <c:v>0.94871200192423011</c:v>
                </c:pt>
                <c:pt idx="104">
                  <c:v>0.94871200192423011</c:v>
                </c:pt>
                <c:pt idx="105">
                  <c:v>0.94871200192423011</c:v>
                </c:pt>
                <c:pt idx="106">
                  <c:v>0.94871200192423011</c:v>
                </c:pt>
                <c:pt idx="107">
                  <c:v>0.94871200192423011</c:v>
                </c:pt>
                <c:pt idx="108">
                  <c:v>0.94871200192423011</c:v>
                </c:pt>
                <c:pt idx="109">
                  <c:v>0.94871200192423011</c:v>
                </c:pt>
                <c:pt idx="110">
                  <c:v>0.94871200192423011</c:v>
                </c:pt>
                <c:pt idx="111">
                  <c:v>0.94871200192423011</c:v>
                </c:pt>
                <c:pt idx="112">
                  <c:v>0.94871200192423011</c:v>
                </c:pt>
                <c:pt idx="113">
                  <c:v>0.94871200192423011</c:v>
                </c:pt>
                <c:pt idx="114">
                  <c:v>0.94871200192423011</c:v>
                </c:pt>
                <c:pt idx="115">
                  <c:v>0.94871200192423011</c:v>
                </c:pt>
                <c:pt idx="116">
                  <c:v>0.94871200192423011</c:v>
                </c:pt>
                <c:pt idx="117">
                  <c:v>0.94871200192423011</c:v>
                </c:pt>
                <c:pt idx="118">
                  <c:v>0.94871200192423011</c:v>
                </c:pt>
                <c:pt idx="119">
                  <c:v>0.94871200192423011</c:v>
                </c:pt>
                <c:pt idx="120">
                  <c:v>0.94871200192423011</c:v>
                </c:pt>
                <c:pt idx="121">
                  <c:v>0.94871200192423011</c:v>
                </c:pt>
                <c:pt idx="122">
                  <c:v>0.94871200192423011</c:v>
                </c:pt>
                <c:pt idx="123">
                  <c:v>0.94871200192423011</c:v>
                </c:pt>
                <c:pt idx="124">
                  <c:v>0.94871200192423011</c:v>
                </c:pt>
                <c:pt idx="125">
                  <c:v>0.94871200192423011</c:v>
                </c:pt>
                <c:pt idx="126">
                  <c:v>0.94871200192423011</c:v>
                </c:pt>
                <c:pt idx="127">
                  <c:v>0.94871200192423011</c:v>
                </c:pt>
                <c:pt idx="128">
                  <c:v>0.94871200192423011</c:v>
                </c:pt>
                <c:pt idx="129">
                  <c:v>0.94871200192423011</c:v>
                </c:pt>
                <c:pt idx="130">
                  <c:v>0.94871200192423011</c:v>
                </c:pt>
                <c:pt idx="131">
                  <c:v>0.94871200192423011</c:v>
                </c:pt>
                <c:pt idx="132">
                  <c:v>0.94871200192423011</c:v>
                </c:pt>
                <c:pt idx="133">
                  <c:v>0.94871200192423011</c:v>
                </c:pt>
                <c:pt idx="134">
                  <c:v>0.94871200192423011</c:v>
                </c:pt>
                <c:pt idx="135">
                  <c:v>0.94871200192423011</c:v>
                </c:pt>
                <c:pt idx="136">
                  <c:v>0.94871200192423011</c:v>
                </c:pt>
                <c:pt idx="137">
                  <c:v>0.94871200192423011</c:v>
                </c:pt>
                <c:pt idx="138">
                  <c:v>0.94871200192423011</c:v>
                </c:pt>
                <c:pt idx="139">
                  <c:v>0.94871200192423011</c:v>
                </c:pt>
                <c:pt idx="140">
                  <c:v>0.94871200192423011</c:v>
                </c:pt>
                <c:pt idx="141">
                  <c:v>0.94871200192423011</c:v>
                </c:pt>
                <c:pt idx="142">
                  <c:v>0.94871200192423011</c:v>
                </c:pt>
                <c:pt idx="143">
                  <c:v>0.94871200192423011</c:v>
                </c:pt>
                <c:pt idx="144">
                  <c:v>0.94871200192423011</c:v>
                </c:pt>
                <c:pt idx="145">
                  <c:v>0.94871200192423011</c:v>
                </c:pt>
                <c:pt idx="146">
                  <c:v>0.94871200192423011</c:v>
                </c:pt>
                <c:pt idx="147">
                  <c:v>0.94871200192423011</c:v>
                </c:pt>
                <c:pt idx="148">
                  <c:v>0.94871200192423011</c:v>
                </c:pt>
                <c:pt idx="149">
                  <c:v>0.94871200192423011</c:v>
                </c:pt>
                <c:pt idx="150">
                  <c:v>0.94871200192423011</c:v>
                </c:pt>
                <c:pt idx="151">
                  <c:v>0.94871200192423011</c:v>
                </c:pt>
                <c:pt idx="152">
                  <c:v>0.94871200192423011</c:v>
                </c:pt>
                <c:pt idx="153">
                  <c:v>0.94871200192423011</c:v>
                </c:pt>
                <c:pt idx="154">
                  <c:v>0.94871200192423011</c:v>
                </c:pt>
                <c:pt idx="155">
                  <c:v>0.94871200192423011</c:v>
                </c:pt>
                <c:pt idx="156">
                  <c:v>0.94871200192423011</c:v>
                </c:pt>
                <c:pt idx="157">
                  <c:v>0.94871200192423011</c:v>
                </c:pt>
                <c:pt idx="158">
                  <c:v>0.94871200192423011</c:v>
                </c:pt>
                <c:pt idx="159">
                  <c:v>0.94871200192423011</c:v>
                </c:pt>
                <c:pt idx="160">
                  <c:v>0.94871200192423011</c:v>
                </c:pt>
                <c:pt idx="161">
                  <c:v>0.94871200192423011</c:v>
                </c:pt>
                <c:pt idx="162">
                  <c:v>0.94871200192423011</c:v>
                </c:pt>
                <c:pt idx="163">
                  <c:v>0.94871200192423011</c:v>
                </c:pt>
                <c:pt idx="164">
                  <c:v>0.94871200192423011</c:v>
                </c:pt>
                <c:pt idx="165">
                  <c:v>0.94871200192423011</c:v>
                </c:pt>
                <c:pt idx="166">
                  <c:v>0.94871200192423011</c:v>
                </c:pt>
                <c:pt idx="167">
                  <c:v>0.94871200192423011</c:v>
                </c:pt>
                <c:pt idx="168">
                  <c:v>0.94871200192423011</c:v>
                </c:pt>
                <c:pt idx="169">
                  <c:v>0.94871200192423011</c:v>
                </c:pt>
                <c:pt idx="170">
                  <c:v>0.94871200192423011</c:v>
                </c:pt>
                <c:pt idx="171">
                  <c:v>0.94871200192423011</c:v>
                </c:pt>
                <c:pt idx="172">
                  <c:v>0.94871200192423011</c:v>
                </c:pt>
                <c:pt idx="173">
                  <c:v>0.94871200192423011</c:v>
                </c:pt>
                <c:pt idx="174">
                  <c:v>0.94871200192423011</c:v>
                </c:pt>
                <c:pt idx="175">
                  <c:v>0.94871200192423011</c:v>
                </c:pt>
                <c:pt idx="176">
                  <c:v>0.94871200192423011</c:v>
                </c:pt>
                <c:pt idx="177">
                  <c:v>0.94871200192423011</c:v>
                </c:pt>
                <c:pt idx="178">
                  <c:v>0.94871200192423011</c:v>
                </c:pt>
                <c:pt idx="179">
                  <c:v>0.94871200192423011</c:v>
                </c:pt>
                <c:pt idx="180">
                  <c:v>0.94871200192423011</c:v>
                </c:pt>
                <c:pt idx="181">
                  <c:v>0.94871200192423011</c:v>
                </c:pt>
                <c:pt idx="182">
                  <c:v>0.94871200192423011</c:v>
                </c:pt>
                <c:pt idx="183">
                  <c:v>0.94871200192423011</c:v>
                </c:pt>
                <c:pt idx="184">
                  <c:v>0.94871200192423011</c:v>
                </c:pt>
                <c:pt idx="185">
                  <c:v>0.94871200192423011</c:v>
                </c:pt>
                <c:pt idx="186">
                  <c:v>0.94871200192423011</c:v>
                </c:pt>
                <c:pt idx="187">
                  <c:v>0.94871200192423011</c:v>
                </c:pt>
                <c:pt idx="188">
                  <c:v>0.94871200192423011</c:v>
                </c:pt>
                <c:pt idx="189">
                  <c:v>0.94871200192423011</c:v>
                </c:pt>
                <c:pt idx="190">
                  <c:v>0.94871200192423011</c:v>
                </c:pt>
                <c:pt idx="191">
                  <c:v>0.94871200192423011</c:v>
                </c:pt>
                <c:pt idx="192">
                  <c:v>0.94871200192423011</c:v>
                </c:pt>
                <c:pt idx="193">
                  <c:v>0.94871200192423011</c:v>
                </c:pt>
                <c:pt idx="194">
                  <c:v>0.94871200192423011</c:v>
                </c:pt>
                <c:pt idx="195">
                  <c:v>0.94871200192423011</c:v>
                </c:pt>
                <c:pt idx="196">
                  <c:v>0.94871200192423011</c:v>
                </c:pt>
                <c:pt idx="197">
                  <c:v>0.94871200192423011</c:v>
                </c:pt>
                <c:pt idx="198">
                  <c:v>0.94871200192423011</c:v>
                </c:pt>
                <c:pt idx="199">
                  <c:v>0.94871200192423011</c:v>
                </c:pt>
                <c:pt idx="200">
                  <c:v>0.94871200192423011</c:v>
                </c:pt>
                <c:pt idx="201">
                  <c:v>0.94871200192423011</c:v>
                </c:pt>
                <c:pt idx="202">
                  <c:v>0.94871200192423011</c:v>
                </c:pt>
                <c:pt idx="203">
                  <c:v>0.94871200192423011</c:v>
                </c:pt>
                <c:pt idx="204">
                  <c:v>0.94871200192423011</c:v>
                </c:pt>
                <c:pt idx="205">
                  <c:v>0.94871200192423011</c:v>
                </c:pt>
                <c:pt idx="206">
                  <c:v>0.94871200192423011</c:v>
                </c:pt>
                <c:pt idx="207">
                  <c:v>0.94871200192423011</c:v>
                </c:pt>
                <c:pt idx="208">
                  <c:v>0.94871200192423011</c:v>
                </c:pt>
                <c:pt idx="209">
                  <c:v>0.94871200192423011</c:v>
                </c:pt>
                <c:pt idx="210">
                  <c:v>0.94871200192423011</c:v>
                </c:pt>
                <c:pt idx="211">
                  <c:v>0.94871200192423011</c:v>
                </c:pt>
                <c:pt idx="212">
                  <c:v>0.94871200192423011</c:v>
                </c:pt>
                <c:pt idx="213">
                  <c:v>0.94871200192423011</c:v>
                </c:pt>
                <c:pt idx="214">
                  <c:v>0.94871200192423011</c:v>
                </c:pt>
                <c:pt idx="215">
                  <c:v>0.94871200192423011</c:v>
                </c:pt>
                <c:pt idx="216">
                  <c:v>0.94871200192423011</c:v>
                </c:pt>
                <c:pt idx="217">
                  <c:v>0.94871200192423011</c:v>
                </c:pt>
                <c:pt idx="218">
                  <c:v>0.94871200192423011</c:v>
                </c:pt>
                <c:pt idx="219">
                  <c:v>0.94871200192423011</c:v>
                </c:pt>
                <c:pt idx="220">
                  <c:v>0.94871200192423011</c:v>
                </c:pt>
                <c:pt idx="221">
                  <c:v>0.94871200192423011</c:v>
                </c:pt>
                <c:pt idx="222">
                  <c:v>0.94871200192423011</c:v>
                </c:pt>
                <c:pt idx="223">
                  <c:v>0.94871200192423011</c:v>
                </c:pt>
                <c:pt idx="224">
                  <c:v>0.94871200192423011</c:v>
                </c:pt>
                <c:pt idx="225">
                  <c:v>0.94871200192423011</c:v>
                </c:pt>
                <c:pt idx="226">
                  <c:v>0.94871200192423011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'GOOG|S&amp;P Data'!$I$158:$I$384</c:f>
              <c:numCache>
                <c:formatCode>_(* #,##0.00_);_(* \(#,##0.00\);_(* "-"??_);_(@_)</c:formatCode>
                <c:ptCount val="227"/>
                <c:pt idx="0">
                  <c:v>1.1968132126328794</c:v>
                </c:pt>
                <c:pt idx="1">
                  <c:v>1.1968132126328794</c:v>
                </c:pt>
                <c:pt idx="2">
                  <c:v>1.1968132126328794</c:v>
                </c:pt>
                <c:pt idx="3">
                  <c:v>1.1968132126328794</c:v>
                </c:pt>
                <c:pt idx="4">
                  <c:v>1.1968132126328794</c:v>
                </c:pt>
                <c:pt idx="5">
                  <c:v>1.1968132126328794</c:v>
                </c:pt>
                <c:pt idx="6">
                  <c:v>1.1968132126328794</c:v>
                </c:pt>
                <c:pt idx="7">
                  <c:v>1.1968132126328794</c:v>
                </c:pt>
                <c:pt idx="8">
                  <c:v>1.1968132126328794</c:v>
                </c:pt>
                <c:pt idx="9">
                  <c:v>1.1968132126328794</c:v>
                </c:pt>
                <c:pt idx="10">
                  <c:v>1.1968132126328794</c:v>
                </c:pt>
                <c:pt idx="11">
                  <c:v>1.1968132126328794</c:v>
                </c:pt>
                <c:pt idx="12">
                  <c:v>1.1968132126328794</c:v>
                </c:pt>
                <c:pt idx="13">
                  <c:v>1.1968132126328794</c:v>
                </c:pt>
                <c:pt idx="14">
                  <c:v>1.1968132126328794</c:v>
                </c:pt>
                <c:pt idx="15">
                  <c:v>1.1968132126328794</c:v>
                </c:pt>
                <c:pt idx="16">
                  <c:v>1.1968132126328794</c:v>
                </c:pt>
                <c:pt idx="17">
                  <c:v>1.1968132126328794</c:v>
                </c:pt>
                <c:pt idx="18">
                  <c:v>1.1968132126328794</c:v>
                </c:pt>
                <c:pt idx="19">
                  <c:v>1.1968132126328794</c:v>
                </c:pt>
                <c:pt idx="20">
                  <c:v>1.1968132126328794</c:v>
                </c:pt>
                <c:pt idx="21">
                  <c:v>1.1968132126328794</c:v>
                </c:pt>
                <c:pt idx="22">
                  <c:v>1.1968132126328794</c:v>
                </c:pt>
                <c:pt idx="23">
                  <c:v>1.1968132126328794</c:v>
                </c:pt>
                <c:pt idx="24">
                  <c:v>1.1968132126328794</c:v>
                </c:pt>
                <c:pt idx="25">
                  <c:v>1.1968132126328794</c:v>
                </c:pt>
                <c:pt idx="26">
                  <c:v>1.1968132126328794</c:v>
                </c:pt>
                <c:pt idx="27">
                  <c:v>1.1968132126328794</c:v>
                </c:pt>
                <c:pt idx="28">
                  <c:v>1.1968132126328794</c:v>
                </c:pt>
                <c:pt idx="29">
                  <c:v>1.1968132126328794</c:v>
                </c:pt>
                <c:pt idx="30">
                  <c:v>1.1968132126328794</c:v>
                </c:pt>
                <c:pt idx="31">
                  <c:v>1.1968132126328794</c:v>
                </c:pt>
                <c:pt idx="32">
                  <c:v>1.1968132126328794</c:v>
                </c:pt>
                <c:pt idx="33">
                  <c:v>1.1968132126328794</c:v>
                </c:pt>
                <c:pt idx="34">
                  <c:v>1.1968132126328794</c:v>
                </c:pt>
                <c:pt idx="35">
                  <c:v>1.1968132126328794</c:v>
                </c:pt>
                <c:pt idx="36">
                  <c:v>1.1968132126328794</c:v>
                </c:pt>
                <c:pt idx="37">
                  <c:v>1.1968132126328794</c:v>
                </c:pt>
                <c:pt idx="38">
                  <c:v>1.1968132126328794</c:v>
                </c:pt>
                <c:pt idx="39">
                  <c:v>1.1968132126328794</c:v>
                </c:pt>
                <c:pt idx="40">
                  <c:v>1.1968132126328794</c:v>
                </c:pt>
                <c:pt idx="41">
                  <c:v>1.1968132126328794</c:v>
                </c:pt>
                <c:pt idx="42">
                  <c:v>1.1968132126328794</c:v>
                </c:pt>
                <c:pt idx="43">
                  <c:v>1.1968132126328794</c:v>
                </c:pt>
                <c:pt idx="44">
                  <c:v>1.1968132126328794</c:v>
                </c:pt>
                <c:pt idx="45">
                  <c:v>1.1968132126328794</c:v>
                </c:pt>
                <c:pt idx="46">
                  <c:v>1.1968132126328794</c:v>
                </c:pt>
                <c:pt idx="47">
                  <c:v>1.1968132126328794</c:v>
                </c:pt>
                <c:pt idx="48">
                  <c:v>1.1968132126328794</c:v>
                </c:pt>
                <c:pt idx="49">
                  <c:v>1.1968132126328794</c:v>
                </c:pt>
                <c:pt idx="50">
                  <c:v>1.1968132126328794</c:v>
                </c:pt>
                <c:pt idx="51">
                  <c:v>1.1968132126328794</c:v>
                </c:pt>
                <c:pt idx="52">
                  <c:v>1.1968132126328794</c:v>
                </c:pt>
                <c:pt idx="53">
                  <c:v>1.1968132126328794</c:v>
                </c:pt>
                <c:pt idx="54">
                  <c:v>1.1968132126328794</c:v>
                </c:pt>
                <c:pt idx="55">
                  <c:v>1.1968132126328794</c:v>
                </c:pt>
                <c:pt idx="56">
                  <c:v>1.1968132126328794</c:v>
                </c:pt>
                <c:pt idx="57">
                  <c:v>1.1968132126328794</c:v>
                </c:pt>
                <c:pt idx="58">
                  <c:v>1.1968132126328794</c:v>
                </c:pt>
                <c:pt idx="59">
                  <c:v>1.1968132126328794</c:v>
                </c:pt>
                <c:pt idx="60">
                  <c:v>1.1968132126328794</c:v>
                </c:pt>
                <c:pt idx="61">
                  <c:v>1.1968132126328794</c:v>
                </c:pt>
                <c:pt idx="62">
                  <c:v>1.1968132126328794</c:v>
                </c:pt>
                <c:pt idx="63">
                  <c:v>1.1968132126328794</c:v>
                </c:pt>
                <c:pt idx="64">
                  <c:v>1.1968132126328794</c:v>
                </c:pt>
                <c:pt idx="65">
                  <c:v>1.1968132126328794</c:v>
                </c:pt>
                <c:pt idx="66">
                  <c:v>1.1968132126328794</c:v>
                </c:pt>
                <c:pt idx="67">
                  <c:v>1.1968132126328794</c:v>
                </c:pt>
                <c:pt idx="68">
                  <c:v>1.1968132126328794</c:v>
                </c:pt>
                <c:pt idx="69">
                  <c:v>1.1968132126328794</c:v>
                </c:pt>
                <c:pt idx="70">
                  <c:v>1.1968132126328794</c:v>
                </c:pt>
                <c:pt idx="71">
                  <c:v>1.1968132126328794</c:v>
                </c:pt>
                <c:pt idx="72">
                  <c:v>1.1968132126328794</c:v>
                </c:pt>
                <c:pt idx="73">
                  <c:v>1.1968132126328794</c:v>
                </c:pt>
                <c:pt idx="74">
                  <c:v>1.1968132126328794</c:v>
                </c:pt>
                <c:pt idx="75">
                  <c:v>1.1968132126328794</c:v>
                </c:pt>
                <c:pt idx="76">
                  <c:v>1.1968132126328794</c:v>
                </c:pt>
                <c:pt idx="77">
                  <c:v>1.1968132126328794</c:v>
                </c:pt>
                <c:pt idx="78">
                  <c:v>1.1968132126328794</c:v>
                </c:pt>
                <c:pt idx="79">
                  <c:v>1.1968132126328794</c:v>
                </c:pt>
                <c:pt idx="80">
                  <c:v>1.1968132126328794</c:v>
                </c:pt>
                <c:pt idx="81">
                  <c:v>1.1968132126328794</c:v>
                </c:pt>
                <c:pt idx="82">
                  <c:v>1.1968132126328794</c:v>
                </c:pt>
                <c:pt idx="83">
                  <c:v>1.1968132126328794</c:v>
                </c:pt>
                <c:pt idx="84">
                  <c:v>1.1968132126328794</c:v>
                </c:pt>
                <c:pt idx="85">
                  <c:v>1.1968132126328794</c:v>
                </c:pt>
                <c:pt idx="86">
                  <c:v>1.1968132126328794</c:v>
                </c:pt>
                <c:pt idx="87">
                  <c:v>1.1968132126328794</c:v>
                </c:pt>
                <c:pt idx="88">
                  <c:v>1.1968132126328794</c:v>
                </c:pt>
                <c:pt idx="89">
                  <c:v>1.1968132126328794</c:v>
                </c:pt>
                <c:pt idx="90">
                  <c:v>1.1968132126328794</c:v>
                </c:pt>
                <c:pt idx="91">
                  <c:v>1.1968132126328794</c:v>
                </c:pt>
                <c:pt idx="92">
                  <c:v>1.1968132126328794</c:v>
                </c:pt>
                <c:pt idx="93">
                  <c:v>1.1968132126328794</c:v>
                </c:pt>
                <c:pt idx="94">
                  <c:v>1.1968132126328794</c:v>
                </c:pt>
                <c:pt idx="95">
                  <c:v>1.1968132126328794</c:v>
                </c:pt>
                <c:pt idx="96">
                  <c:v>1.1968132126328794</c:v>
                </c:pt>
                <c:pt idx="97">
                  <c:v>1.1968132126328794</c:v>
                </c:pt>
                <c:pt idx="98">
                  <c:v>1.1968132126328794</c:v>
                </c:pt>
                <c:pt idx="99">
                  <c:v>1.1968132126328794</c:v>
                </c:pt>
                <c:pt idx="100">
                  <c:v>1.1968132126328794</c:v>
                </c:pt>
                <c:pt idx="101">
                  <c:v>1.1968132126328794</c:v>
                </c:pt>
                <c:pt idx="102">
                  <c:v>1.1968132126328794</c:v>
                </c:pt>
                <c:pt idx="103">
                  <c:v>1.1968132126328794</c:v>
                </c:pt>
                <c:pt idx="104">
                  <c:v>1.1968132126328794</c:v>
                </c:pt>
                <c:pt idx="105">
                  <c:v>1.1968132126328794</c:v>
                </c:pt>
                <c:pt idx="106">
                  <c:v>1.1968132126328794</c:v>
                </c:pt>
                <c:pt idx="107">
                  <c:v>1.1968132126328794</c:v>
                </c:pt>
                <c:pt idx="108">
                  <c:v>1.1968132126328794</c:v>
                </c:pt>
                <c:pt idx="109">
                  <c:v>1.1968132126328794</c:v>
                </c:pt>
                <c:pt idx="110">
                  <c:v>1.1968132126328794</c:v>
                </c:pt>
                <c:pt idx="111">
                  <c:v>1.1968132126328794</c:v>
                </c:pt>
                <c:pt idx="112">
                  <c:v>1.1968132126328794</c:v>
                </c:pt>
                <c:pt idx="113">
                  <c:v>1.1968132126328794</c:v>
                </c:pt>
                <c:pt idx="114">
                  <c:v>1.1968132126328794</c:v>
                </c:pt>
                <c:pt idx="115">
                  <c:v>1.1968132126328794</c:v>
                </c:pt>
                <c:pt idx="116">
                  <c:v>1.1968132126328794</c:v>
                </c:pt>
                <c:pt idx="117">
                  <c:v>1.1968132126328794</c:v>
                </c:pt>
                <c:pt idx="118">
                  <c:v>1.1968132126328794</c:v>
                </c:pt>
                <c:pt idx="119">
                  <c:v>1.1968132126328794</c:v>
                </c:pt>
                <c:pt idx="120">
                  <c:v>1.1968132126328794</c:v>
                </c:pt>
                <c:pt idx="121">
                  <c:v>1.1968132126328794</c:v>
                </c:pt>
                <c:pt idx="122">
                  <c:v>1.1968132126328794</c:v>
                </c:pt>
                <c:pt idx="123">
                  <c:v>1.1968132126328794</c:v>
                </c:pt>
                <c:pt idx="124">
                  <c:v>1.1968132126328794</c:v>
                </c:pt>
                <c:pt idx="125">
                  <c:v>1.1968132126328794</c:v>
                </c:pt>
                <c:pt idx="126">
                  <c:v>1.1968132126328794</c:v>
                </c:pt>
                <c:pt idx="127">
                  <c:v>1.1968132126328794</c:v>
                </c:pt>
                <c:pt idx="128">
                  <c:v>1.1968132126328794</c:v>
                </c:pt>
                <c:pt idx="129">
                  <c:v>1.1968132126328794</c:v>
                </c:pt>
                <c:pt idx="130">
                  <c:v>1.1968132126328794</c:v>
                </c:pt>
                <c:pt idx="131">
                  <c:v>1.1968132126328794</c:v>
                </c:pt>
                <c:pt idx="132">
                  <c:v>1.1968132126328794</c:v>
                </c:pt>
                <c:pt idx="133">
                  <c:v>1.1968132126328794</c:v>
                </c:pt>
                <c:pt idx="134">
                  <c:v>1.1968132126328794</c:v>
                </c:pt>
                <c:pt idx="135">
                  <c:v>1.1968132126328794</c:v>
                </c:pt>
                <c:pt idx="136">
                  <c:v>1.1968132126328794</c:v>
                </c:pt>
                <c:pt idx="137">
                  <c:v>1.1968132126328794</c:v>
                </c:pt>
                <c:pt idx="138">
                  <c:v>1.1968132126328794</c:v>
                </c:pt>
                <c:pt idx="139">
                  <c:v>1.1968132126328794</c:v>
                </c:pt>
                <c:pt idx="140">
                  <c:v>1.1968132126328794</c:v>
                </c:pt>
                <c:pt idx="141">
                  <c:v>1.1968132126328794</c:v>
                </c:pt>
                <c:pt idx="142">
                  <c:v>1.1968132126328794</c:v>
                </c:pt>
                <c:pt idx="143">
                  <c:v>1.1968132126328794</c:v>
                </c:pt>
                <c:pt idx="144">
                  <c:v>1.1968132126328794</c:v>
                </c:pt>
                <c:pt idx="145">
                  <c:v>1.1968132126328794</c:v>
                </c:pt>
                <c:pt idx="146">
                  <c:v>1.1968132126328794</c:v>
                </c:pt>
                <c:pt idx="147">
                  <c:v>1.1968132126328794</c:v>
                </c:pt>
                <c:pt idx="148">
                  <c:v>1.1968132126328794</c:v>
                </c:pt>
                <c:pt idx="149">
                  <c:v>1.1968132126328794</c:v>
                </c:pt>
                <c:pt idx="150">
                  <c:v>1.1968132126328794</c:v>
                </c:pt>
                <c:pt idx="151">
                  <c:v>1.1968132126328794</c:v>
                </c:pt>
                <c:pt idx="152">
                  <c:v>1.1968132126328794</c:v>
                </c:pt>
                <c:pt idx="153">
                  <c:v>1.1968132126328794</c:v>
                </c:pt>
                <c:pt idx="154">
                  <c:v>1.1968132126328794</c:v>
                </c:pt>
                <c:pt idx="155">
                  <c:v>1.1968132126328794</c:v>
                </c:pt>
                <c:pt idx="156">
                  <c:v>1.1968132126328794</c:v>
                </c:pt>
                <c:pt idx="157">
                  <c:v>1.1968132126328794</c:v>
                </c:pt>
                <c:pt idx="158">
                  <c:v>1.1968132126328794</c:v>
                </c:pt>
                <c:pt idx="159">
                  <c:v>1.1968132126328794</c:v>
                </c:pt>
                <c:pt idx="160">
                  <c:v>1.1968132126328794</c:v>
                </c:pt>
                <c:pt idx="161">
                  <c:v>1.1968132126328794</c:v>
                </c:pt>
                <c:pt idx="162">
                  <c:v>1.1968132126328794</c:v>
                </c:pt>
                <c:pt idx="163">
                  <c:v>1.1968132126328794</c:v>
                </c:pt>
                <c:pt idx="164">
                  <c:v>1.1968132126328794</c:v>
                </c:pt>
                <c:pt idx="165">
                  <c:v>1.1968132126328794</c:v>
                </c:pt>
                <c:pt idx="166">
                  <c:v>1.1968132126328794</c:v>
                </c:pt>
                <c:pt idx="167">
                  <c:v>1.1968132126328794</c:v>
                </c:pt>
                <c:pt idx="168">
                  <c:v>1.1968132126328794</c:v>
                </c:pt>
                <c:pt idx="169">
                  <c:v>1.1968132126328794</c:v>
                </c:pt>
                <c:pt idx="170">
                  <c:v>1.1968132126328794</c:v>
                </c:pt>
                <c:pt idx="171">
                  <c:v>1.1968132126328794</c:v>
                </c:pt>
                <c:pt idx="172">
                  <c:v>1.1968132126328794</c:v>
                </c:pt>
                <c:pt idx="173">
                  <c:v>1.1968132126328794</c:v>
                </c:pt>
                <c:pt idx="174">
                  <c:v>1.1968132126328794</c:v>
                </c:pt>
                <c:pt idx="175">
                  <c:v>1.1968132126328794</c:v>
                </c:pt>
                <c:pt idx="176">
                  <c:v>1.1968132126328794</c:v>
                </c:pt>
                <c:pt idx="177">
                  <c:v>1.1968132126328794</c:v>
                </c:pt>
                <c:pt idx="178">
                  <c:v>1.1968132126328794</c:v>
                </c:pt>
                <c:pt idx="179">
                  <c:v>1.1968132126328794</c:v>
                </c:pt>
                <c:pt idx="180">
                  <c:v>1.1968132126328794</c:v>
                </c:pt>
                <c:pt idx="181">
                  <c:v>1.1968132126328794</c:v>
                </c:pt>
                <c:pt idx="182">
                  <c:v>1.1968132126328794</c:v>
                </c:pt>
                <c:pt idx="183">
                  <c:v>1.1968132126328794</c:v>
                </c:pt>
                <c:pt idx="184">
                  <c:v>1.1968132126328794</c:v>
                </c:pt>
                <c:pt idx="185">
                  <c:v>1.1968132126328794</c:v>
                </c:pt>
                <c:pt idx="186">
                  <c:v>1.1968132126328794</c:v>
                </c:pt>
                <c:pt idx="187">
                  <c:v>1.1968132126328794</c:v>
                </c:pt>
                <c:pt idx="188">
                  <c:v>1.1968132126328794</c:v>
                </c:pt>
                <c:pt idx="189">
                  <c:v>1.1968132126328794</c:v>
                </c:pt>
                <c:pt idx="190">
                  <c:v>1.1968132126328794</c:v>
                </c:pt>
                <c:pt idx="191">
                  <c:v>1.1968132126328794</c:v>
                </c:pt>
                <c:pt idx="192">
                  <c:v>1.1968132126328794</c:v>
                </c:pt>
                <c:pt idx="193">
                  <c:v>1.1968132126328794</c:v>
                </c:pt>
                <c:pt idx="194">
                  <c:v>1.1968132126328794</c:v>
                </c:pt>
                <c:pt idx="195">
                  <c:v>1.1968132126328794</c:v>
                </c:pt>
                <c:pt idx="196">
                  <c:v>1.1968132126328794</c:v>
                </c:pt>
                <c:pt idx="197">
                  <c:v>1.1968132126328794</c:v>
                </c:pt>
                <c:pt idx="198">
                  <c:v>1.1968132126328794</c:v>
                </c:pt>
                <c:pt idx="199">
                  <c:v>1.1968132126328794</c:v>
                </c:pt>
                <c:pt idx="200">
                  <c:v>1.1968132126328794</c:v>
                </c:pt>
                <c:pt idx="201">
                  <c:v>1.1968132126328794</c:v>
                </c:pt>
                <c:pt idx="202">
                  <c:v>1.1968132126328794</c:v>
                </c:pt>
                <c:pt idx="203">
                  <c:v>1.1968132126328794</c:v>
                </c:pt>
                <c:pt idx="204">
                  <c:v>1.1968132126328794</c:v>
                </c:pt>
                <c:pt idx="205">
                  <c:v>1.1968132126328794</c:v>
                </c:pt>
                <c:pt idx="206">
                  <c:v>1.1968132126328794</c:v>
                </c:pt>
                <c:pt idx="207">
                  <c:v>1.1968132126328794</c:v>
                </c:pt>
                <c:pt idx="208">
                  <c:v>1.1968132126328794</c:v>
                </c:pt>
                <c:pt idx="209">
                  <c:v>1.1968132126328794</c:v>
                </c:pt>
                <c:pt idx="210">
                  <c:v>1.1968132126328794</c:v>
                </c:pt>
                <c:pt idx="211">
                  <c:v>1.1968132126328794</c:v>
                </c:pt>
                <c:pt idx="212">
                  <c:v>1.1968132126328794</c:v>
                </c:pt>
                <c:pt idx="213">
                  <c:v>1.1968132126328794</c:v>
                </c:pt>
                <c:pt idx="214">
                  <c:v>1.1968132126328794</c:v>
                </c:pt>
                <c:pt idx="215">
                  <c:v>1.1968132126328794</c:v>
                </c:pt>
                <c:pt idx="216">
                  <c:v>1.1968132126328794</c:v>
                </c:pt>
                <c:pt idx="217">
                  <c:v>1.1968132126328794</c:v>
                </c:pt>
                <c:pt idx="218">
                  <c:v>1.1968132126328794</c:v>
                </c:pt>
                <c:pt idx="219">
                  <c:v>1.1968132126328794</c:v>
                </c:pt>
                <c:pt idx="220">
                  <c:v>1.1968132126328794</c:v>
                </c:pt>
                <c:pt idx="221">
                  <c:v>1.1968132126328794</c:v>
                </c:pt>
                <c:pt idx="222">
                  <c:v>1.1968132126328794</c:v>
                </c:pt>
                <c:pt idx="223">
                  <c:v>1.1968132126328794</c:v>
                </c:pt>
                <c:pt idx="224">
                  <c:v>1.1968132126328794</c:v>
                </c:pt>
                <c:pt idx="225">
                  <c:v>1.1968132126328794</c:v>
                </c:pt>
                <c:pt idx="226">
                  <c:v>1.1968132126328794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55008"/>
        <c:axId val="178956928"/>
      </c:lineChart>
      <c:dateAx>
        <c:axId val="1789550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8956928"/>
        <c:crosses val="autoZero"/>
        <c:auto val="1"/>
        <c:lblOffset val="100"/>
        <c:baseTimeUnit val="days"/>
      </c:dateAx>
      <c:valAx>
        <c:axId val="178956928"/>
        <c:scaling>
          <c:orientation val="minMax"/>
          <c:max val="1.3"/>
          <c:min val="0.9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178955008"/>
        <c:crosses val="autoZero"/>
        <c:crossBetween val="between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GOOG vs. S&amp;P Correlation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'GOOG|S&amp;P Data'!$A$158:$A$384</c:f>
              <c:numCache>
                <c:formatCode>m/d/yyyy</c:formatCode>
                <c:ptCount val="227"/>
                <c:pt idx="0">
                  <c:v>39314</c:v>
                </c:pt>
                <c:pt idx="1">
                  <c:v>39321</c:v>
                </c:pt>
                <c:pt idx="2">
                  <c:v>39329</c:v>
                </c:pt>
                <c:pt idx="3">
                  <c:v>39335</c:v>
                </c:pt>
                <c:pt idx="4">
                  <c:v>39342</c:v>
                </c:pt>
                <c:pt idx="5">
                  <c:v>39349</c:v>
                </c:pt>
                <c:pt idx="6">
                  <c:v>39356</c:v>
                </c:pt>
                <c:pt idx="7">
                  <c:v>39363</c:v>
                </c:pt>
                <c:pt idx="8">
                  <c:v>39370</c:v>
                </c:pt>
                <c:pt idx="9">
                  <c:v>39377</c:v>
                </c:pt>
                <c:pt idx="10">
                  <c:v>39384</c:v>
                </c:pt>
                <c:pt idx="11">
                  <c:v>39391</c:v>
                </c:pt>
                <c:pt idx="12">
                  <c:v>39398</c:v>
                </c:pt>
                <c:pt idx="13">
                  <c:v>39405</c:v>
                </c:pt>
                <c:pt idx="14">
                  <c:v>39412</c:v>
                </c:pt>
                <c:pt idx="15">
                  <c:v>39419</c:v>
                </c:pt>
                <c:pt idx="16">
                  <c:v>39426</c:v>
                </c:pt>
                <c:pt idx="17">
                  <c:v>39433</c:v>
                </c:pt>
                <c:pt idx="18">
                  <c:v>39440</c:v>
                </c:pt>
                <c:pt idx="19">
                  <c:v>39447</c:v>
                </c:pt>
                <c:pt idx="20">
                  <c:v>39454</c:v>
                </c:pt>
                <c:pt idx="21">
                  <c:v>39461</c:v>
                </c:pt>
                <c:pt idx="22">
                  <c:v>39469</c:v>
                </c:pt>
                <c:pt idx="23">
                  <c:v>39475</c:v>
                </c:pt>
                <c:pt idx="24">
                  <c:v>39482</c:v>
                </c:pt>
                <c:pt idx="25">
                  <c:v>39489</c:v>
                </c:pt>
                <c:pt idx="26">
                  <c:v>39497</c:v>
                </c:pt>
                <c:pt idx="27">
                  <c:v>39503</c:v>
                </c:pt>
                <c:pt idx="28">
                  <c:v>39510</c:v>
                </c:pt>
                <c:pt idx="29">
                  <c:v>39517</c:v>
                </c:pt>
                <c:pt idx="30">
                  <c:v>39524</c:v>
                </c:pt>
                <c:pt idx="31">
                  <c:v>39531</c:v>
                </c:pt>
                <c:pt idx="32">
                  <c:v>39538</c:v>
                </c:pt>
                <c:pt idx="33">
                  <c:v>39545</c:v>
                </c:pt>
                <c:pt idx="34">
                  <c:v>39552</c:v>
                </c:pt>
                <c:pt idx="35">
                  <c:v>39559</c:v>
                </c:pt>
                <c:pt idx="36">
                  <c:v>39566</c:v>
                </c:pt>
                <c:pt idx="37">
                  <c:v>39573</c:v>
                </c:pt>
                <c:pt idx="38">
                  <c:v>39580</c:v>
                </c:pt>
                <c:pt idx="39">
                  <c:v>39587</c:v>
                </c:pt>
                <c:pt idx="40">
                  <c:v>39595</c:v>
                </c:pt>
                <c:pt idx="41">
                  <c:v>39601</c:v>
                </c:pt>
                <c:pt idx="42">
                  <c:v>39608</c:v>
                </c:pt>
                <c:pt idx="43">
                  <c:v>39615</c:v>
                </c:pt>
                <c:pt idx="44">
                  <c:v>39622</c:v>
                </c:pt>
                <c:pt idx="45">
                  <c:v>39629</c:v>
                </c:pt>
                <c:pt idx="46">
                  <c:v>39636</c:v>
                </c:pt>
                <c:pt idx="47">
                  <c:v>39643</c:v>
                </c:pt>
                <c:pt idx="48">
                  <c:v>39650</c:v>
                </c:pt>
                <c:pt idx="49">
                  <c:v>39657</c:v>
                </c:pt>
                <c:pt idx="50">
                  <c:v>39664</c:v>
                </c:pt>
                <c:pt idx="51">
                  <c:v>39671</c:v>
                </c:pt>
                <c:pt idx="52">
                  <c:v>39678</c:v>
                </c:pt>
                <c:pt idx="53">
                  <c:v>39685</c:v>
                </c:pt>
                <c:pt idx="54">
                  <c:v>39693</c:v>
                </c:pt>
                <c:pt idx="55">
                  <c:v>39699</c:v>
                </c:pt>
                <c:pt idx="56">
                  <c:v>39706</c:v>
                </c:pt>
                <c:pt idx="57">
                  <c:v>39713</c:v>
                </c:pt>
                <c:pt idx="58">
                  <c:v>39720</c:v>
                </c:pt>
                <c:pt idx="59">
                  <c:v>39727</c:v>
                </c:pt>
                <c:pt idx="60">
                  <c:v>39734</c:v>
                </c:pt>
                <c:pt idx="61">
                  <c:v>39741</c:v>
                </c:pt>
                <c:pt idx="62">
                  <c:v>39748</c:v>
                </c:pt>
                <c:pt idx="63">
                  <c:v>39755</c:v>
                </c:pt>
                <c:pt idx="64">
                  <c:v>39762</c:v>
                </c:pt>
                <c:pt idx="65">
                  <c:v>39769</c:v>
                </c:pt>
                <c:pt idx="66">
                  <c:v>39776</c:v>
                </c:pt>
                <c:pt idx="67">
                  <c:v>39783</c:v>
                </c:pt>
                <c:pt idx="68">
                  <c:v>39790</c:v>
                </c:pt>
                <c:pt idx="69">
                  <c:v>39797</c:v>
                </c:pt>
                <c:pt idx="70">
                  <c:v>39804</c:v>
                </c:pt>
                <c:pt idx="71">
                  <c:v>39811</c:v>
                </c:pt>
                <c:pt idx="72">
                  <c:v>39818</c:v>
                </c:pt>
                <c:pt idx="73">
                  <c:v>39825</c:v>
                </c:pt>
                <c:pt idx="74">
                  <c:v>39833</c:v>
                </c:pt>
                <c:pt idx="75">
                  <c:v>39839</c:v>
                </c:pt>
                <c:pt idx="76">
                  <c:v>39846</c:v>
                </c:pt>
                <c:pt idx="77">
                  <c:v>39853</c:v>
                </c:pt>
                <c:pt idx="78">
                  <c:v>39861</c:v>
                </c:pt>
                <c:pt idx="79">
                  <c:v>39867</c:v>
                </c:pt>
                <c:pt idx="80">
                  <c:v>39874</c:v>
                </c:pt>
                <c:pt idx="81">
                  <c:v>39881</c:v>
                </c:pt>
                <c:pt idx="82">
                  <c:v>39888</c:v>
                </c:pt>
                <c:pt idx="83">
                  <c:v>39895</c:v>
                </c:pt>
                <c:pt idx="84">
                  <c:v>39902</c:v>
                </c:pt>
                <c:pt idx="85">
                  <c:v>39909</c:v>
                </c:pt>
                <c:pt idx="86">
                  <c:v>39916</c:v>
                </c:pt>
                <c:pt idx="87">
                  <c:v>39923</c:v>
                </c:pt>
                <c:pt idx="88">
                  <c:v>39930</c:v>
                </c:pt>
                <c:pt idx="89">
                  <c:v>39937</c:v>
                </c:pt>
                <c:pt idx="90">
                  <c:v>39944</c:v>
                </c:pt>
                <c:pt idx="91">
                  <c:v>39951</c:v>
                </c:pt>
                <c:pt idx="92">
                  <c:v>39959</c:v>
                </c:pt>
                <c:pt idx="93">
                  <c:v>39965</c:v>
                </c:pt>
                <c:pt idx="94">
                  <c:v>39972</c:v>
                </c:pt>
                <c:pt idx="95">
                  <c:v>39979</c:v>
                </c:pt>
                <c:pt idx="96">
                  <c:v>39986</c:v>
                </c:pt>
                <c:pt idx="97">
                  <c:v>39993</c:v>
                </c:pt>
                <c:pt idx="98">
                  <c:v>40000</c:v>
                </c:pt>
                <c:pt idx="99">
                  <c:v>40007</c:v>
                </c:pt>
                <c:pt idx="100">
                  <c:v>40014</c:v>
                </c:pt>
                <c:pt idx="101">
                  <c:v>40021</c:v>
                </c:pt>
                <c:pt idx="102">
                  <c:v>40028</c:v>
                </c:pt>
                <c:pt idx="103">
                  <c:v>40035</c:v>
                </c:pt>
                <c:pt idx="104">
                  <c:v>40042</c:v>
                </c:pt>
                <c:pt idx="105">
                  <c:v>40049</c:v>
                </c:pt>
                <c:pt idx="106">
                  <c:v>40056</c:v>
                </c:pt>
                <c:pt idx="107">
                  <c:v>40064</c:v>
                </c:pt>
                <c:pt idx="108">
                  <c:v>40070</c:v>
                </c:pt>
                <c:pt idx="109">
                  <c:v>40077</c:v>
                </c:pt>
                <c:pt idx="110">
                  <c:v>40084</c:v>
                </c:pt>
                <c:pt idx="111">
                  <c:v>40091</c:v>
                </c:pt>
                <c:pt idx="112">
                  <c:v>40098</c:v>
                </c:pt>
                <c:pt idx="113">
                  <c:v>40105</c:v>
                </c:pt>
                <c:pt idx="114">
                  <c:v>40112</c:v>
                </c:pt>
                <c:pt idx="115">
                  <c:v>40119</c:v>
                </c:pt>
                <c:pt idx="116">
                  <c:v>40126</c:v>
                </c:pt>
                <c:pt idx="117">
                  <c:v>40133</c:v>
                </c:pt>
                <c:pt idx="118">
                  <c:v>40140</c:v>
                </c:pt>
                <c:pt idx="119">
                  <c:v>40147</c:v>
                </c:pt>
                <c:pt idx="120">
                  <c:v>40154</c:v>
                </c:pt>
                <c:pt idx="121">
                  <c:v>40161</c:v>
                </c:pt>
                <c:pt idx="122">
                  <c:v>40168</c:v>
                </c:pt>
                <c:pt idx="123">
                  <c:v>40175</c:v>
                </c:pt>
                <c:pt idx="124">
                  <c:v>40182</c:v>
                </c:pt>
                <c:pt idx="125">
                  <c:v>40189</c:v>
                </c:pt>
                <c:pt idx="126">
                  <c:v>40197</c:v>
                </c:pt>
                <c:pt idx="127">
                  <c:v>40203</c:v>
                </c:pt>
                <c:pt idx="128">
                  <c:v>40210</c:v>
                </c:pt>
                <c:pt idx="129">
                  <c:v>40217</c:v>
                </c:pt>
                <c:pt idx="130">
                  <c:v>40225</c:v>
                </c:pt>
                <c:pt idx="131">
                  <c:v>40231</c:v>
                </c:pt>
                <c:pt idx="132">
                  <c:v>40238</c:v>
                </c:pt>
                <c:pt idx="133">
                  <c:v>40245</c:v>
                </c:pt>
                <c:pt idx="134">
                  <c:v>40252</c:v>
                </c:pt>
                <c:pt idx="135">
                  <c:v>40259</c:v>
                </c:pt>
                <c:pt idx="136">
                  <c:v>40266</c:v>
                </c:pt>
                <c:pt idx="137">
                  <c:v>40273</c:v>
                </c:pt>
                <c:pt idx="138">
                  <c:v>40280</c:v>
                </c:pt>
                <c:pt idx="139">
                  <c:v>40287</c:v>
                </c:pt>
                <c:pt idx="140">
                  <c:v>40294</c:v>
                </c:pt>
                <c:pt idx="141">
                  <c:v>40301</c:v>
                </c:pt>
                <c:pt idx="142">
                  <c:v>40308</c:v>
                </c:pt>
                <c:pt idx="143">
                  <c:v>40315</c:v>
                </c:pt>
                <c:pt idx="144">
                  <c:v>40322</c:v>
                </c:pt>
                <c:pt idx="145">
                  <c:v>40330</c:v>
                </c:pt>
                <c:pt idx="146">
                  <c:v>40336</c:v>
                </c:pt>
                <c:pt idx="147">
                  <c:v>40343</c:v>
                </c:pt>
                <c:pt idx="148">
                  <c:v>40350</c:v>
                </c:pt>
                <c:pt idx="149">
                  <c:v>40357</c:v>
                </c:pt>
                <c:pt idx="150">
                  <c:v>40365</c:v>
                </c:pt>
                <c:pt idx="151">
                  <c:v>40371</c:v>
                </c:pt>
                <c:pt idx="152">
                  <c:v>40378</c:v>
                </c:pt>
                <c:pt idx="153">
                  <c:v>40385</c:v>
                </c:pt>
                <c:pt idx="154">
                  <c:v>40392</c:v>
                </c:pt>
                <c:pt idx="155">
                  <c:v>40399</c:v>
                </c:pt>
                <c:pt idx="156">
                  <c:v>40406</c:v>
                </c:pt>
                <c:pt idx="157">
                  <c:v>40413</c:v>
                </c:pt>
                <c:pt idx="158">
                  <c:v>40420</c:v>
                </c:pt>
                <c:pt idx="159">
                  <c:v>40428</c:v>
                </c:pt>
                <c:pt idx="160">
                  <c:v>40434</c:v>
                </c:pt>
                <c:pt idx="161">
                  <c:v>40441</c:v>
                </c:pt>
                <c:pt idx="162">
                  <c:v>40448</c:v>
                </c:pt>
                <c:pt idx="163">
                  <c:v>40455</c:v>
                </c:pt>
                <c:pt idx="164">
                  <c:v>40462</c:v>
                </c:pt>
                <c:pt idx="165">
                  <c:v>40469</c:v>
                </c:pt>
                <c:pt idx="166">
                  <c:v>40476</c:v>
                </c:pt>
                <c:pt idx="167">
                  <c:v>40483</c:v>
                </c:pt>
                <c:pt idx="168">
                  <c:v>40490</c:v>
                </c:pt>
                <c:pt idx="169">
                  <c:v>40497</c:v>
                </c:pt>
                <c:pt idx="170">
                  <c:v>40504</c:v>
                </c:pt>
                <c:pt idx="171">
                  <c:v>40511</c:v>
                </c:pt>
                <c:pt idx="172">
                  <c:v>40518</c:v>
                </c:pt>
                <c:pt idx="173">
                  <c:v>40525</c:v>
                </c:pt>
                <c:pt idx="174">
                  <c:v>40532</c:v>
                </c:pt>
                <c:pt idx="175">
                  <c:v>40539</c:v>
                </c:pt>
                <c:pt idx="176">
                  <c:v>40546</c:v>
                </c:pt>
                <c:pt idx="177">
                  <c:v>40553</c:v>
                </c:pt>
                <c:pt idx="178">
                  <c:v>40561</c:v>
                </c:pt>
                <c:pt idx="179">
                  <c:v>40567</c:v>
                </c:pt>
                <c:pt idx="180">
                  <c:v>40574</c:v>
                </c:pt>
                <c:pt idx="181">
                  <c:v>40581</c:v>
                </c:pt>
                <c:pt idx="182">
                  <c:v>40588</c:v>
                </c:pt>
                <c:pt idx="183">
                  <c:v>40596</c:v>
                </c:pt>
                <c:pt idx="184">
                  <c:v>40602</c:v>
                </c:pt>
                <c:pt idx="185">
                  <c:v>40609</c:v>
                </c:pt>
                <c:pt idx="186">
                  <c:v>40616</c:v>
                </c:pt>
                <c:pt idx="187">
                  <c:v>40623</c:v>
                </c:pt>
                <c:pt idx="188">
                  <c:v>40630</c:v>
                </c:pt>
                <c:pt idx="189">
                  <c:v>40637</c:v>
                </c:pt>
                <c:pt idx="190">
                  <c:v>40644</c:v>
                </c:pt>
                <c:pt idx="191">
                  <c:v>40651</c:v>
                </c:pt>
                <c:pt idx="192">
                  <c:v>40658</c:v>
                </c:pt>
                <c:pt idx="193">
                  <c:v>40665</c:v>
                </c:pt>
                <c:pt idx="194">
                  <c:v>40672</c:v>
                </c:pt>
                <c:pt idx="195">
                  <c:v>40679</c:v>
                </c:pt>
                <c:pt idx="196">
                  <c:v>40686</c:v>
                </c:pt>
                <c:pt idx="197">
                  <c:v>40694</c:v>
                </c:pt>
                <c:pt idx="198">
                  <c:v>40700</c:v>
                </c:pt>
                <c:pt idx="199">
                  <c:v>40707</c:v>
                </c:pt>
                <c:pt idx="200">
                  <c:v>40714</c:v>
                </c:pt>
                <c:pt idx="201">
                  <c:v>40721</c:v>
                </c:pt>
                <c:pt idx="202">
                  <c:v>40729</c:v>
                </c:pt>
                <c:pt idx="203">
                  <c:v>40735</c:v>
                </c:pt>
                <c:pt idx="204">
                  <c:v>40742</c:v>
                </c:pt>
                <c:pt idx="205">
                  <c:v>40749</c:v>
                </c:pt>
                <c:pt idx="206">
                  <c:v>40756</c:v>
                </c:pt>
                <c:pt idx="207">
                  <c:v>40763</c:v>
                </c:pt>
                <c:pt idx="208">
                  <c:v>40770</c:v>
                </c:pt>
                <c:pt idx="209">
                  <c:v>40777</c:v>
                </c:pt>
                <c:pt idx="210">
                  <c:v>40784</c:v>
                </c:pt>
                <c:pt idx="211">
                  <c:v>40792</c:v>
                </c:pt>
                <c:pt idx="212">
                  <c:v>40798</c:v>
                </c:pt>
                <c:pt idx="213">
                  <c:v>40805</c:v>
                </c:pt>
                <c:pt idx="214">
                  <c:v>40812</c:v>
                </c:pt>
                <c:pt idx="215">
                  <c:v>40819</c:v>
                </c:pt>
                <c:pt idx="216">
                  <c:v>40826</c:v>
                </c:pt>
                <c:pt idx="217">
                  <c:v>40833</c:v>
                </c:pt>
                <c:pt idx="218">
                  <c:v>40840</c:v>
                </c:pt>
                <c:pt idx="219">
                  <c:v>40847</c:v>
                </c:pt>
                <c:pt idx="220">
                  <c:v>40854</c:v>
                </c:pt>
                <c:pt idx="221">
                  <c:v>40861</c:v>
                </c:pt>
                <c:pt idx="222">
                  <c:v>40868</c:v>
                </c:pt>
                <c:pt idx="223">
                  <c:v>40875</c:v>
                </c:pt>
                <c:pt idx="224">
                  <c:v>40882</c:v>
                </c:pt>
                <c:pt idx="225">
                  <c:v>40889</c:v>
                </c:pt>
                <c:pt idx="226">
                  <c:v>40896</c:v>
                </c:pt>
              </c:numCache>
            </c:numRef>
          </c:cat>
          <c:val>
            <c:numRef>
              <c:f>'GOOG|S&amp;P Data'!$J$158:$J$384</c:f>
              <c:numCache>
                <c:formatCode>_(* #,##0.00_);_(* \(#,##0.00\);_(* "-"??_);_(@_)</c:formatCode>
                <c:ptCount val="227"/>
                <c:pt idx="0">
                  <c:v>0.34439942584432132</c:v>
                </c:pt>
                <c:pt idx="1">
                  <c:v>0.34889470529204314</c:v>
                </c:pt>
                <c:pt idx="2">
                  <c:v>0.34647585058884905</c:v>
                </c:pt>
                <c:pt idx="3">
                  <c:v>0.34844523130065508</c:v>
                </c:pt>
                <c:pt idx="4">
                  <c:v>0.35802448722878988</c:v>
                </c:pt>
                <c:pt idx="5">
                  <c:v>0.34934764501433363</c:v>
                </c:pt>
                <c:pt idx="6">
                  <c:v>0.3563906380464944</c:v>
                </c:pt>
                <c:pt idx="7">
                  <c:v>0.36114804975383541</c:v>
                </c:pt>
                <c:pt idx="8">
                  <c:v>0.39266861531477992</c:v>
                </c:pt>
                <c:pt idx="9">
                  <c:v>0.38077909173848196</c:v>
                </c:pt>
                <c:pt idx="10">
                  <c:v>0.41768531521912428</c:v>
                </c:pt>
                <c:pt idx="11">
                  <c:v>0.42795280146354697</c:v>
                </c:pt>
                <c:pt idx="12">
                  <c:v>0.42038386304718034</c:v>
                </c:pt>
                <c:pt idx="13">
                  <c:v>0.40745892028936392</c:v>
                </c:pt>
                <c:pt idx="14">
                  <c:v>0.407278361771649</c:v>
                </c:pt>
                <c:pt idx="15">
                  <c:v>0.40865312760029315</c:v>
                </c:pt>
                <c:pt idx="16">
                  <c:v>0.4140004260128482</c:v>
                </c:pt>
                <c:pt idx="17">
                  <c:v>0.41132065056979833</c:v>
                </c:pt>
                <c:pt idx="18">
                  <c:v>0.4113734169870053</c:v>
                </c:pt>
                <c:pt idx="19">
                  <c:v>0.42893159397079167</c:v>
                </c:pt>
                <c:pt idx="20">
                  <c:v>0.43139761939192078</c:v>
                </c:pt>
                <c:pt idx="21">
                  <c:v>0.43991141648092752</c:v>
                </c:pt>
                <c:pt idx="22">
                  <c:v>0.43533815443924484</c:v>
                </c:pt>
                <c:pt idx="23">
                  <c:v>0.37167558025143244</c:v>
                </c:pt>
                <c:pt idx="24">
                  <c:v>0.36993265181516843</c:v>
                </c:pt>
                <c:pt idx="25">
                  <c:v>0.3739214878158455</c:v>
                </c:pt>
                <c:pt idx="26">
                  <c:v>0.37897267395048057</c:v>
                </c:pt>
                <c:pt idx="27">
                  <c:v>0.38608010378300678</c:v>
                </c:pt>
                <c:pt idx="28">
                  <c:v>0.3936763989743397</c:v>
                </c:pt>
                <c:pt idx="29">
                  <c:v>0.39425888361349992</c:v>
                </c:pt>
                <c:pt idx="30">
                  <c:v>0.3855306266334852</c:v>
                </c:pt>
                <c:pt idx="31">
                  <c:v>0.3846337931077814</c:v>
                </c:pt>
                <c:pt idx="32">
                  <c:v>0.39653625990914609</c:v>
                </c:pt>
                <c:pt idx="33">
                  <c:v>0.3947134033800504</c:v>
                </c:pt>
                <c:pt idx="34">
                  <c:v>0.43211427435069016</c:v>
                </c:pt>
                <c:pt idx="35">
                  <c:v>0.43196408237409173</c:v>
                </c:pt>
                <c:pt idx="36">
                  <c:v>0.43246148287185598</c:v>
                </c:pt>
                <c:pt idx="37">
                  <c:v>0.4345709386651086</c:v>
                </c:pt>
                <c:pt idx="38">
                  <c:v>0.42735114257864448</c:v>
                </c:pt>
                <c:pt idx="39">
                  <c:v>0.43836986018289098</c:v>
                </c:pt>
                <c:pt idx="40">
                  <c:v>0.44559483653461568</c:v>
                </c:pt>
                <c:pt idx="41">
                  <c:v>0.44927712656098706</c:v>
                </c:pt>
                <c:pt idx="42">
                  <c:v>0.45178744224862993</c:v>
                </c:pt>
                <c:pt idx="43">
                  <c:v>0.47048422430664871</c:v>
                </c:pt>
                <c:pt idx="44">
                  <c:v>0.47481861745380766</c:v>
                </c:pt>
                <c:pt idx="45">
                  <c:v>0.47260419837397727</c:v>
                </c:pt>
                <c:pt idx="46">
                  <c:v>0.47215727972030513</c:v>
                </c:pt>
                <c:pt idx="47">
                  <c:v>0.451381016563837</c:v>
                </c:pt>
                <c:pt idx="48">
                  <c:v>0.45263893830585794</c:v>
                </c:pt>
                <c:pt idx="49">
                  <c:v>0.45095908960954556</c:v>
                </c:pt>
                <c:pt idx="50">
                  <c:v>0.45710942917080016</c:v>
                </c:pt>
                <c:pt idx="51">
                  <c:v>0.45560854604937934</c:v>
                </c:pt>
                <c:pt idx="52">
                  <c:v>0.45733593449990789</c:v>
                </c:pt>
                <c:pt idx="53">
                  <c:v>0.45774339432537109</c:v>
                </c:pt>
                <c:pt idx="54">
                  <c:v>0.46017125405620807</c:v>
                </c:pt>
                <c:pt idx="55">
                  <c:v>0.45881090517756462</c:v>
                </c:pt>
                <c:pt idx="56">
                  <c:v>0.46791863574201842</c:v>
                </c:pt>
                <c:pt idx="57">
                  <c:v>0.47273959257552395</c:v>
                </c:pt>
                <c:pt idx="58">
                  <c:v>0.4969230385586359</c:v>
                </c:pt>
                <c:pt idx="59">
                  <c:v>0.5273991367330827</c:v>
                </c:pt>
                <c:pt idx="60">
                  <c:v>0.55872541866578174</c:v>
                </c:pt>
                <c:pt idx="61">
                  <c:v>0.56914532658476569</c:v>
                </c:pt>
                <c:pt idx="62">
                  <c:v>0.56574187470757065</c:v>
                </c:pt>
                <c:pt idx="63">
                  <c:v>0.57223679397167482</c:v>
                </c:pt>
                <c:pt idx="64">
                  <c:v>0.57763709694185117</c:v>
                </c:pt>
                <c:pt idx="65">
                  <c:v>0.59942454651605193</c:v>
                </c:pt>
                <c:pt idx="66">
                  <c:v>0.61656471381971922</c:v>
                </c:pt>
                <c:pt idx="67">
                  <c:v>0.61757365206468551</c:v>
                </c:pt>
                <c:pt idx="68">
                  <c:v>0.61154774693195202</c:v>
                </c:pt>
                <c:pt idx="69">
                  <c:v>0.6103020357848189</c:v>
                </c:pt>
                <c:pt idx="70">
                  <c:v>0.61030123025869842</c:v>
                </c:pt>
                <c:pt idx="71">
                  <c:v>0.61347538500059839</c:v>
                </c:pt>
                <c:pt idx="72">
                  <c:v>0.61253469679330441</c:v>
                </c:pt>
                <c:pt idx="73">
                  <c:v>0.62047621875129755</c:v>
                </c:pt>
                <c:pt idx="74">
                  <c:v>0.60723563174527351</c:v>
                </c:pt>
                <c:pt idx="75">
                  <c:v>0.60973229967145626</c:v>
                </c:pt>
                <c:pt idx="76">
                  <c:v>0.62076894574562103</c:v>
                </c:pt>
                <c:pt idx="77">
                  <c:v>0.62209828060800076</c:v>
                </c:pt>
                <c:pt idx="78">
                  <c:v>0.62110511109678435</c:v>
                </c:pt>
                <c:pt idx="79">
                  <c:v>0.62128740671546301</c:v>
                </c:pt>
                <c:pt idx="80">
                  <c:v>0.63825796767765453</c:v>
                </c:pt>
                <c:pt idx="81">
                  <c:v>0.63522732868867671</c:v>
                </c:pt>
                <c:pt idx="82">
                  <c:v>0.64026119418805005</c:v>
                </c:pt>
                <c:pt idx="83">
                  <c:v>0.6476808829092553</c:v>
                </c:pt>
                <c:pt idx="84">
                  <c:v>0.6514155771382355</c:v>
                </c:pt>
                <c:pt idx="85">
                  <c:v>0.65120195721160234</c:v>
                </c:pt>
                <c:pt idx="86">
                  <c:v>0.65238053675950891</c:v>
                </c:pt>
                <c:pt idx="87">
                  <c:v>0.65429361180458545</c:v>
                </c:pt>
                <c:pt idx="88">
                  <c:v>0.66045332696422676</c:v>
                </c:pt>
                <c:pt idx="89">
                  <c:v>0.65903900374932545</c:v>
                </c:pt>
                <c:pt idx="90">
                  <c:v>0.66104479412564976</c:v>
                </c:pt>
                <c:pt idx="91">
                  <c:v>0.6607731893973785</c:v>
                </c:pt>
                <c:pt idx="92">
                  <c:v>0.66389672137585642</c:v>
                </c:pt>
                <c:pt idx="93">
                  <c:v>0.66824716881325485</c:v>
                </c:pt>
                <c:pt idx="94">
                  <c:v>0.6651116322551347</c:v>
                </c:pt>
                <c:pt idx="95">
                  <c:v>0.6666329756257009</c:v>
                </c:pt>
                <c:pt idx="96">
                  <c:v>0.66555677567126792</c:v>
                </c:pt>
                <c:pt idx="97">
                  <c:v>0.66668066598338827</c:v>
                </c:pt>
                <c:pt idx="98">
                  <c:v>0.66410362317160443</c:v>
                </c:pt>
                <c:pt idx="99">
                  <c:v>0.66530249545538589</c:v>
                </c:pt>
                <c:pt idx="100">
                  <c:v>0.66928968844891501</c:v>
                </c:pt>
                <c:pt idx="101">
                  <c:v>0.67021975025694203</c:v>
                </c:pt>
                <c:pt idx="102">
                  <c:v>0.67087400809105346</c:v>
                </c:pt>
                <c:pt idx="103">
                  <c:v>0.66943745233744989</c:v>
                </c:pt>
                <c:pt idx="104">
                  <c:v>0.66946436735765558</c:v>
                </c:pt>
                <c:pt idx="105">
                  <c:v>0.66923977116898159</c:v>
                </c:pt>
                <c:pt idx="106">
                  <c:v>0.66934342131583879</c:v>
                </c:pt>
                <c:pt idx="107">
                  <c:v>0.67105739010100751</c:v>
                </c:pt>
                <c:pt idx="108">
                  <c:v>0.6723104070429986</c:v>
                </c:pt>
                <c:pt idx="109">
                  <c:v>0.67251735338233709</c:v>
                </c:pt>
                <c:pt idx="110">
                  <c:v>0.67295503788578814</c:v>
                </c:pt>
                <c:pt idx="111">
                  <c:v>0.6761971135155509</c:v>
                </c:pt>
                <c:pt idx="112">
                  <c:v>0.67985178550256897</c:v>
                </c:pt>
                <c:pt idx="113">
                  <c:v>0.67978069562274102</c:v>
                </c:pt>
                <c:pt idx="114">
                  <c:v>0.68084310709836315</c:v>
                </c:pt>
                <c:pt idx="115">
                  <c:v>0.68168502796279018</c:v>
                </c:pt>
                <c:pt idx="116">
                  <c:v>0.68248237445573334</c:v>
                </c:pt>
                <c:pt idx="117">
                  <c:v>0.68253942643858778</c:v>
                </c:pt>
                <c:pt idx="118">
                  <c:v>0.68425251356546002</c:v>
                </c:pt>
                <c:pt idx="119">
                  <c:v>0.68424171151795976</c:v>
                </c:pt>
                <c:pt idx="120">
                  <c:v>0.68511640289141018</c:v>
                </c:pt>
                <c:pt idx="121">
                  <c:v>0.68575096082202613</c:v>
                </c:pt>
                <c:pt idx="122">
                  <c:v>0.68656468901336742</c:v>
                </c:pt>
                <c:pt idx="123">
                  <c:v>0.69025807284136631</c:v>
                </c:pt>
                <c:pt idx="124">
                  <c:v>0.68442602300438171</c:v>
                </c:pt>
                <c:pt idx="125">
                  <c:v>0.68499644115829783</c:v>
                </c:pt>
                <c:pt idx="126">
                  <c:v>0.68763084240081462</c:v>
                </c:pt>
                <c:pt idx="127">
                  <c:v>0.6916868072926029</c:v>
                </c:pt>
                <c:pt idx="128">
                  <c:v>0.69242143253061783</c:v>
                </c:pt>
                <c:pt idx="129">
                  <c:v>0.69207730130608469</c:v>
                </c:pt>
                <c:pt idx="130">
                  <c:v>0.69157263653850287</c:v>
                </c:pt>
                <c:pt idx="131">
                  <c:v>0.68788515502202918</c:v>
                </c:pt>
                <c:pt idx="132">
                  <c:v>0.68952478803067685</c:v>
                </c:pt>
                <c:pt idx="133">
                  <c:v>0.689567330535653</c:v>
                </c:pt>
                <c:pt idx="134">
                  <c:v>0.68519653865586971</c:v>
                </c:pt>
                <c:pt idx="135">
                  <c:v>0.68506583212051864</c:v>
                </c:pt>
                <c:pt idx="136">
                  <c:v>0.68463483455732721</c:v>
                </c:pt>
                <c:pt idx="137">
                  <c:v>0.68445541822493894</c:v>
                </c:pt>
                <c:pt idx="138">
                  <c:v>0.68290960356171615</c:v>
                </c:pt>
                <c:pt idx="139">
                  <c:v>0.68148761335235786</c:v>
                </c:pt>
                <c:pt idx="140">
                  <c:v>0.68351825267004473</c:v>
                </c:pt>
                <c:pt idx="141">
                  <c:v>0.68773942703252811</c:v>
                </c:pt>
                <c:pt idx="142">
                  <c:v>0.68846577789622632</c:v>
                </c:pt>
                <c:pt idx="143">
                  <c:v>0.69241862730115278</c:v>
                </c:pt>
                <c:pt idx="144">
                  <c:v>0.69162018704380401</c:v>
                </c:pt>
                <c:pt idx="145">
                  <c:v>0.69137221687648875</c:v>
                </c:pt>
                <c:pt idx="146">
                  <c:v>0.68992500790976774</c:v>
                </c:pt>
                <c:pt idx="147">
                  <c:v>0.69457727137729153</c:v>
                </c:pt>
                <c:pt idx="148">
                  <c:v>0.69667345442842776</c:v>
                </c:pt>
                <c:pt idx="149">
                  <c:v>0.69986574776360433</c:v>
                </c:pt>
                <c:pt idx="150">
                  <c:v>0.70350988891791022</c:v>
                </c:pt>
                <c:pt idx="151">
                  <c:v>0.70482341023662076</c:v>
                </c:pt>
                <c:pt idx="152">
                  <c:v>0.70834649221214241</c:v>
                </c:pt>
                <c:pt idx="153">
                  <c:v>0.70793429156795473</c:v>
                </c:pt>
                <c:pt idx="154">
                  <c:v>0.70814185954271214</c:v>
                </c:pt>
                <c:pt idx="155">
                  <c:v>0.70923908585108175</c:v>
                </c:pt>
                <c:pt idx="156">
                  <c:v>0.70721178075376323</c:v>
                </c:pt>
                <c:pt idx="157">
                  <c:v>0.70725865714664138</c:v>
                </c:pt>
                <c:pt idx="158">
                  <c:v>0.70810048470132558</c:v>
                </c:pt>
                <c:pt idx="159">
                  <c:v>0.70791680362438714</c:v>
                </c:pt>
                <c:pt idx="160">
                  <c:v>0.70692000776384789</c:v>
                </c:pt>
                <c:pt idx="161">
                  <c:v>0.70680545491511193</c:v>
                </c:pt>
                <c:pt idx="162">
                  <c:v>0.7060646343882756</c:v>
                </c:pt>
                <c:pt idx="163">
                  <c:v>0.71010180160900782</c:v>
                </c:pt>
                <c:pt idx="164">
                  <c:v>0.70545379107723116</c:v>
                </c:pt>
                <c:pt idx="165">
                  <c:v>0.70455026135514853</c:v>
                </c:pt>
                <c:pt idx="166">
                  <c:v>0.71033532229914809</c:v>
                </c:pt>
                <c:pt idx="167">
                  <c:v>0.70786250187818311</c:v>
                </c:pt>
                <c:pt idx="168">
                  <c:v>0.71114302447989663</c:v>
                </c:pt>
                <c:pt idx="169">
                  <c:v>0.71765215414852102</c:v>
                </c:pt>
                <c:pt idx="170">
                  <c:v>0.71714621188422079</c:v>
                </c:pt>
                <c:pt idx="171">
                  <c:v>0.71138837388125087</c:v>
                </c:pt>
                <c:pt idx="172">
                  <c:v>0.71080151731255847</c:v>
                </c:pt>
                <c:pt idx="173">
                  <c:v>0.71067581313064154</c:v>
                </c:pt>
                <c:pt idx="174">
                  <c:v>0.71104463837556242</c:v>
                </c:pt>
                <c:pt idx="175">
                  <c:v>0.70777706688417474</c:v>
                </c:pt>
                <c:pt idx="176">
                  <c:v>0.70786358796214666</c:v>
                </c:pt>
                <c:pt idx="177">
                  <c:v>0.70471787398623853</c:v>
                </c:pt>
                <c:pt idx="178">
                  <c:v>0.70860181043190373</c:v>
                </c:pt>
                <c:pt idx="179">
                  <c:v>0.73614104708791706</c:v>
                </c:pt>
                <c:pt idx="180">
                  <c:v>0.73978307174724589</c:v>
                </c:pt>
                <c:pt idx="181">
                  <c:v>0.73975992088130504</c:v>
                </c:pt>
                <c:pt idx="182">
                  <c:v>0.74190288360534751</c:v>
                </c:pt>
                <c:pt idx="183">
                  <c:v>0.74376955605911077</c:v>
                </c:pt>
                <c:pt idx="184">
                  <c:v>0.7431525374152208</c:v>
                </c:pt>
                <c:pt idx="185">
                  <c:v>0.74331659178094944</c:v>
                </c:pt>
                <c:pt idx="186">
                  <c:v>0.7473381249739095</c:v>
                </c:pt>
                <c:pt idx="187">
                  <c:v>0.74864889930687084</c:v>
                </c:pt>
                <c:pt idx="188">
                  <c:v>0.74637675329996112</c:v>
                </c:pt>
                <c:pt idx="189">
                  <c:v>0.74524508206459739</c:v>
                </c:pt>
                <c:pt idx="190">
                  <c:v>0.74796626636050012</c:v>
                </c:pt>
                <c:pt idx="191">
                  <c:v>0.74688863772680103</c:v>
                </c:pt>
                <c:pt idx="192">
                  <c:v>0.74980185678302169</c:v>
                </c:pt>
                <c:pt idx="193">
                  <c:v>0.74988763827883842</c:v>
                </c:pt>
                <c:pt idx="194">
                  <c:v>0.75012941409863487</c:v>
                </c:pt>
                <c:pt idx="195">
                  <c:v>0.74831096052011803</c:v>
                </c:pt>
                <c:pt idx="196">
                  <c:v>0.75012034309405473</c:v>
                </c:pt>
                <c:pt idx="197">
                  <c:v>0.74780235201103362</c:v>
                </c:pt>
                <c:pt idx="198">
                  <c:v>0.74847252250754015</c:v>
                </c:pt>
                <c:pt idx="199">
                  <c:v>0.74444561323389757</c:v>
                </c:pt>
                <c:pt idx="200">
                  <c:v>0.74315469801844802</c:v>
                </c:pt>
                <c:pt idx="201">
                  <c:v>0.74921412305098822</c:v>
                </c:pt>
                <c:pt idx="202">
                  <c:v>0.74917250041570316</c:v>
                </c:pt>
                <c:pt idx="203">
                  <c:v>0.73964473654770535</c:v>
                </c:pt>
                <c:pt idx="204">
                  <c:v>0.74097404619216989</c:v>
                </c:pt>
                <c:pt idx="205">
                  <c:v>0.74435063016529779</c:v>
                </c:pt>
                <c:pt idx="206">
                  <c:v>0.74346063859100631</c:v>
                </c:pt>
                <c:pt idx="207">
                  <c:v>0.74464873770584739</c:v>
                </c:pt>
                <c:pt idx="208">
                  <c:v>0.74632081654029281</c:v>
                </c:pt>
                <c:pt idx="209">
                  <c:v>0.75137052022605788</c:v>
                </c:pt>
                <c:pt idx="210">
                  <c:v>0.75012631169305943</c:v>
                </c:pt>
                <c:pt idx="211">
                  <c:v>0.75060140386211671</c:v>
                </c:pt>
                <c:pt idx="212">
                  <c:v>0.75194457308851315</c:v>
                </c:pt>
                <c:pt idx="213">
                  <c:v>0.75103663467716064</c:v>
                </c:pt>
                <c:pt idx="214">
                  <c:v>0.74191461802029324</c:v>
                </c:pt>
                <c:pt idx="215">
                  <c:v>0.72340503102735154</c:v>
                </c:pt>
                <c:pt idx="216">
                  <c:v>0.72605828770428882</c:v>
                </c:pt>
                <c:pt idx="217">
                  <c:v>0.71792048441520417</c:v>
                </c:pt>
                <c:pt idx="218">
                  <c:v>0.71879247741750918</c:v>
                </c:pt>
                <c:pt idx="219">
                  <c:v>0.71469575447462652</c:v>
                </c:pt>
                <c:pt idx="220">
                  <c:v>0.70953046282471333</c:v>
                </c:pt>
                <c:pt idx="221">
                  <c:v>0.69224169428082127</c:v>
                </c:pt>
                <c:pt idx="222">
                  <c:v>0.67987721284133684</c:v>
                </c:pt>
                <c:pt idx="223">
                  <c:v>0.68941142516825948</c:v>
                </c:pt>
                <c:pt idx="224">
                  <c:v>0.70278985452542986</c:v>
                </c:pt>
                <c:pt idx="225">
                  <c:v>0.70312105949793491</c:v>
                </c:pt>
                <c:pt idx="226">
                  <c:v>0.70018179131932534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'GOOG|S&amp;P Data'!$K$158:$K$384</c:f>
              <c:numCache>
                <c:formatCode>_(* #,##0.00_);_(* \(#,##0.00\);_(* "-"??_);_(@_)</c:formatCode>
                <c:ptCount val="227"/>
                <c:pt idx="0">
                  <c:v>0.57169396305317544</c:v>
                </c:pt>
                <c:pt idx="1">
                  <c:v>0.57169396305317544</c:v>
                </c:pt>
                <c:pt idx="2">
                  <c:v>0.57169396305317544</c:v>
                </c:pt>
                <c:pt idx="3">
                  <c:v>0.57169396305317544</c:v>
                </c:pt>
                <c:pt idx="4">
                  <c:v>0.57169396305317544</c:v>
                </c:pt>
                <c:pt idx="5">
                  <c:v>0.57169396305317544</c:v>
                </c:pt>
                <c:pt idx="6">
                  <c:v>0.57169396305317544</c:v>
                </c:pt>
                <c:pt idx="7">
                  <c:v>0.57169396305317544</c:v>
                </c:pt>
                <c:pt idx="8">
                  <c:v>0.57169396305317544</c:v>
                </c:pt>
                <c:pt idx="9">
                  <c:v>0.57169396305317544</c:v>
                </c:pt>
                <c:pt idx="10">
                  <c:v>0.57169396305317544</c:v>
                </c:pt>
                <c:pt idx="11">
                  <c:v>0.57169396305317544</c:v>
                </c:pt>
                <c:pt idx="12">
                  <c:v>0.57169396305317544</c:v>
                </c:pt>
                <c:pt idx="13">
                  <c:v>0.57169396305317544</c:v>
                </c:pt>
                <c:pt idx="14">
                  <c:v>0.57169396305317544</c:v>
                </c:pt>
                <c:pt idx="15">
                  <c:v>0.57169396305317544</c:v>
                </c:pt>
                <c:pt idx="16">
                  <c:v>0.57169396305317544</c:v>
                </c:pt>
                <c:pt idx="17">
                  <c:v>0.57169396305317544</c:v>
                </c:pt>
                <c:pt idx="18">
                  <c:v>0.57169396305317544</c:v>
                </c:pt>
                <c:pt idx="19">
                  <c:v>0.57169396305317544</c:v>
                </c:pt>
                <c:pt idx="20">
                  <c:v>0.57169396305317544</c:v>
                </c:pt>
                <c:pt idx="21">
                  <c:v>0.57169396305317544</c:v>
                </c:pt>
                <c:pt idx="22">
                  <c:v>0.57169396305317544</c:v>
                </c:pt>
                <c:pt idx="23">
                  <c:v>0.57169396305317544</c:v>
                </c:pt>
                <c:pt idx="24">
                  <c:v>0.57169396305317544</c:v>
                </c:pt>
                <c:pt idx="25">
                  <c:v>0.57169396305317544</c:v>
                </c:pt>
                <c:pt idx="26">
                  <c:v>0.57169396305317544</c:v>
                </c:pt>
                <c:pt idx="27">
                  <c:v>0.57169396305317544</c:v>
                </c:pt>
                <c:pt idx="28">
                  <c:v>0.57169396305317544</c:v>
                </c:pt>
                <c:pt idx="29">
                  <c:v>0.57169396305317544</c:v>
                </c:pt>
                <c:pt idx="30">
                  <c:v>0.57169396305317544</c:v>
                </c:pt>
                <c:pt idx="31">
                  <c:v>0.57169396305317544</c:v>
                </c:pt>
                <c:pt idx="32">
                  <c:v>0.57169396305317544</c:v>
                </c:pt>
                <c:pt idx="33">
                  <c:v>0.57169396305317544</c:v>
                </c:pt>
                <c:pt idx="34">
                  <c:v>0.57169396305317544</c:v>
                </c:pt>
                <c:pt idx="35">
                  <c:v>0.57169396305317544</c:v>
                </c:pt>
                <c:pt idx="36">
                  <c:v>0.57169396305317544</c:v>
                </c:pt>
                <c:pt idx="37">
                  <c:v>0.57169396305317544</c:v>
                </c:pt>
                <c:pt idx="38">
                  <c:v>0.57169396305317544</c:v>
                </c:pt>
                <c:pt idx="39">
                  <c:v>0.57169396305317544</c:v>
                </c:pt>
                <c:pt idx="40">
                  <c:v>0.57169396305317544</c:v>
                </c:pt>
                <c:pt idx="41">
                  <c:v>0.57169396305317544</c:v>
                </c:pt>
                <c:pt idx="42">
                  <c:v>0.57169396305317544</c:v>
                </c:pt>
                <c:pt idx="43">
                  <c:v>0.57169396305317544</c:v>
                </c:pt>
                <c:pt idx="44">
                  <c:v>0.57169396305317544</c:v>
                </c:pt>
                <c:pt idx="45">
                  <c:v>0.57169396305317544</c:v>
                </c:pt>
                <c:pt idx="46">
                  <c:v>0.57169396305317544</c:v>
                </c:pt>
                <c:pt idx="47">
                  <c:v>0.57169396305317544</c:v>
                </c:pt>
                <c:pt idx="48">
                  <c:v>0.57169396305317544</c:v>
                </c:pt>
                <c:pt idx="49">
                  <c:v>0.57169396305317544</c:v>
                </c:pt>
                <c:pt idx="50">
                  <c:v>0.57169396305317544</c:v>
                </c:pt>
                <c:pt idx="51">
                  <c:v>0.57169396305317544</c:v>
                </c:pt>
                <c:pt idx="52">
                  <c:v>0.57169396305317544</c:v>
                </c:pt>
                <c:pt idx="53">
                  <c:v>0.57169396305317544</c:v>
                </c:pt>
                <c:pt idx="54">
                  <c:v>0.57169396305317544</c:v>
                </c:pt>
                <c:pt idx="55">
                  <c:v>0.57169396305317544</c:v>
                </c:pt>
                <c:pt idx="56">
                  <c:v>0.57169396305317544</c:v>
                </c:pt>
                <c:pt idx="57">
                  <c:v>0.57169396305317544</c:v>
                </c:pt>
                <c:pt idx="58">
                  <c:v>0.57169396305317544</c:v>
                </c:pt>
                <c:pt idx="59">
                  <c:v>0.57169396305317544</c:v>
                </c:pt>
                <c:pt idx="60">
                  <c:v>0.57169396305317544</c:v>
                </c:pt>
                <c:pt idx="61">
                  <c:v>0.57169396305317544</c:v>
                </c:pt>
                <c:pt idx="62">
                  <c:v>0.57169396305317544</c:v>
                </c:pt>
                <c:pt idx="63">
                  <c:v>0.57169396305317544</c:v>
                </c:pt>
                <c:pt idx="64">
                  <c:v>0.57169396305317544</c:v>
                </c:pt>
                <c:pt idx="65">
                  <c:v>0.57169396305317544</c:v>
                </c:pt>
                <c:pt idx="66">
                  <c:v>0.57169396305317544</c:v>
                </c:pt>
                <c:pt idx="67">
                  <c:v>0.57169396305317544</c:v>
                </c:pt>
                <c:pt idx="68">
                  <c:v>0.57169396305317544</c:v>
                </c:pt>
                <c:pt idx="69">
                  <c:v>0.57169396305317544</c:v>
                </c:pt>
                <c:pt idx="70">
                  <c:v>0.57169396305317544</c:v>
                </c:pt>
                <c:pt idx="71">
                  <c:v>0.57169396305317544</c:v>
                </c:pt>
                <c:pt idx="72">
                  <c:v>0.57169396305317544</c:v>
                </c:pt>
                <c:pt idx="73">
                  <c:v>0.57169396305317544</c:v>
                </c:pt>
                <c:pt idx="74">
                  <c:v>0.57169396305317544</c:v>
                </c:pt>
                <c:pt idx="75">
                  <c:v>0.57169396305317544</c:v>
                </c:pt>
                <c:pt idx="76">
                  <c:v>0.57169396305317544</c:v>
                </c:pt>
                <c:pt idx="77">
                  <c:v>0.57169396305317544</c:v>
                </c:pt>
                <c:pt idx="78">
                  <c:v>0.57169396305317544</c:v>
                </c:pt>
                <c:pt idx="79">
                  <c:v>0.57169396305317544</c:v>
                </c:pt>
                <c:pt idx="80">
                  <c:v>0.57169396305317544</c:v>
                </c:pt>
                <c:pt idx="81">
                  <c:v>0.57169396305317544</c:v>
                </c:pt>
                <c:pt idx="82">
                  <c:v>0.57169396305317544</c:v>
                </c:pt>
                <c:pt idx="83">
                  <c:v>0.57169396305317544</c:v>
                </c:pt>
                <c:pt idx="84">
                  <c:v>0.57169396305317544</c:v>
                </c:pt>
                <c:pt idx="85">
                  <c:v>0.57169396305317544</c:v>
                </c:pt>
                <c:pt idx="86">
                  <c:v>0.57169396305317544</c:v>
                </c:pt>
                <c:pt idx="87">
                  <c:v>0.57169396305317544</c:v>
                </c:pt>
                <c:pt idx="88">
                  <c:v>0.57169396305317544</c:v>
                </c:pt>
                <c:pt idx="89">
                  <c:v>0.57169396305317544</c:v>
                </c:pt>
                <c:pt idx="90">
                  <c:v>0.57169396305317544</c:v>
                </c:pt>
                <c:pt idx="91">
                  <c:v>0.57169396305317544</c:v>
                </c:pt>
                <c:pt idx="92">
                  <c:v>0.57169396305317544</c:v>
                </c:pt>
                <c:pt idx="93">
                  <c:v>0.57169396305317544</c:v>
                </c:pt>
                <c:pt idx="94">
                  <c:v>0.57169396305317544</c:v>
                </c:pt>
                <c:pt idx="95">
                  <c:v>0.57169396305317544</c:v>
                </c:pt>
                <c:pt idx="96">
                  <c:v>0.57169396305317544</c:v>
                </c:pt>
                <c:pt idx="97">
                  <c:v>0.57169396305317544</c:v>
                </c:pt>
                <c:pt idx="98">
                  <c:v>0.57169396305317544</c:v>
                </c:pt>
                <c:pt idx="99">
                  <c:v>0.57169396305317544</c:v>
                </c:pt>
                <c:pt idx="100">
                  <c:v>0.57169396305317544</c:v>
                </c:pt>
                <c:pt idx="101">
                  <c:v>0.57169396305317544</c:v>
                </c:pt>
                <c:pt idx="102">
                  <c:v>0.57169396305317544</c:v>
                </c:pt>
                <c:pt idx="103">
                  <c:v>0.57169396305317544</c:v>
                </c:pt>
                <c:pt idx="104">
                  <c:v>0.57169396305317544</c:v>
                </c:pt>
                <c:pt idx="105">
                  <c:v>0.57169396305317544</c:v>
                </c:pt>
                <c:pt idx="106">
                  <c:v>0.57169396305317544</c:v>
                </c:pt>
                <c:pt idx="107">
                  <c:v>0.57169396305317544</c:v>
                </c:pt>
                <c:pt idx="108">
                  <c:v>0.57169396305317544</c:v>
                </c:pt>
                <c:pt idx="109">
                  <c:v>0.57169396305317544</c:v>
                </c:pt>
                <c:pt idx="110">
                  <c:v>0.57169396305317544</c:v>
                </c:pt>
                <c:pt idx="111">
                  <c:v>0.57169396305317544</c:v>
                </c:pt>
                <c:pt idx="112">
                  <c:v>0.57169396305317544</c:v>
                </c:pt>
                <c:pt idx="113">
                  <c:v>0.57169396305317544</c:v>
                </c:pt>
                <c:pt idx="114">
                  <c:v>0.57169396305317544</c:v>
                </c:pt>
                <c:pt idx="115">
                  <c:v>0.57169396305317544</c:v>
                </c:pt>
                <c:pt idx="116">
                  <c:v>0.57169396305317544</c:v>
                </c:pt>
                <c:pt idx="117">
                  <c:v>0.57169396305317544</c:v>
                </c:pt>
                <c:pt idx="118">
                  <c:v>0.57169396305317544</c:v>
                </c:pt>
                <c:pt idx="119">
                  <c:v>0.57169396305317544</c:v>
                </c:pt>
                <c:pt idx="120">
                  <c:v>0.57169396305317544</c:v>
                </c:pt>
                <c:pt idx="121">
                  <c:v>0.57169396305317544</c:v>
                </c:pt>
                <c:pt idx="122">
                  <c:v>0.57169396305317544</c:v>
                </c:pt>
                <c:pt idx="123">
                  <c:v>0.57169396305317544</c:v>
                </c:pt>
                <c:pt idx="124">
                  <c:v>0.57169396305317544</c:v>
                </c:pt>
                <c:pt idx="125">
                  <c:v>0.57169396305317544</c:v>
                </c:pt>
                <c:pt idx="126">
                  <c:v>0.57169396305317544</c:v>
                </c:pt>
                <c:pt idx="127">
                  <c:v>0.57169396305317544</c:v>
                </c:pt>
                <c:pt idx="128">
                  <c:v>0.57169396305317544</c:v>
                </c:pt>
                <c:pt idx="129">
                  <c:v>0.57169396305317544</c:v>
                </c:pt>
                <c:pt idx="130">
                  <c:v>0.57169396305317544</c:v>
                </c:pt>
                <c:pt idx="131">
                  <c:v>0.57169396305317544</c:v>
                </c:pt>
                <c:pt idx="132">
                  <c:v>0.57169396305317544</c:v>
                </c:pt>
                <c:pt idx="133">
                  <c:v>0.57169396305317544</c:v>
                </c:pt>
                <c:pt idx="134">
                  <c:v>0.57169396305317544</c:v>
                </c:pt>
                <c:pt idx="135">
                  <c:v>0.57169396305317544</c:v>
                </c:pt>
                <c:pt idx="136">
                  <c:v>0.57169396305317544</c:v>
                </c:pt>
                <c:pt idx="137">
                  <c:v>0.57169396305317544</c:v>
                </c:pt>
                <c:pt idx="138">
                  <c:v>0.57169396305317544</c:v>
                </c:pt>
                <c:pt idx="139">
                  <c:v>0.57169396305317544</c:v>
                </c:pt>
                <c:pt idx="140">
                  <c:v>0.57169396305317544</c:v>
                </c:pt>
                <c:pt idx="141">
                  <c:v>0.57169396305317544</c:v>
                </c:pt>
                <c:pt idx="142">
                  <c:v>0.57169396305317544</c:v>
                </c:pt>
                <c:pt idx="143">
                  <c:v>0.57169396305317544</c:v>
                </c:pt>
                <c:pt idx="144">
                  <c:v>0.57169396305317544</c:v>
                </c:pt>
                <c:pt idx="145">
                  <c:v>0.57169396305317544</c:v>
                </c:pt>
                <c:pt idx="146">
                  <c:v>0.57169396305317544</c:v>
                </c:pt>
                <c:pt idx="147">
                  <c:v>0.57169396305317544</c:v>
                </c:pt>
                <c:pt idx="148">
                  <c:v>0.57169396305317544</c:v>
                </c:pt>
                <c:pt idx="149">
                  <c:v>0.57169396305317544</c:v>
                </c:pt>
                <c:pt idx="150">
                  <c:v>0.57169396305317544</c:v>
                </c:pt>
                <c:pt idx="151">
                  <c:v>0.57169396305317544</c:v>
                </c:pt>
                <c:pt idx="152">
                  <c:v>0.57169396305317544</c:v>
                </c:pt>
                <c:pt idx="153">
                  <c:v>0.57169396305317544</c:v>
                </c:pt>
                <c:pt idx="154">
                  <c:v>0.57169396305317544</c:v>
                </c:pt>
                <c:pt idx="155">
                  <c:v>0.57169396305317544</c:v>
                </c:pt>
                <c:pt idx="156">
                  <c:v>0.57169396305317544</c:v>
                </c:pt>
                <c:pt idx="157">
                  <c:v>0.57169396305317544</c:v>
                </c:pt>
                <c:pt idx="158">
                  <c:v>0.57169396305317544</c:v>
                </c:pt>
                <c:pt idx="159">
                  <c:v>0.57169396305317544</c:v>
                </c:pt>
                <c:pt idx="160">
                  <c:v>0.57169396305317544</c:v>
                </c:pt>
                <c:pt idx="161">
                  <c:v>0.57169396305317544</c:v>
                </c:pt>
                <c:pt idx="162">
                  <c:v>0.57169396305317544</c:v>
                </c:pt>
                <c:pt idx="163">
                  <c:v>0.57169396305317544</c:v>
                </c:pt>
                <c:pt idx="164">
                  <c:v>0.57169396305317544</c:v>
                </c:pt>
                <c:pt idx="165">
                  <c:v>0.57169396305317544</c:v>
                </c:pt>
                <c:pt idx="166">
                  <c:v>0.57169396305317544</c:v>
                </c:pt>
                <c:pt idx="167">
                  <c:v>0.57169396305317544</c:v>
                </c:pt>
                <c:pt idx="168">
                  <c:v>0.57169396305317544</c:v>
                </c:pt>
                <c:pt idx="169">
                  <c:v>0.57169396305317544</c:v>
                </c:pt>
                <c:pt idx="170">
                  <c:v>0.57169396305317544</c:v>
                </c:pt>
                <c:pt idx="171">
                  <c:v>0.57169396305317544</c:v>
                </c:pt>
                <c:pt idx="172">
                  <c:v>0.57169396305317544</c:v>
                </c:pt>
                <c:pt idx="173">
                  <c:v>0.57169396305317544</c:v>
                </c:pt>
                <c:pt idx="174">
                  <c:v>0.57169396305317544</c:v>
                </c:pt>
                <c:pt idx="175">
                  <c:v>0.57169396305317544</c:v>
                </c:pt>
                <c:pt idx="176">
                  <c:v>0.57169396305317544</c:v>
                </c:pt>
                <c:pt idx="177">
                  <c:v>0.57169396305317544</c:v>
                </c:pt>
                <c:pt idx="178">
                  <c:v>0.57169396305317544</c:v>
                </c:pt>
                <c:pt idx="179">
                  <c:v>0.57169396305317544</c:v>
                </c:pt>
                <c:pt idx="180">
                  <c:v>0.57169396305317544</c:v>
                </c:pt>
                <c:pt idx="181">
                  <c:v>0.57169396305317544</c:v>
                </c:pt>
                <c:pt idx="182">
                  <c:v>0.57169396305317544</c:v>
                </c:pt>
                <c:pt idx="183">
                  <c:v>0.57169396305317544</c:v>
                </c:pt>
                <c:pt idx="184">
                  <c:v>0.57169396305317544</c:v>
                </c:pt>
                <c:pt idx="185">
                  <c:v>0.57169396305317544</c:v>
                </c:pt>
                <c:pt idx="186">
                  <c:v>0.57169396305317544</c:v>
                </c:pt>
                <c:pt idx="187">
                  <c:v>0.57169396305317544</c:v>
                </c:pt>
                <c:pt idx="188">
                  <c:v>0.57169396305317544</c:v>
                </c:pt>
                <c:pt idx="189">
                  <c:v>0.57169396305317544</c:v>
                </c:pt>
                <c:pt idx="190">
                  <c:v>0.57169396305317544</c:v>
                </c:pt>
                <c:pt idx="191">
                  <c:v>0.57169396305317544</c:v>
                </c:pt>
                <c:pt idx="192">
                  <c:v>0.57169396305317544</c:v>
                </c:pt>
                <c:pt idx="193">
                  <c:v>0.57169396305317544</c:v>
                </c:pt>
                <c:pt idx="194">
                  <c:v>0.57169396305317544</c:v>
                </c:pt>
                <c:pt idx="195">
                  <c:v>0.57169396305317544</c:v>
                </c:pt>
                <c:pt idx="196">
                  <c:v>0.57169396305317544</c:v>
                </c:pt>
                <c:pt idx="197">
                  <c:v>0.57169396305317544</c:v>
                </c:pt>
                <c:pt idx="198">
                  <c:v>0.57169396305317544</c:v>
                </c:pt>
                <c:pt idx="199">
                  <c:v>0.57169396305317544</c:v>
                </c:pt>
                <c:pt idx="200">
                  <c:v>0.57169396305317544</c:v>
                </c:pt>
                <c:pt idx="201">
                  <c:v>0.57169396305317544</c:v>
                </c:pt>
                <c:pt idx="202">
                  <c:v>0.57169396305317544</c:v>
                </c:pt>
                <c:pt idx="203">
                  <c:v>0.57169396305317544</c:v>
                </c:pt>
                <c:pt idx="204">
                  <c:v>0.57169396305317544</c:v>
                </c:pt>
                <c:pt idx="205">
                  <c:v>0.57169396305317544</c:v>
                </c:pt>
                <c:pt idx="206">
                  <c:v>0.57169396305317544</c:v>
                </c:pt>
                <c:pt idx="207">
                  <c:v>0.57169396305317544</c:v>
                </c:pt>
                <c:pt idx="208">
                  <c:v>0.57169396305317544</c:v>
                </c:pt>
                <c:pt idx="209">
                  <c:v>0.57169396305317544</c:v>
                </c:pt>
                <c:pt idx="210">
                  <c:v>0.57169396305317544</c:v>
                </c:pt>
                <c:pt idx="211">
                  <c:v>0.57169396305317544</c:v>
                </c:pt>
                <c:pt idx="212">
                  <c:v>0.57169396305317544</c:v>
                </c:pt>
                <c:pt idx="213">
                  <c:v>0.57169396305317544</c:v>
                </c:pt>
                <c:pt idx="214">
                  <c:v>0.57169396305317544</c:v>
                </c:pt>
                <c:pt idx="215">
                  <c:v>0.57169396305317544</c:v>
                </c:pt>
                <c:pt idx="216">
                  <c:v>0.57169396305317544</c:v>
                </c:pt>
                <c:pt idx="217">
                  <c:v>0.57169396305317544</c:v>
                </c:pt>
                <c:pt idx="218">
                  <c:v>0.57169396305317544</c:v>
                </c:pt>
                <c:pt idx="219">
                  <c:v>0.57169396305317544</c:v>
                </c:pt>
                <c:pt idx="220">
                  <c:v>0.57169396305317544</c:v>
                </c:pt>
                <c:pt idx="221">
                  <c:v>0.57169396305317544</c:v>
                </c:pt>
                <c:pt idx="222">
                  <c:v>0.57169396305317544</c:v>
                </c:pt>
                <c:pt idx="223">
                  <c:v>0.57169396305317544</c:v>
                </c:pt>
                <c:pt idx="224">
                  <c:v>0.57169396305317544</c:v>
                </c:pt>
                <c:pt idx="225">
                  <c:v>0.57169396305317544</c:v>
                </c:pt>
                <c:pt idx="226">
                  <c:v>0.57169396305317544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'GOOG|S&amp;P Data'!$L$158:$L$384</c:f>
              <c:numCache>
                <c:formatCode>_(* #,##0.00_);_(* \(#,##0.00\);_(* "-"??_);_(@_)</c:formatCode>
                <c:ptCount val="227"/>
                <c:pt idx="0">
                  <c:v>0.40742280858582092</c:v>
                </c:pt>
                <c:pt idx="1">
                  <c:v>0.40742280858582092</c:v>
                </c:pt>
                <c:pt idx="2">
                  <c:v>0.40742280858582092</c:v>
                </c:pt>
                <c:pt idx="3">
                  <c:v>0.40742280858582092</c:v>
                </c:pt>
                <c:pt idx="4">
                  <c:v>0.40742280858582092</c:v>
                </c:pt>
                <c:pt idx="5">
                  <c:v>0.40742280858582092</c:v>
                </c:pt>
                <c:pt idx="6">
                  <c:v>0.40742280858582092</c:v>
                </c:pt>
                <c:pt idx="7">
                  <c:v>0.40742280858582092</c:v>
                </c:pt>
                <c:pt idx="8">
                  <c:v>0.40742280858582092</c:v>
                </c:pt>
                <c:pt idx="9">
                  <c:v>0.40742280858582092</c:v>
                </c:pt>
                <c:pt idx="10">
                  <c:v>0.40742280858582092</c:v>
                </c:pt>
                <c:pt idx="11">
                  <c:v>0.40742280858582092</c:v>
                </c:pt>
                <c:pt idx="12">
                  <c:v>0.40742280858582092</c:v>
                </c:pt>
                <c:pt idx="13">
                  <c:v>0.40742280858582092</c:v>
                </c:pt>
                <c:pt idx="14">
                  <c:v>0.40742280858582092</c:v>
                </c:pt>
                <c:pt idx="15">
                  <c:v>0.40742280858582092</c:v>
                </c:pt>
                <c:pt idx="16">
                  <c:v>0.40742280858582092</c:v>
                </c:pt>
                <c:pt idx="17">
                  <c:v>0.40742280858582092</c:v>
                </c:pt>
                <c:pt idx="18">
                  <c:v>0.40742280858582092</c:v>
                </c:pt>
                <c:pt idx="19">
                  <c:v>0.40742280858582092</c:v>
                </c:pt>
                <c:pt idx="20">
                  <c:v>0.40742280858582092</c:v>
                </c:pt>
                <c:pt idx="21">
                  <c:v>0.40742280858582092</c:v>
                </c:pt>
                <c:pt idx="22">
                  <c:v>0.40742280858582092</c:v>
                </c:pt>
                <c:pt idx="23">
                  <c:v>0.40742280858582092</c:v>
                </c:pt>
                <c:pt idx="24">
                  <c:v>0.40742280858582092</c:v>
                </c:pt>
                <c:pt idx="25">
                  <c:v>0.40742280858582092</c:v>
                </c:pt>
                <c:pt idx="26">
                  <c:v>0.40742280858582092</c:v>
                </c:pt>
                <c:pt idx="27">
                  <c:v>0.40742280858582092</c:v>
                </c:pt>
                <c:pt idx="28">
                  <c:v>0.40742280858582092</c:v>
                </c:pt>
                <c:pt idx="29">
                  <c:v>0.40742280858582092</c:v>
                </c:pt>
                <c:pt idx="30">
                  <c:v>0.40742280858582092</c:v>
                </c:pt>
                <c:pt idx="31">
                  <c:v>0.40742280858582092</c:v>
                </c:pt>
                <c:pt idx="32">
                  <c:v>0.40742280858582092</c:v>
                </c:pt>
                <c:pt idx="33">
                  <c:v>0.40742280858582092</c:v>
                </c:pt>
                <c:pt idx="34">
                  <c:v>0.40742280858582092</c:v>
                </c:pt>
                <c:pt idx="35">
                  <c:v>0.40742280858582092</c:v>
                </c:pt>
                <c:pt idx="36">
                  <c:v>0.40742280858582092</c:v>
                </c:pt>
                <c:pt idx="37">
                  <c:v>0.40742280858582092</c:v>
                </c:pt>
                <c:pt idx="38">
                  <c:v>0.40742280858582092</c:v>
                </c:pt>
                <c:pt idx="39">
                  <c:v>0.40742280858582092</c:v>
                </c:pt>
                <c:pt idx="40">
                  <c:v>0.40742280858582092</c:v>
                </c:pt>
                <c:pt idx="41">
                  <c:v>0.40742280858582092</c:v>
                </c:pt>
                <c:pt idx="42">
                  <c:v>0.40742280858582092</c:v>
                </c:pt>
                <c:pt idx="43">
                  <c:v>0.40742280858582092</c:v>
                </c:pt>
                <c:pt idx="44">
                  <c:v>0.40742280858582092</c:v>
                </c:pt>
                <c:pt idx="45">
                  <c:v>0.40742280858582092</c:v>
                </c:pt>
                <c:pt idx="46">
                  <c:v>0.40742280858582092</c:v>
                </c:pt>
                <c:pt idx="47">
                  <c:v>0.40742280858582092</c:v>
                </c:pt>
                <c:pt idx="48">
                  <c:v>0.40742280858582092</c:v>
                </c:pt>
                <c:pt idx="49">
                  <c:v>0.40742280858582092</c:v>
                </c:pt>
                <c:pt idx="50">
                  <c:v>0.40742280858582092</c:v>
                </c:pt>
                <c:pt idx="51">
                  <c:v>0.40742280858582092</c:v>
                </c:pt>
                <c:pt idx="52">
                  <c:v>0.40742280858582092</c:v>
                </c:pt>
                <c:pt idx="53">
                  <c:v>0.40742280858582092</c:v>
                </c:pt>
                <c:pt idx="54">
                  <c:v>0.40742280858582092</c:v>
                </c:pt>
                <c:pt idx="55">
                  <c:v>0.40742280858582092</c:v>
                </c:pt>
                <c:pt idx="56">
                  <c:v>0.40742280858582092</c:v>
                </c:pt>
                <c:pt idx="57">
                  <c:v>0.40742280858582092</c:v>
                </c:pt>
                <c:pt idx="58">
                  <c:v>0.40742280858582092</c:v>
                </c:pt>
                <c:pt idx="59">
                  <c:v>0.40742280858582092</c:v>
                </c:pt>
                <c:pt idx="60">
                  <c:v>0.40742280858582092</c:v>
                </c:pt>
                <c:pt idx="61">
                  <c:v>0.40742280858582092</c:v>
                </c:pt>
                <c:pt idx="62">
                  <c:v>0.40742280858582092</c:v>
                </c:pt>
                <c:pt idx="63">
                  <c:v>0.40742280858582092</c:v>
                </c:pt>
                <c:pt idx="64">
                  <c:v>0.40742280858582092</c:v>
                </c:pt>
                <c:pt idx="65">
                  <c:v>0.40742280858582092</c:v>
                </c:pt>
                <c:pt idx="66">
                  <c:v>0.40742280858582092</c:v>
                </c:pt>
                <c:pt idx="67">
                  <c:v>0.40742280858582092</c:v>
                </c:pt>
                <c:pt idx="68">
                  <c:v>0.40742280858582092</c:v>
                </c:pt>
                <c:pt idx="69">
                  <c:v>0.40742280858582092</c:v>
                </c:pt>
                <c:pt idx="70">
                  <c:v>0.40742280858582092</c:v>
                </c:pt>
                <c:pt idx="71">
                  <c:v>0.40742280858582092</c:v>
                </c:pt>
                <c:pt idx="72">
                  <c:v>0.40742280858582092</c:v>
                </c:pt>
                <c:pt idx="73">
                  <c:v>0.40742280858582092</c:v>
                </c:pt>
                <c:pt idx="74">
                  <c:v>0.40742280858582092</c:v>
                </c:pt>
                <c:pt idx="75">
                  <c:v>0.40742280858582092</c:v>
                </c:pt>
                <c:pt idx="76">
                  <c:v>0.40742280858582092</c:v>
                </c:pt>
                <c:pt idx="77">
                  <c:v>0.40742280858582092</c:v>
                </c:pt>
                <c:pt idx="78">
                  <c:v>0.40742280858582092</c:v>
                </c:pt>
                <c:pt idx="79">
                  <c:v>0.40742280858582092</c:v>
                </c:pt>
                <c:pt idx="80">
                  <c:v>0.40742280858582092</c:v>
                </c:pt>
                <c:pt idx="81">
                  <c:v>0.40742280858582092</c:v>
                </c:pt>
                <c:pt idx="82">
                  <c:v>0.40742280858582092</c:v>
                </c:pt>
                <c:pt idx="83">
                  <c:v>0.40742280858582092</c:v>
                </c:pt>
                <c:pt idx="84">
                  <c:v>0.40742280858582092</c:v>
                </c:pt>
                <c:pt idx="85">
                  <c:v>0.40742280858582092</c:v>
                </c:pt>
                <c:pt idx="86">
                  <c:v>0.40742280858582092</c:v>
                </c:pt>
                <c:pt idx="87">
                  <c:v>0.40742280858582092</c:v>
                </c:pt>
                <c:pt idx="88">
                  <c:v>0.40742280858582092</c:v>
                </c:pt>
                <c:pt idx="89">
                  <c:v>0.40742280858582092</c:v>
                </c:pt>
                <c:pt idx="90">
                  <c:v>0.40742280858582092</c:v>
                </c:pt>
                <c:pt idx="91">
                  <c:v>0.40742280858582092</c:v>
                </c:pt>
                <c:pt idx="92">
                  <c:v>0.40742280858582092</c:v>
                </c:pt>
                <c:pt idx="93">
                  <c:v>0.40742280858582092</c:v>
                </c:pt>
                <c:pt idx="94">
                  <c:v>0.40742280858582092</c:v>
                </c:pt>
                <c:pt idx="95">
                  <c:v>0.40742280858582092</c:v>
                </c:pt>
                <c:pt idx="96">
                  <c:v>0.40742280858582092</c:v>
                </c:pt>
                <c:pt idx="97">
                  <c:v>0.40742280858582092</c:v>
                </c:pt>
                <c:pt idx="98">
                  <c:v>0.40742280858582092</c:v>
                </c:pt>
                <c:pt idx="99">
                  <c:v>0.40742280858582092</c:v>
                </c:pt>
                <c:pt idx="100">
                  <c:v>0.40742280858582092</c:v>
                </c:pt>
                <c:pt idx="101">
                  <c:v>0.40742280858582092</c:v>
                </c:pt>
                <c:pt idx="102">
                  <c:v>0.40742280858582092</c:v>
                </c:pt>
                <c:pt idx="103">
                  <c:v>0.40742280858582092</c:v>
                </c:pt>
                <c:pt idx="104">
                  <c:v>0.40742280858582092</c:v>
                </c:pt>
                <c:pt idx="105">
                  <c:v>0.40742280858582092</c:v>
                </c:pt>
                <c:pt idx="106">
                  <c:v>0.40742280858582092</c:v>
                </c:pt>
                <c:pt idx="107">
                  <c:v>0.40742280858582092</c:v>
                </c:pt>
                <c:pt idx="108">
                  <c:v>0.40742280858582092</c:v>
                </c:pt>
                <c:pt idx="109">
                  <c:v>0.40742280858582092</c:v>
                </c:pt>
                <c:pt idx="110">
                  <c:v>0.40742280858582092</c:v>
                </c:pt>
                <c:pt idx="111">
                  <c:v>0.40742280858582092</c:v>
                </c:pt>
                <c:pt idx="112">
                  <c:v>0.40742280858582092</c:v>
                </c:pt>
                <c:pt idx="113">
                  <c:v>0.40742280858582092</c:v>
                </c:pt>
                <c:pt idx="114">
                  <c:v>0.40742280858582092</c:v>
                </c:pt>
                <c:pt idx="115">
                  <c:v>0.40742280858582092</c:v>
                </c:pt>
                <c:pt idx="116">
                  <c:v>0.40742280858582092</c:v>
                </c:pt>
                <c:pt idx="117">
                  <c:v>0.40742280858582092</c:v>
                </c:pt>
                <c:pt idx="118">
                  <c:v>0.40742280858582092</c:v>
                </c:pt>
                <c:pt idx="119">
                  <c:v>0.40742280858582092</c:v>
                </c:pt>
                <c:pt idx="120">
                  <c:v>0.40742280858582092</c:v>
                </c:pt>
                <c:pt idx="121">
                  <c:v>0.40742280858582092</c:v>
                </c:pt>
                <c:pt idx="122">
                  <c:v>0.40742280858582092</c:v>
                </c:pt>
                <c:pt idx="123">
                  <c:v>0.40742280858582092</c:v>
                </c:pt>
                <c:pt idx="124">
                  <c:v>0.40742280858582092</c:v>
                </c:pt>
                <c:pt idx="125">
                  <c:v>0.40742280858582092</c:v>
                </c:pt>
                <c:pt idx="126">
                  <c:v>0.40742280858582092</c:v>
                </c:pt>
                <c:pt idx="127">
                  <c:v>0.40742280858582092</c:v>
                </c:pt>
                <c:pt idx="128">
                  <c:v>0.40742280858582092</c:v>
                </c:pt>
                <c:pt idx="129">
                  <c:v>0.40742280858582092</c:v>
                </c:pt>
                <c:pt idx="130">
                  <c:v>0.40742280858582092</c:v>
                </c:pt>
                <c:pt idx="131">
                  <c:v>0.40742280858582092</c:v>
                </c:pt>
                <c:pt idx="132">
                  <c:v>0.40742280858582092</c:v>
                </c:pt>
                <c:pt idx="133">
                  <c:v>0.40742280858582092</c:v>
                </c:pt>
                <c:pt idx="134">
                  <c:v>0.40742280858582092</c:v>
                </c:pt>
                <c:pt idx="135">
                  <c:v>0.40742280858582092</c:v>
                </c:pt>
                <c:pt idx="136">
                  <c:v>0.40742280858582092</c:v>
                </c:pt>
                <c:pt idx="137">
                  <c:v>0.40742280858582092</c:v>
                </c:pt>
                <c:pt idx="138">
                  <c:v>0.40742280858582092</c:v>
                </c:pt>
                <c:pt idx="139">
                  <c:v>0.40742280858582092</c:v>
                </c:pt>
                <c:pt idx="140">
                  <c:v>0.40742280858582092</c:v>
                </c:pt>
                <c:pt idx="141">
                  <c:v>0.40742280858582092</c:v>
                </c:pt>
                <c:pt idx="142">
                  <c:v>0.40742280858582092</c:v>
                </c:pt>
                <c:pt idx="143">
                  <c:v>0.40742280858582092</c:v>
                </c:pt>
                <c:pt idx="144">
                  <c:v>0.40742280858582092</c:v>
                </c:pt>
                <c:pt idx="145">
                  <c:v>0.40742280858582092</c:v>
                </c:pt>
                <c:pt idx="146">
                  <c:v>0.40742280858582092</c:v>
                </c:pt>
                <c:pt idx="147">
                  <c:v>0.40742280858582092</c:v>
                </c:pt>
                <c:pt idx="148">
                  <c:v>0.40742280858582092</c:v>
                </c:pt>
                <c:pt idx="149">
                  <c:v>0.40742280858582092</c:v>
                </c:pt>
                <c:pt idx="150">
                  <c:v>0.40742280858582092</c:v>
                </c:pt>
                <c:pt idx="151">
                  <c:v>0.40742280858582092</c:v>
                </c:pt>
                <c:pt idx="152">
                  <c:v>0.40742280858582092</c:v>
                </c:pt>
                <c:pt idx="153">
                  <c:v>0.40742280858582092</c:v>
                </c:pt>
                <c:pt idx="154">
                  <c:v>0.40742280858582092</c:v>
                </c:pt>
                <c:pt idx="155">
                  <c:v>0.40742280858582092</c:v>
                </c:pt>
                <c:pt idx="156">
                  <c:v>0.40742280858582092</c:v>
                </c:pt>
                <c:pt idx="157">
                  <c:v>0.40742280858582092</c:v>
                </c:pt>
                <c:pt idx="158">
                  <c:v>0.40742280858582092</c:v>
                </c:pt>
                <c:pt idx="159">
                  <c:v>0.40742280858582092</c:v>
                </c:pt>
                <c:pt idx="160">
                  <c:v>0.40742280858582092</c:v>
                </c:pt>
                <c:pt idx="161">
                  <c:v>0.40742280858582092</c:v>
                </c:pt>
                <c:pt idx="162">
                  <c:v>0.40742280858582092</c:v>
                </c:pt>
                <c:pt idx="163">
                  <c:v>0.40742280858582092</c:v>
                </c:pt>
                <c:pt idx="164">
                  <c:v>0.40742280858582092</c:v>
                </c:pt>
                <c:pt idx="165">
                  <c:v>0.40742280858582092</c:v>
                </c:pt>
                <c:pt idx="166">
                  <c:v>0.40742280858582092</c:v>
                </c:pt>
                <c:pt idx="167">
                  <c:v>0.40742280858582092</c:v>
                </c:pt>
                <c:pt idx="168">
                  <c:v>0.40742280858582092</c:v>
                </c:pt>
                <c:pt idx="169">
                  <c:v>0.40742280858582092</c:v>
                </c:pt>
                <c:pt idx="170">
                  <c:v>0.40742280858582092</c:v>
                </c:pt>
                <c:pt idx="171">
                  <c:v>0.40742280858582092</c:v>
                </c:pt>
                <c:pt idx="172">
                  <c:v>0.40742280858582092</c:v>
                </c:pt>
                <c:pt idx="173">
                  <c:v>0.40742280858582092</c:v>
                </c:pt>
                <c:pt idx="174">
                  <c:v>0.40742280858582092</c:v>
                </c:pt>
                <c:pt idx="175">
                  <c:v>0.40742280858582092</c:v>
                </c:pt>
                <c:pt idx="176">
                  <c:v>0.40742280858582092</c:v>
                </c:pt>
                <c:pt idx="177">
                  <c:v>0.40742280858582092</c:v>
                </c:pt>
                <c:pt idx="178">
                  <c:v>0.40742280858582092</c:v>
                </c:pt>
                <c:pt idx="179">
                  <c:v>0.40742280858582092</c:v>
                </c:pt>
                <c:pt idx="180">
                  <c:v>0.40742280858582092</c:v>
                </c:pt>
                <c:pt idx="181">
                  <c:v>0.40742280858582092</c:v>
                </c:pt>
                <c:pt idx="182">
                  <c:v>0.40742280858582092</c:v>
                </c:pt>
                <c:pt idx="183">
                  <c:v>0.40742280858582092</c:v>
                </c:pt>
                <c:pt idx="184">
                  <c:v>0.40742280858582092</c:v>
                </c:pt>
                <c:pt idx="185">
                  <c:v>0.40742280858582092</c:v>
                </c:pt>
                <c:pt idx="186">
                  <c:v>0.40742280858582092</c:v>
                </c:pt>
                <c:pt idx="187">
                  <c:v>0.40742280858582092</c:v>
                </c:pt>
                <c:pt idx="188">
                  <c:v>0.40742280858582092</c:v>
                </c:pt>
                <c:pt idx="189">
                  <c:v>0.40742280858582092</c:v>
                </c:pt>
                <c:pt idx="190">
                  <c:v>0.40742280858582092</c:v>
                </c:pt>
                <c:pt idx="191">
                  <c:v>0.40742280858582092</c:v>
                </c:pt>
                <c:pt idx="192">
                  <c:v>0.40742280858582092</c:v>
                </c:pt>
                <c:pt idx="193">
                  <c:v>0.40742280858582092</c:v>
                </c:pt>
                <c:pt idx="194">
                  <c:v>0.40742280858582092</c:v>
                </c:pt>
                <c:pt idx="195">
                  <c:v>0.40742280858582092</c:v>
                </c:pt>
                <c:pt idx="196">
                  <c:v>0.40742280858582092</c:v>
                </c:pt>
                <c:pt idx="197">
                  <c:v>0.40742280858582092</c:v>
                </c:pt>
                <c:pt idx="198">
                  <c:v>0.40742280858582092</c:v>
                </c:pt>
                <c:pt idx="199">
                  <c:v>0.40742280858582092</c:v>
                </c:pt>
                <c:pt idx="200">
                  <c:v>0.40742280858582092</c:v>
                </c:pt>
                <c:pt idx="201">
                  <c:v>0.40742280858582092</c:v>
                </c:pt>
                <c:pt idx="202">
                  <c:v>0.40742280858582092</c:v>
                </c:pt>
                <c:pt idx="203">
                  <c:v>0.40742280858582092</c:v>
                </c:pt>
                <c:pt idx="204">
                  <c:v>0.40742280858582092</c:v>
                </c:pt>
                <c:pt idx="205">
                  <c:v>0.40742280858582092</c:v>
                </c:pt>
                <c:pt idx="206">
                  <c:v>0.40742280858582092</c:v>
                </c:pt>
                <c:pt idx="207">
                  <c:v>0.40742280858582092</c:v>
                </c:pt>
                <c:pt idx="208">
                  <c:v>0.40742280858582092</c:v>
                </c:pt>
                <c:pt idx="209">
                  <c:v>0.40742280858582092</c:v>
                </c:pt>
                <c:pt idx="210">
                  <c:v>0.40742280858582092</c:v>
                </c:pt>
                <c:pt idx="211">
                  <c:v>0.40742280858582092</c:v>
                </c:pt>
                <c:pt idx="212">
                  <c:v>0.40742280858582092</c:v>
                </c:pt>
                <c:pt idx="213">
                  <c:v>0.40742280858582092</c:v>
                </c:pt>
                <c:pt idx="214">
                  <c:v>0.40742280858582092</c:v>
                </c:pt>
                <c:pt idx="215">
                  <c:v>0.40742280858582092</c:v>
                </c:pt>
                <c:pt idx="216">
                  <c:v>0.40742280858582092</c:v>
                </c:pt>
                <c:pt idx="217">
                  <c:v>0.40742280858582092</c:v>
                </c:pt>
                <c:pt idx="218">
                  <c:v>0.40742280858582092</c:v>
                </c:pt>
                <c:pt idx="219">
                  <c:v>0.40742280858582092</c:v>
                </c:pt>
                <c:pt idx="220">
                  <c:v>0.40742280858582092</c:v>
                </c:pt>
                <c:pt idx="221">
                  <c:v>0.40742280858582092</c:v>
                </c:pt>
                <c:pt idx="222">
                  <c:v>0.40742280858582092</c:v>
                </c:pt>
                <c:pt idx="223">
                  <c:v>0.40742280858582092</c:v>
                </c:pt>
                <c:pt idx="224">
                  <c:v>0.40742280858582092</c:v>
                </c:pt>
                <c:pt idx="225">
                  <c:v>0.40742280858582092</c:v>
                </c:pt>
                <c:pt idx="226">
                  <c:v>0.40742280858582092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'GOOG|S&amp;P Data'!$M$158:$M$384</c:f>
              <c:numCache>
                <c:formatCode>_(* #,##0.00_);_(* \(#,##0.00\);_(* "-"??_);_(@_)</c:formatCode>
                <c:ptCount val="227"/>
                <c:pt idx="0">
                  <c:v>0.74448623812828751</c:v>
                </c:pt>
                <c:pt idx="1">
                  <c:v>0.74448623812828751</c:v>
                </c:pt>
                <c:pt idx="2">
                  <c:v>0.74448623812828751</c:v>
                </c:pt>
                <c:pt idx="3">
                  <c:v>0.74448623812828751</c:v>
                </c:pt>
                <c:pt idx="4">
                  <c:v>0.74448623812828751</c:v>
                </c:pt>
                <c:pt idx="5">
                  <c:v>0.74448623812828751</c:v>
                </c:pt>
                <c:pt idx="6">
                  <c:v>0.74448623812828751</c:v>
                </c:pt>
                <c:pt idx="7">
                  <c:v>0.74448623812828751</c:v>
                </c:pt>
                <c:pt idx="8">
                  <c:v>0.74448623812828751</c:v>
                </c:pt>
                <c:pt idx="9">
                  <c:v>0.74448623812828751</c:v>
                </c:pt>
                <c:pt idx="10">
                  <c:v>0.74448623812828751</c:v>
                </c:pt>
                <c:pt idx="11">
                  <c:v>0.74448623812828751</c:v>
                </c:pt>
                <c:pt idx="12">
                  <c:v>0.74448623812828751</c:v>
                </c:pt>
                <c:pt idx="13">
                  <c:v>0.74448623812828751</c:v>
                </c:pt>
                <c:pt idx="14">
                  <c:v>0.74448623812828751</c:v>
                </c:pt>
                <c:pt idx="15">
                  <c:v>0.74448623812828751</c:v>
                </c:pt>
                <c:pt idx="16">
                  <c:v>0.74448623812828751</c:v>
                </c:pt>
                <c:pt idx="17">
                  <c:v>0.74448623812828751</c:v>
                </c:pt>
                <c:pt idx="18">
                  <c:v>0.74448623812828751</c:v>
                </c:pt>
                <c:pt idx="19">
                  <c:v>0.74448623812828751</c:v>
                </c:pt>
                <c:pt idx="20">
                  <c:v>0.74448623812828751</c:v>
                </c:pt>
                <c:pt idx="21">
                  <c:v>0.74448623812828751</c:v>
                </c:pt>
                <c:pt idx="22">
                  <c:v>0.74448623812828751</c:v>
                </c:pt>
                <c:pt idx="23">
                  <c:v>0.74448623812828751</c:v>
                </c:pt>
                <c:pt idx="24">
                  <c:v>0.74448623812828751</c:v>
                </c:pt>
                <c:pt idx="25">
                  <c:v>0.74448623812828751</c:v>
                </c:pt>
                <c:pt idx="26">
                  <c:v>0.74448623812828751</c:v>
                </c:pt>
                <c:pt idx="27">
                  <c:v>0.74448623812828751</c:v>
                </c:pt>
                <c:pt idx="28">
                  <c:v>0.74448623812828751</c:v>
                </c:pt>
                <c:pt idx="29">
                  <c:v>0.74448623812828751</c:v>
                </c:pt>
                <c:pt idx="30">
                  <c:v>0.74448623812828751</c:v>
                </c:pt>
                <c:pt idx="31">
                  <c:v>0.74448623812828751</c:v>
                </c:pt>
                <c:pt idx="32">
                  <c:v>0.74448623812828751</c:v>
                </c:pt>
                <c:pt idx="33">
                  <c:v>0.74448623812828751</c:v>
                </c:pt>
                <c:pt idx="34">
                  <c:v>0.74448623812828751</c:v>
                </c:pt>
                <c:pt idx="35">
                  <c:v>0.74448623812828751</c:v>
                </c:pt>
                <c:pt idx="36">
                  <c:v>0.74448623812828751</c:v>
                </c:pt>
                <c:pt idx="37">
                  <c:v>0.74448623812828751</c:v>
                </c:pt>
                <c:pt idx="38">
                  <c:v>0.74448623812828751</c:v>
                </c:pt>
                <c:pt idx="39">
                  <c:v>0.74448623812828751</c:v>
                </c:pt>
                <c:pt idx="40">
                  <c:v>0.74448623812828751</c:v>
                </c:pt>
                <c:pt idx="41">
                  <c:v>0.74448623812828751</c:v>
                </c:pt>
                <c:pt idx="42">
                  <c:v>0.74448623812828751</c:v>
                </c:pt>
                <c:pt idx="43">
                  <c:v>0.74448623812828751</c:v>
                </c:pt>
                <c:pt idx="44">
                  <c:v>0.74448623812828751</c:v>
                </c:pt>
                <c:pt idx="45">
                  <c:v>0.74448623812828751</c:v>
                </c:pt>
                <c:pt idx="46">
                  <c:v>0.74448623812828751</c:v>
                </c:pt>
                <c:pt idx="47">
                  <c:v>0.74448623812828751</c:v>
                </c:pt>
                <c:pt idx="48">
                  <c:v>0.74448623812828751</c:v>
                </c:pt>
                <c:pt idx="49">
                  <c:v>0.74448623812828751</c:v>
                </c:pt>
                <c:pt idx="50">
                  <c:v>0.74448623812828751</c:v>
                </c:pt>
                <c:pt idx="51">
                  <c:v>0.74448623812828751</c:v>
                </c:pt>
                <c:pt idx="52">
                  <c:v>0.74448623812828751</c:v>
                </c:pt>
                <c:pt idx="53">
                  <c:v>0.74448623812828751</c:v>
                </c:pt>
                <c:pt idx="54">
                  <c:v>0.74448623812828751</c:v>
                </c:pt>
                <c:pt idx="55">
                  <c:v>0.74448623812828751</c:v>
                </c:pt>
                <c:pt idx="56">
                  <c:v>0.74448623812828751</c:v>
                </c:pt>
                <c:pt idx="57">
                  <c:v>0.74448623812828751</c:v>
                </c:pt>
                <c:pt idx="58">
                  <c:v>0.74448623812828751</c:v>
                </c:pt>
                <c:pt idx="59">
                  <c:v>0.74448623812828751</c:v>
                </c:pt>
                <c:pt idx="60">
                  <c:v>0.74448623812828751</c:v>
                </c:pt>
                <c:pt idx="61">
                  <c:v>0.74448623812828751</c:v>
                </c:pt>
                <c:pt idx="62">
                  <c:v>0.74448623812828751</c:v>
                </c:pt>
                <c:pt idx="63">
                  <c:v>0.74448623812828751</c:v>
                </c:pt>
                <c:pt idx="64">
                  <c:v>0.74448623812828751</c:v>
                </c:pt>
                <c:pt idx="65">
                  <c:v>0.74448623812828751</c:v>
                </c:pt>
                <c:pt idx="66">
                  <c:v>0.74448623812828751</c:v>
                </c:pt>
                <c:pt idx="67">
                  <c:v>0.74448623812828751</c:v>
                </c:pt>
                <c:pt idx="68">
                  <c:v>0.74448623812828751</c:v>
                </c:pt>
                <c:pt idx="69">
                  <c:v>0.74448623812828751</c:v>
                </c:pt>
                <c:pt idx="70">
                  <c:v>0.74448623812828751</c:v>
                </c:pt>
                <c:pt idx="71">
                  <c:v>0.74448623812828751</c:v>
                </c:pt>
                <c:pt idx="72">
                  <c:v>0.74448623812828751</c:v>
                </c:pt>
                <c:pt idx="73">
                  <c:v>0.74448623812828751</c:v>
                </c:pt>
                <c:pt idx="74">
                  <c:v>0.74448623812828751</c:v>
                </c:pt>
                <c:pt idx="75">
                  <c:v>0.74448623812828751</c:v>
                </c:pt>
                <c:pt idx="76">
                  <c:v>0.74448623812828751</c:v>
                </c:pt>
                <c:pt idx="77">
                  <c:v>0.74448623812828751</c:v>
                </c:pt>
                <c:pt idx="78">
                  <c:v>0.74448623812828751</c:v>
                </c:pt>
                <c:pt idx="79">
                  <c:v>0.74448623812828751</c:v>
                </c:pt>
                <c:pt idx="80">
                  <c:v>0.74448623812828751</c:v>
                </c:pt>
                <c:pt idx="81">
                  <c:v>0.74448623812828751</c:v>
                </c:pt>
                <c:pt idx="82">
                  <c:v>0.74448623812828751</c:v>
                </c:pt>
                <c:pt idx="83">
                  <c:v>0.74448623812828751</c:v>
                </c:pt>
                <c:pt idx="84">
                  <c:v>0.74448623812828751</c:v>
                </c:pt>
                <c:pt idx="85">
                  <c:v>0.74448623812828751</c:v>
                </c:pt>
                <c:pt idx="86">
                  <c:v>0.74448623812828751</c:v>
                </c:pt>
                <c:pt idx="87">
                  <c:v>0.74448623812828751</c:v>
                </c:pt>
                <c:pt idx="88">
                  <c:v>0.74448623812828751</c:v>
                </c:pt>
                <c:pt idx="89">
                  <c:v>0.74448623812828751</c:v>
                </c:pt>
                <c:pt idx="90">
                  <c:v>0.74448623812828751</c:v>
                </c:pt>
                <c:pt idx="91">
                  <c:v>0.74448623812828751</c:v>
                </c:pt>
                <c:pt idx="92">
                  <c:v>0.74448623812828751</c:v>
                </c:pt>
                <c:pt idx="93">
                  <c:v>0.74448623812828751</c:v>
                </c:pt>
                <c:pt idx="94">
                  <c:v>0.74448623812828751</c:v>
                </c:pt>
                <c:pt idx="95">
                  <c:v>0.74448623812828751</c:v>
                </c:pt>
                <c:pt idx="96">
                  <c:v>0.74448623812828751</c:v>
                </c:pt>
                <c:pt idx="97">
                  <c:v>0.74448623812828751</c:v>
                </c:pt>
                <c:pt idx="98">
                  <c:v>0.74448623812828751</c:v>
                </c:pt>
                <c:pt idx="99">
                  <c:v>0.74448623812828751</c:v>
                </c:pt>
                <c:pt idx="100">
                  <c:v>0.74448623812828751</c:v>
                </c:pt>
                <c:pt idx="101">
                  <c:v>0.74448623812828751</c:v>
                </c:pt>
                <c:pt idx="102">
                  <c:v>0.74448623812828751</c:v>
                </c:pt>
                <c:pt idx="103">
                  <c:v>0.74448623812828751</c:v>
                </c:pt>
                <c:pt idx="104">
                  <c:v>0.74448623812828751</c:v>
                </c:pt>
                <c:pt idx="105">
                  <c:v>0.74448623812828751</c:v>
                </c:pt>
                <c:pt idx="106">
                  <c:v>0.74448623812828751</c:v>
                </c:pt>
                <c:pt idx="107">
                  <c:v>0.74448623812828751</c:v>
                </c:pt>
                <c:pt idx="108">
                  <c:v>0.74448623812828751</c:v>
                </c:pt>
                <c:pt idx="109">
                  <c:v>0.74448623812828751</c:v>
                </c:pt>
                <c:pt idx="110">
                  <c:v>0.74448623812828751</c:v>
                </c:pt>
                <c:pt idx="111">
                  <c:v>0.74448623812828751</c:v>
                </c:pt>
                <c:pt idx="112">
                  <c:v>0.74448623812828751</c:v>
                </c:pt>
                <c:pt idx="113">
                  <c:v>0.74448623812828751</c:v>
                </c:pt>
                <c:pt idx="114">
                  <c:v>0.74448623812828751</c:v>
                </c:pt>
                <c:pt idx="115">
                  <c:v>0.74448623812828751</c:v>
                </c:pt>
                <c:pt idx="116">
                  <c:v>0.74448623812828751</c:v>
                </c:pt>
                <c:pt idx="117">
                  <c:v>0.74448623812828751</c:v>
                </c:pt>
                <c:pt idx="118">
                  <c:v>0.74448623812828751</c:v>
                </c:pt>
                <c:pt idx="119">
                  <c:v>0.74448623812828751</c:v>
                </c:pt>
                <c:pt idx="120">
                  <c:v>0.74448623812828751</c:v>
                </c:pt>
                <c:pt idx="121">
                  <c:v>0.74448623812828751</c:v>
                </c:pt>
                <c:pt idx="122">
                  <c:v>0.74448623812828751</c:v>
                </c:pt>
                <c:pt idx="123">
                  <c:v>0.74448623812828751</c:v>
                </c:pt>
                <c:pt idx="124">
                  <c:v>0.74448623812828751</c:v>
                </c:pt>
                <c:pt idx="125">
                  <c:v>0.74448623812828751</c:v>
                </c:pt>
                <c:pt idx="126">
                  <c:v>0.74448623812828751</c:v>
                </c:pt>
                <c:pt idx="127">
                  <c:v>0.74448623812828751</c:v>
                </c:pt>
                <c:pt idx="128">
                  <c:v>0.74448623812828751</c:v>
                </c:pt>
                <c:pt idx="129">
                  <c:v>0.74448623812828751</c:v>
                </c:pt>
                <c:pt idx="130">
                  <c:v>0.74448623812828751</c:v>
                </c:pt>
                <c:pt idx="131">
                  <c:v>0.74448623812828751</c:v>
                </c:pt>
                <c:pt idx="132">
                  <c:v>0.74448623812828751</c:v>
                </c:pt>
                <c:pt idx="133">
                  <c:v>0.74448623812828751</c:v>
                </c:pt>
                <c:pt idx="134">
                  <c:v>0.74448623812828751</c:v>
                </c:pt>
                <c:pt idx="135">
                  <c:v>0.74448623812828751</c:v>
                </c:pt>
                <c:pt idx="136">
                  <c:v>0.74448623812828751</c:v>
                </c:pt>
                <c:pt idx="137">
                  <c:v>0.74448623812828751</c:v>
                </c:pt>
                <c:pt idx="138">
                  <c:v>0.74448623812828751</c:v>
                </c:pt>
                <c:pt idx="139">
                  <c:v>0.74448623812828751</c:v>
                </c:pt>
                <c:pt idx="140">
                  <c:v>0.74448623812828751</c:v>
                </c:pt>
                <c:pt idx="141">
                  <c:v>0.74448623812828751</c:v>
                </c:pt>
                <c:pt idx="142">
                  <c:v>0.74448623812828751</c:v>
                </c:pt>
                <c:pt idx="143">
                  <c:v>0.74448623812828751</c:v>
                </c:pt>
                <c:pt idx="144">
                  <c:v>0.74448623812828751</c:v>
                </c:pt>
                <c:pt idx="145">
                  <c:v>0.74448623812828751</c:v>
                </c:pt>
                <c:pt idx="146">
                  <c:v>0.74448623812828751</c:v>
                </c:pt>
                <c:pt idx="147">
                  <c:v>0.74448623812828751</c:v>
                </c:pt>
                <c:pt idx="148">
                  <c:v>0.74448623812828751</c:v>
                </c:pt>
                <c:pt idx="149">
                  <c:v>0.74448623812828751</c:v>
                </c:pt>
                <c:pt idx="150">
                  <c:v>0.74448623812828751</c:v>
                </c:pt>
                <c:pt idx="151">
                  <c:v>0.74448623812828751</c:v>
                </c:pt>
                <c:pt idx="152">
                  <c:v>0.74448623812828751</c:v>
                </c:pt>
                <c:pt idx="153">
                  <c:v>0.74448623812828751</c:v>
                </c:pt>
                <c:pt idx="154">
                  <c:v>0.74448623812828751</c:v>
                </c:pt>
                <c:pt idx="155">
                  <c:v>0.74448623812828751</c:v>
                </c:pt>
                <c:pt idx="156">
                  <c:v>0.74448623812828751</c:v>
                </c:pt>
                <c:pt idx="157">
                  <c:v>0.74448623812828751</c:v>
                </c:pt>
                <c:pt idx="158">
                  <c:v>0.74448623812828751</c:v>
                </c:pt>
                <c:pt idx="159">
                  <c:v>0.74448623812828751</c:v>
                </c:pt>
                <c:pt idx="160">
                  <c:v>0.74448623812828751</c:v>
                </c:pt>
                <c:pt idx="161">
                  <c:v>0.74448623812828751</c:v>
                </c:pt>
                <c:pt idx="162">
                  <c:v>0.74448623812828751</c:v>
                </c:pt>
                <c:pt idx="163">
                  <c:v>0.74448623812828751</c:v>
                </c:pt>
                <c:pt idx="164">
                  <c:v>0.74448623812828751</c:v>
                </c:pt>
                <c:pt idx="165">
                  <c:v>0.74448623812828751</c:v>
                </c:pt>
                <c:pt idx="166">
                  <c:v>0.74448623812828751</c:v>
                </c:pt>
                <c:pt idx="167">
                  <c:v>0.74448623812828751</c:v>
                </c:pt>
                <c:pt idx="168">
                  <c:v>0.74448623812828751</c:v>
                </c:pt>
                <c:pt idx="169">
                  <c:v>0.74448623812828751</c:v>
                </c:pt>
                <c:pt idx="170">
                  <c:v>0.74448623812828751</c:v>
                </c:pt>
                <c:pt idx="171">
                  <c:v>0.74448623812828751</c:v>
                </c:pt>
                <c:pt idx="172">
                  <c:v>0.74448623812828751</c:v>
                </c:pt>
                <c:pt idx="173">
                  <c:v>0.74448623812828751</c:v>
                </c:pt>
                <c:pt idx="174">
                  <c:v>0.74448623812828751</c:v>
                </c:pt>
                <c:pt idx="175">
                  <c:v>0.74448623812828751</c:v>
                </c:pt>
                <c:pt idx="176">
                  <c:v>0.74448623812828751</c:v>
                </c:pt>
                <c:pt idx="177">
                  <c:v>0.74448623812828751</c:v>
                </c:pt>
                <c:pt idx="178">
                  <c:v>0.74448623812828751</c:v>
                </c:pt>
                <c:pt idx="179">
                  <c:v>0.74448623812828751</c:v>
                </c:pt>
                <c:pt idx="180">
                  <c:v>0.74448623812828751</c:v>
                </c:pt>
                <c:pt idx="181">
                  <c:v>0.74448623812828751</c:v>
                </c:pt>
                <c:pt idx="182">
                  <c:v>0.74448623812828751</c:v>
                </c:pt>
                <c:pt idx="183">
                  <c:v>0.74448623812828751</c:v>
                </c:pt>
                <c:pt idx="184">
                  <c:v>0.74448623812828751</c:v>
                </c:pt>
                <c:pt idx="185">
                  <c:v>0.74448623812828751</c:v>
                </c:pt>
                <c:pt idx="186">
                  <c:v>0.74448623812828751</c:v>
                </c:pt>
                <c:pt idx="187">
                  <c:v>0.74448623812828751</c:v>
                </c:pt>
                <c:pt idx="188">
                  <c:v>0.74448623812828751</c:v>
                </c:pt>
                <c:pt idx="189">
                  <c:v>0.74448623812828751</c:v>
                </c:pt>
                <c:pt idx="190">
                  <c:v>0.74448623812828751</c:v>
                </c:pt>
                <c:pt idx="191">
                  <c:v>0.74448623812828751</c:v>
                </c:pt>
                <c:pt idx="192">
                  <c:v>0.74448623812828751</c:v>
                </c:pt>
                <c:pt idx="193">
                  <c:v>0.74448623812828751</c:v>
                </c:pt>
                <c:pt idx="194">
                  <c:v>0.74448623812828751</c:v>
                </c:pt>
                <c:pt idx="195">
                  <c:v>0.74448623812828751</c:v>
                </c:pt>
                <c:pt idx="196">
                  <c:v>0.74448623812828751</c:v>
                </c:pt>
                <c:pt idx="197">
                  <c:v>0.74448623812828751</c:v>
                </c:pt>
                <c:pt idx="198">
                  <c:v>0.74448623812828751</c:v>
                </c:pt>
                <c:pt idx="199">
                  <c:v>0.74448623812828751</c:v>
                </c:pt>
                <c:pt idx="200">
                  <c:v>0.74448623812828751</c:v>
                </c:pt>
                <c:pt idx="201">
                  <c:v>0.74448623812828751</c:v>
                </c:pt>
                <c:pt idx="202">
                  <c:v>0.74448623812828751</c:v>
                </c:pt>
                <c:pt idx="203">
                  <c:v>0.74448623812828751</c:v>
                </c:pt>
                <c:pt idx="204">
                  <c:v>0.74448623812828751</c:v>
                </c:pt>
                <c:pt idx="205">
                  <c:v>0.74448623812828751</c:v>
                </c:pt>
                <c:pt idx="206">
                  <c:v>0.74448623812828751</c:v>
                </c:pt>
                <c:pt idx="207">
                  <c:v>0.74448623812828751</c:v>
                </c:pt>
                <c:pt idx="208">
                  <c:v>0.74448623812828751</c:v>
                </c:pt>
                <c:pt idx="209">
                  <c:v>0.74448623812828751</c:v>
                </c:pt>
                <c:pt idx="210">
                  <c:v>0.74448623812828751</c:v>
                </c:pt>
                <c:pt idx="211">
                  <c:v>0.74448623812828751</c:v>
                </c:pt>
                <c:pt idx="212">
                  <c:v>0.74448623812828751</c:v>
                </c:pt>
                <c:pt idx="213">
                  <c:v>0.74448623812828751</c:v>
                </c:pt>
                <c:pt idx="214">
                  <c:v>0.74448623812828751</c:v>
                </c:pt>
                <c:pt idx="215">
                  <c:v>0.74448623812828751</c:v>
                </c:pt>
                <c:pt idx="216">
                  <c:v>0.74448623812828751</c:v>
                </c:pt>
                <c:pt idx="217">
                  <c:v>0.74448623812828751</c:v>
                </c:pt>
                <c:pt idx="218">
                  <c:v>0.74448623812828751</c:v>
                </c:pt>
                <c:pt idx="219">
                  <c:v>0.74448623812828751</c:v>
                </c:pt>
                <c:pt idx="220">
                  <c:v>0.74448623812828751</c:v>
                </c:pt>
                <c:pt idx="221">
                  <c:v>0.74448623812828751</c:v>
                </c:pt>
                <c:pt idx="222">
                  <c:v>0.74448623812828751</c:v>
                </c:pt>
                <c:pt idx="223">
                  <c:v>0.74448623812828751</c:v>
                </c:pt>
                <c:pt idx="224">
                  <c:v>0.74448623812828751</c:v>
                </c:pt>
                <c:pt idx="225">
                  <c:v>0.74448623812828751</c:v>
                </c:pt>
                <c:pt idx="226">
                  <c:v>0.74448623812828751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20064"/>
        <c:axId val="178930048"/>
      </c:lineChart>
      <c:dateAx>
        <c:axId val="17892006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8930048"/>
        <c:crosses val="autoZero"/>
        <c:auto val="1"/>
        <c:lblOffset val="100"/>
        <c:baseTimeUnit val="days"/>
      </c:dateAx>
      <c:valAx>
        <c:axId val="178930048"/>
        <c:scaling>
          <c:orientation val="minMax"/>
          <c:max val="0.79999999999999993"/>
          <c:min val="0.3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178920064"/>
        <c:crosses val="autoZero"/>
        <c:crossBetween val="between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/>
            </a:pPr>
            <a:r>
              <a:rPr lang="en-US" sz="2400"/>
              <a:t>GOOG Standard Deviation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'GOOG|S&amp;P Data'!$A$158:$A$384</c:f>
              <c:numCache>
                <c:formatCode>m/d/yyyy</c:formatCode>
                <c:ptCount val="227"/>
                <c:pt idx="0">
                  <c:v>39314</c:v>
                </c:pt>
                <c:pt idx="1">
                  <c:v>39321</c:v>
                </c:pt>
                <c:pt idx="2">
                  <c:v>39329</c:v>
                </c:pt>
                <c:pt idx="3">
                  <c:v>39335</c:v>
                </c:pt>
                <c:pt idx="4">
                  <c:v>39342</c:v>
                </c:pt>
                <c:pt idx="5">
                  <c:v>39349</c:v>
                </c:pt>
                <c:pt idx="6">
                  <c:v>39356</c:v>
                </c:pt>
                <c:pt idx="7">
                  <c:v>39363</c:v>
                </c:pt>
                <c:pt idx="8">
                  <c:v>39370</c:v>
                </c:pt>
                <c:pt idx="9">
                  <c:v>39377</c:v>
                </c:pt>
                <c:pt idx="10">
                  <c:v>39384</c:v>
                </c:pt>
                <c:pt idx="11">
                  <c:v>39391</c:v>
                </c:pt>
                <c:pt idx="12">
                  <c:v>39398</c:v>
                </c:pt>
                <c:pt idx="13">
                  <c:v>39405</c:v>
                </c:pt>
                <c:pt idx="14">
                  <c:v>39412</c:v>
                </c:pt>
                <c:pt idx="15">
                  <c:v>39419</c:v>
                </c:pt>
                <c:pt idx="16">
                  <c:v>39426</c:v>
                </c:pt>
                <c:pt idx="17">
                  <c:v>39433</c:v>
                </c:pt>
                <c:pt idx="18">
                  <c:v>39440</c:v>
                </c:pt>
                <c:pt idx="19">
                  <c:v>39447</c:v>
                </c:pt>
                <c:pt idx="20">
                  <c:v>39454</c:v>
                </c:pt>
                <c:pt idx="21">
                  <c:v>39461</c:v>
                </c:pt>
                <c:pt idx="22">
                  <c:v>39469</c:v>
                </c:pt>
                <c:pt idx="23">
                  <c:v>39475</c:v>
                </c:pt>
                <c:pt idx="24">
                  <c:v>39482</c:v>
                </c:pt>
                <c:pt idx="25">
                  <c:v>39489</c:v>
                </c:pt>
                <c:pt idx="26">
                  <c:v>39497</c:v>
                </c:pt>
                <c:pt idx="27">
                  <c:v>39503</c:v>
                </c:pt>
                <c:pt idx="28">
                  <c:v>39510</c:v>
                </c:pt>
                <c:pt idx="29">
                  <c:v>39517</c:v>
                </c:pt>
                <c:pt idx="30">
                  <c:v>39524</c:v>
                </c:pt>
                <c:pt idx="31">
                  <c:v>39531</c:v>
                </c:pt>
                <c:pt idx="32">
                  <c:v>39538</c:v>
                </c:pt>
                <c:pt idx="33">
                  <c:v>39545</c:v>
                </c:pt>
                <c:pt idx="34">
                  <c:v>39552</c:v>
                </c:pt>
                <c:pt idx="35">
                  <c:v>39559</c:v>
                </c:pt>
                <c:pt idx="36">
                  <c:v>39566</c:v>
                </c:pt>
                <c:pt idx="37">
                  <c:v>39573</c:v>
                </c:pt>
                <c:pt idx="38">
                  <c:v>39580</c:v>
                </c:pt>
                <c:pt idx="39">
                  <c:v>39587</c:v>
                </c:pt>
                <c:pt idx="40">
                  <c:v>39595</c:v>
                </c:pt>
                <c:pt idx="41">
                  <c:v>39601</c:v>
                </c:pt>
                <c:pt idx="42">
                  <c:v>39608</c:v>
                </c:pt>
                <c:pt idx="43">
                  <c:v>39615</c:v>
                </c:pt>
                <c:pt idx="44">
                  <c:v>39622</c:v>
                </c:pt>
                <c:pt idx="45">
                  <c:v>39629</c:v>
                </c:pt>
                <c:pt idx="46">
                  <c:v>39636</c:v>
                </c:pt>
                <c:pt idx="47">
                  <c:v>39643</c:v>
                </c:pt>
                <c:pt idx="48">
                  <c:v>39650</c:v>
                </c:pt>
                <c:pt idx="49">
                  <c:v>39657</c:v>
                </c:pt>
                <c:pt idx="50">
                  <c:v>39664</c:v>
                </c:pt>
                <c:pt idx="51">
                  <c:v>39671</c:v>
                </c:pt>
                <c:pt idx="52">
                  <c:v>39678</c:v>
                </c:pt>
                <c:pt idx="53">
                  <c:v>39685</c:v>
                </c:pt>
                <c:pt idx="54">
                  <c:v>39693</c:v>
                </c:pt>
                <c:pt idx="55">
                  <c:v>39699</c:v>
                </c:pt>
                <c:pt idx="56">
                  <c:v>39706</c:v>
                </c:pt>
                <c:pt idx="57">
                  <c:v>39713</c:v>
                </c:pt>
                <c:pt idx="58">
                  <c:v>39720</c:v>
                </c:pt>
                <c:pt idx="59">
                  <c:v>39727</c:v>
                </c:pt>
                <c:pt idx="60">
                  <c:v>39734</c:v>
                </c:pt>
                <c:pt idx="61">
                  <c:v>39741</c:v>
                </c:pt>
                <c:pt idx="62">
                  <c:v>39748</c:v>
                </c:pt>
                <c:pt idx="63">
                  <c:v>39755</c:v>
                </c:pt>
                <c:pt idx="64">
                  <c:v>39762</c:v>
                </c:pt>
                <c:pt idx="65">
                  <c:v>39769</c:v>
                </c:pt>
                <c:pt idx="66">
                  <c:v>39776</c:v>
                </c:pt>
                <c:pt idx="67">
                  <c:v>39783</c:v>
                </c:pt>
                <c:pt idx="68">
                  <c:v>39790</c:v>
                </c:pt>
                <c:pt idx="69">
                  <c:v>39797</c:v>
                </c:pt>
                <c:pt idx="70">
                  <c:v>39804</c:v>
                </c:pt>
                <c:pt idx="71">
                  <c:v>39811</c:v>
                </c:pt>
                <c:pt idx="72">
                  <c:v>39818</c:v>
                </c:pt>
                <c:pt idx="73">
                  <c:v>39825</c:v>
                </c:pt>
                <c:pt idx="74">
                  <c:v>39833</c:v>
                </c:pt>
                <c:pt idx="75">
                  <c:v>39839</c:v>
                </c:pt>
                <c:pt idx="76">
                  <c:v>39846</c:v>
                </c:pt>
                <c:pt idx="77">
                  <c:v>39853</c:v>
                </c:pt>
                <c:pt idx="78">
                  <c:v>39861</c:v>
                </c:pt>
                <c:pt idx="79">
                  <c:v>39867</c:v>
                </c:pt>
                <c:pt idx="80">
                  <c:v>39874</c:v>
                </c:pt>
                <c:pt idx="81">
                  <c:v>39881</c:v>
                </c:pt>
                <c:pt idx="82">
                  <c:v>39888</c:v>
                </c:pt>
                <c:pt idx="83">
                  <c:v>39895</c:v>
                </c:pt>
                <c:pt idx="84">
                  <c:v>39902</c:v>
                </c:pt>
                <c:pt idx="85">
                  <c:v>39909</c:v>
                </c:pt>
                <c:pt idx="86">
                  <c:v>39916</c:v>
                </c:pt>
                <c:pt idx="87">
                  <c:v>39923</c:v>
                </c:pt>
                <c:pt idx="88">
                  <c:v>39930</c:v>
                </c:pt>
                <c:pt idx="89">
                  <c:v>39937</c:v>
                </c:pt>
                <c:pt idx="90">
                  <c:v>39944</c:v>
                </c:pt>
                <c:pt idx="91">
                  <c:v>39951</c:v>
                </c:pt>
                <c:pt idx="92">
                  <c:v>39959</c:v>
                </c:pt>
                <c:pt idx="93">
                  <c:v>39965</c:v>
                </c:pt>
                <c:pt idx="94">
                  <c:v>39972</c:v>
                </c:pt>
                <c:pt idx="95">
                  <c:v>39979</c:v>
                </c:pt>
                <c:pt idx="96">
                  <c:v>39986</c:v>
                </c:pt>
                <c:pt idx="97">
                  <c:v>39993</c:v>
                </c:pt>
                <c:pt idx="98">
                  <c:v>40000</c:v>
                </c:pt>
                <c:pt idx="99">
                  <c:v>40007</c:v>
                </c:pt>
                <c:pt idx="100">
                  <c:v>40014</c:v>
                </c:pt>
                <c:pt idx="101">
                  <c:v>40021</c:v>
                </c:pt>
                <c:pt idx="102">
                  <c:v>40028</c:v>
                </c:pt>
                <c:pt idx="103">
                  <c:v>40035</c:v>
                </c:pt>
                <c:pt idx="104">
                  <c:v>40042</c:v>
                </c:pt>
                <c:pt idx="105">
                  <c:v>40049</c:v>
                </c:pt>
                <c:pt idx="106">
                  <c:v>40056</c:v>
                </c:pt>
                <c:pt idx="107">
                  <c:v>40064</c:v>
                </c:pt>
                <c:pt idx="108">
                  <c:v>40070</c:v>
                </c:pt>
                <c:pt idx="109">
                  <c:v>40077</c:v>
                </c:pt>
                <c:pt idx="110">
                  <c:v>40084</c:v>
                </c:pt>
                <c:pt idx="111">
                  <c:v>40091</c:v>
                </c:pt>
                <c:pt idx="112">
                  <c:v>40098</c:v>
                </c:pt>
                <c:pt idx="113">
                  <c:v>40105</c:v>
                </c:pt>
                <c:pt idx="114">
                  <c:v>40112</c:v>
                </c:pt>
                <c:pt idx="115">
                  <c:v>40119</c:v>
                </c:pt>
                <c:pt idx="116">
                  <c:v>40126</c:v>
                </c:pt>
                <c:pt idx="117">
                  <c:v>40133</c:v>
                </c:pt>
                <c:pt idx="118">
                  <c:v>40140</c:v>
                </c:pt>
                <c:pt idx="119">
                  <c:v>40147</c:v>
                </c:pt>
                <c:pt idx="120">
                  <c:v>40154</c:v>
                </c:pt>
                <c:pt idx="121">
                  <c:v>40161</c:v>
                </c:pt>
                <c:pt idx="122">
                  <c:v>40168</c:v>
                </c:pt>
                <c:pt idx="123">
                  <c:v>40175</c:v>
                </c:pt>
                <c:pt idx="124">
                  <c:v>40182</c:v>
                </c:pt>
                <c:pt idx="125">
                  <c:v>40189</c:v>
                </c:pt>
                <c:pt idx="126">
                  <c:v>40197</c:v>
                </c:pt>
                <c:pt idx="127">
                  <c:v>40203</c:v>
                </c:pt>
                <c:pt idx="128">
                  <c:v>40210</c:v>
                </c:pt>
                <c:pt idx="129">
                  <c:v>40217</c:v>
                </c:pt>
                <c:pt idx="130">
                  <c:v>40225</c:v>
                </c:pt>
                <c:pt idx="131">
                  <c:v>40231</c:v>
                </c:pt>
                <c:pt idx="132">
                  <c:v>40238</c:v>
                </c:pt>
                <c:pt idx="133">
                  <c:v>40245</c:v>
                </c:pt>
                <c:pt idx="134">
                  <c:v>40252</c:v>
                </c:pt>
                <c:pt idx="135">
                  <c:v>40259</c:v>
                </c:pt>
                <c:pt idx="136">
                  <c:v>40266</c:v>
                </c:pt>
                <c:pt idx="137">
                  <c:v>40273</c:v>
                </c:pt>
                <c:pt idx="138">
                  <c:v>40280</c:v>
                </c:pt>
                <c:pt idx="139">
                  <c:v>40287</c:v>
                </c:pt>
                <c:pt idx="140">
                  <c:v>40294</c:v>
                </c:pt>
                <c:pt idx="141">
                  <c:v>40301</c:v>
                </c:pt>
                <c:pt idx="142">
                  <c:v>40308</c:v>
                </c:pt>
                <c:pt idx="143">
                  <c:v>40315</c:v>
                </c:pt>
                <c:pt idx="144">
                  <c:v>40322</c:v>
                </c:pt>
                <c:pt idx="145">
                  <c:v>40330</c:v>
                </c:pt>
                <c:pt idx="146">
                  <c:v>40336</c:v>
                </c:pt>
                <c:pt idx="147">
                  <c:v>40343</c:v>
                </c:pt>
                <c:pt idx="148">
                  <c:v>40350</c:v>
                </c:pt>
                <c:pt idx="149">
                  <c:v>40357</c:v>
                </c:pt>
                <c:pt idx="150">
                  <c:v>40365</c:v>
                </c:pt>
                <c:pt idx="151">
                  <c:v>40371</c:v>
                </c:pt>
                <c:pt idx="152">
                  <c:v>40378</c:v>
                </c:pt>
                <c:pt idx="153">
                  <c:v>40385</c:v>
                </c:pt>
                <c:pt idx="154">
                  <c:v>40392</c:v>
                </c:pt>
                <c:pt idx="155">
                  <c:v>40399</c:v>
                </c:pt>
                <c:pt idx="156">
                  <c:v>40406</c:v>
                </c:pt>
                <c:pt idx="157">
                  <c:v>40413</c:v>
                </c:pt>
                <c:pt idx="158">
                  <c:v>40420</c:v>
                </c:pt>
                <c:pt idx="159">
                  <c:v>40428</c:v>
                </c:pt>
                <c:pt idx="160">
                  <c:v>40434</c:v>
                </c:pt>
                <c:pt idx="161">
                  <c:v>40441</c:v>
                </c:pt>
                <c:pt idx="162">
                  <c:v>40448</c:v>
                </c:pt>
                <c:pt idx="163">
                  <c:v>40455</c:v>
                </c:pt>
                <c:pt idx="164">
                  <c:v>40462</c:v>
                </c:pt>
                <c:pt idx="165">
                  <c:v>40469</c:v>
                </c:pt>
                <c:pt idx="166">
                  <c:v>40476</c:v>
                </c:pt>
                <c:pt idx="167">
                  <c:v>40483</c:v>
                </c:pt>
                <c:pt idx="168">
                  <c:v>40490</c:v>
                </c:pt>
                <c:pt idx="169">
                  <c:v>40497</c:v>
                </c:pt>
                <c:pt idx="170">
                  <c:v>40504</c:v>
                </c:pt>
                <c:pt idx="171">
                  <c:v>40511</c:v>
                </c:pt>
                <c:pt idx="172">
                  <c:v>40518</c:v>
                </c:pt>
                <c:pt idx="173">
                  <c:v>40525</c:v>
                </c:pt>
                <c:pt idx="174">
                  <c:v>40532</c:v>
                </c:pt>
                <c:pt idx="175">
                  <c:v>40539</c:v>
                </c:pt>
                <c:pt idx="176">
                  <c:v>40546</c:v>
                </c:pt>
                <c:pt idx="177">
                  <c:v>40553</c:v>
                </c:pt>
                <c:pt idx="178">
                  <c:v>40561</c:v>
                </c:pt>
                <c:pt idx="179">
                  <c:v>40567</c:v>
                </c:pt>
                <c:pt idx="180">
                  <c:v>40574</c:v>
                </c:pt>
                <c:pt idx="181">
                  <c:v>40581</c:v>
                </c:pt>
                <c:pt idx="182">
                  <c:v>40588</c:v>
                </c:pt>
                <c:pt idx="183">
                  <c:v>40596</c:v>
                </c:pt>
                <c:pt idx="184">
                  <c:v>40602</c:v>
                </c:pt>
                <c:pt idx="185">
                  <c:v>40609</c:v>
                </c:pt>
                <c:pt idx="186">
                  <c:v>40616</c:v>
                </c:pt>
                <c:pt idx="187">
                  <c:v>40623</c:v>
                </c:pt>
                <c:pt idx="188">
                  <c:v>40630</c:v>
                </c:pt>
                <c:pt idx="189">
                  <c:v>40637</c:v>
                </c:pt>
                <c:pt idx="190">
                  <c:v>40644</c:v>
                </c:pt>
                <c:pt idx="191">
                  <c:v>40651</c:v>
                </c:pt>
                <c:pt idx="192">
                  <c:v>40658</c:v>
                </c:pt>
                <c:pt idx="193">
                  <c:v>40665</c:v>
                </c:pt>
                <c:pt idx="194">
                  <c:v>40672</c:v>
                </c:pt>
                <c:pt idx="195">
                  <c:v>40679</c:v>
                </c:pt>
                <c:pt idx="196">
                  <c:v>40686</c:v>
                </c:pt>
                <c:pt idx="197">
                  <c:v>40694</c:v>
                </c:pt>
                <c:pt idx="198">
                  <c:v>40700</c:v>
                </c:pt>
                <c:pt idx="199">
                  <c:v>40707</c:v>
                </c:pt>
                <c:pt idx="200">
                  <c:v>40714</c:v>
                </c:pt>
                <c:pt idx="201">
                  <c:v>40721</c:v>
                </c:pt>
                <c:pt idx="202">
                  <c:v>40729</c:v>
                </c:pt>
                <c:pt idx="203">
                  <c:v>40735</c:v>
                </c:pt>
                <c:pt idx="204">
                  <c:v>40742</c:v>
                </c:pt>
                <c:pt idx="205">
                  <c:v>40749</c:v>
                </c:pt>
                <c:pt idx="206">
                  <c:v>40756</c:v>
                </c:pt>
                <c:pt idx="207">
                  <c:v>40763</c:v>
                </c:pt>
                <c:pt idx="208">
                  <c:v>40770</c:v>
                </c:pt>
                <c:pt idx="209">
                  <c:v>40777</c:v>
                </c:pt>
                <c:pt idx="210">
                  <c:v>40784</c:v>
                </c:pt>
                <c:pt idx="211">
                  <c:v>40792</c:v>
                </c:pt>
                <c:pt idx="212">
                  <c:v>40798</c:v>
                </c:pt>
                <c:pt idx="213">
                  <c:v>40805</c:v>
                </c:pt>
                <c:pt idx="214">
                  <c:v>40812</c:v>
                </c:pt>
                <c:pt idx="215">
                  <c:v>40819</c:v>
                </c:pt>
                <c:pt idx="216">
                  <c:v>40826</c:v>
                </c:pt>
                <c:pt idx="217">
                  <c:v>40833</c:v>
                </c:pt>
                <c:pt idx="218">
                  <c:v>40840</c:v>
                </c:pt>
                <c:pt idx="219">
                  <c:v>40847</c:v>
                </c:pt>
                <c:pt idx="220">
                  <c:v>40854</c:v>
                </c:pt>
                <c:pt idx="221">
                  <c:v>40861</c:v>
                </c:pt>
                <c:pt idx="222">
                  <c:v>40868</c:v>
                </c:pt>
                <c:pt idx="223">
                  <c:v>40875</c:v>
                </c:pt>
                <c:pt idx="224">
                  <c:v>40882</c:v>
                </c:pt>
                <c:pt idx="225">
                  <c:v>40889</c:v>
                </c:pt>
                <c:pt idx="226">
                  <c:v>40896</c:v>
                </c:pt>
              </c:numCache>
            </c:numRef>
          </c:cat>
          <c:val>
            <c:numRef>
              <c:f>'GOOG|S&amp;P Data'!$N$158:$N$384</c:f>
              <c:numCache>
                <c:formatCode>0.00%</c:formatCode>
                <c:ptCount val="227"/>
                <c:pt idx="0">
                  <c:v>5.079480787527936E-2</c:v>
                </c:pt>
                <c:pt idx="1">
                  <c:v>5.0497211143485286E-2</c:v>
                </c:pt>
                <c:pt idx="2">
                  <c:v>5.0388548510745021E-2</c:v>
                </c:pt>
                <c:pt idx="3">
                  <c:v>4.9695770027665183E-2</c:v>
                </c:pt>
                <c:pt idx="4">
                  <c:v>4.9840674876944928E-2</c:v>
                </c:pt>
                <c:pt idx="5">
                  <c:v>4.9250389708715793E-2</c:v>
                </c:pt>
                <c:pt idx="6">
                  <c:v>4.9285695052059479E-2</c:v>
                </c:pt>
                <c:pt idx="7">
                  <c:v>4.9454950994894754E-2</c:v>
                </c:pt>
                <c:pt idx="8">
                  <c:v>4.7151365016833695E-2</c:v>
                </c:pt>
                <c:pt idx="9">
                  <c:v>4.6612014510231399E-2</c:v>
                </c:pt>
                <c:pt idx="10">
                  <c:v>4.572644465170686E-2</c:v>
                </c:pt>
                <c:pt idx="11">
                  <c:v>4.5839429344094275E-2</c:v>
                </c:pt>
                <c:pt idx="12">
                  <c:v>4.5618665953575999E-2</c:v>
                </c:pt>
                <c:pt idx="13">
                  <c:v>4.5686808077535508E-2</c:v>
                </c:pt>
                <c:pt idx="14">
                  <c:v>4.5700314210188574E-2</c:v>
                </c:pt>
                <c:pt idx="15">
                  <c:v>4.549286261734458E-2</c:v>
                </c:pt>
                <c:pt idx="16">
                  <c:v>4.5526128882995572E-2</c:v>
                </c:pt>
                <c:pt idx="17">
                  <c:v>4.544536244343194E-2</c:v>
                </c:pt>
                <c:pt idx="18">
                  <c:v>4.5425950910404259E-2</c:v>
                </c:pt>
                <c:pt idx="19">
                  <c:v>4.5809062811760635E-2</c:v>
                </c:pt>
                <c:pt idx="20">
                  <c:v>4.586948991639863E-2</c:v>
                </c:pt>
                <c:pt idx="21">
                  <c:v>4.5879668437108646E-2</c:v>
                </c:pt>
                <c:pt idx="22">
                  <c:v>4.6170534636522272E-2</c:v>
                </c:pt>
                <c:pt idx="23">
                  <c:v>4.651516892737699E-2</c:v>
                </c:pt>
                <c:pt idx="24">
                  <c:v>4.5952305215721009E-2</c:v>
                </c:pt>
                <c:pt idx="25">
                  <c:v>4.5807387544203382E-2</c:v>
                </c:pt>
                <c:pt idx="26">
                  <c:v>4.5644908899332967E-2</c:v>
                </c:pt>
                <c:pt idx="27">
                  <c:v>4.608175258275711E-2</c:v>
                </c:pt>
                <c:pt idx="28">
                  <c:v>4.6432051874263178E-2</c:v>
                </c:pt>
                <c:pt idx="29">
                  <c:v>4.6430697526392034E-2</c:v>
                </c:pt>
                <c:pt idx="30">
                  <c:v>4.6441465899584436E-2</c:v>
                </c:pt>
                <c:pt idx="31">
                  <c:v>4.6442014593120494E-2</c:v>
                </c:pt>
                <c:pt idx="32">
                  <c:v>4.651856499441738E-2</c:v>
                </c:pt>
                <c:pt idx="33">
                  <c:v>4.647611902248288E-2</c:v>
                </c:pt>
                <c:pt idx="34">
                  <c:v>4.6764179380512715E-2</c:v>
                </c:pt>
                <c:pt idx="35">
                  <c:v>4.6753706227330327E-2</c:v>
                </c:pt>
                <c:pt idx="36">
                  <c:v>4.6952466885590204E-2</c:v>
                </c:pt>
                <c:pt idx="37">
                  <c:v>4.6982269085548721E-2</c:v>
                </c:pt>
                <c:pt idx="38">
                  <c:v>4.6832436952321421E-2</c:v>
                </c:pt>
                <c:pt idx="39">
                  <c:v>4.6527141663108791E-2</c:v>
                </c:pt>
                <c:pt idx="40">
                  <c:v>4.6705236276469886E-2</c:v>
                </c:pt>
                <c:pt idx="41">
                  <c:v>4.6802747796234834E-2</c:v>
                </c:pt>
                <c:pt idx="42">
                  <c:v>4.6790821268430101E-2</c:v>
                </c:pt>
                <c:pt idx="43">
                  <c:v>4.6748436623802687E-2</c:v>
                </c:pt>
                <c:pt idx="44">
                  <c:v>4.6806978644176205E-2</c:v>
                </c:pt>
                <c:pt idx="45">
                  <c:v>4.6806667097499047E-2</c:v>
                </c:pt>
                <c:pt idx="46">
                  <c:v>4.6804936592992251E-2</c:v>
                </c:pt>
                <c:pt idx="47">
                  <c:v>4.7522377421390788E-2</c:v>
                </c:pt>
                <c:pt idx="48">
                  <c:v>4.7355849234892597E-2</c:v>
                </c:pt>
                <c:pt idx="49">
                  <c:v>4.75392233740543E-2</c:v>
                </c:pt>
                <c:pt idx="50">
                  <c:v>4.7721074369177989E-2</c:v>
                </c:pt>
                <c:pt idx="51">
                  <c:v>4.7667111246978068E-2</c:v>
                </c:pt>
                <c:pt idx="52">
                  <c:v>4.7787952840692642E-2</c:v>
                </c:pt>
                <c:pt idx="53">
                  <c:v>4.8018505337572424E-2</c:v>
                </c:pt>
                <c:pt idx="54">
                  <c:v>4.8081389746073344E-2</c:v>
                </c:pt>
                <c:pt idx="55">
                  <c:v>4.8104109117075335E-2</c:v>
                </c:pt>
                <c:pt idx="56">
                  <c:v>4.7991266003974506E-2</c:v>
                </c:pt>
                <c:pt idx="57">
                  <c:v>4.8118023705584878E-2</c:v>
                </c:pt>
                <c:pt idx="58">
                  <c:v>4.8837421196387822E-2</c:v>
                </c:pt>
                <c:pt idx="59">
                  <c:v>4.9981829247064319E-2</c:v>
                </c:pt>
                <c:pt idx="60">
                  <c:v>4.95420863219216E-2</c:v>
                </c:pt>
                <c:pt idx="61">
                  <c:v>4.9894450258840463E-2</c:v>
                </c:pt>
                <c:pt idx="62">
                  <c:v>4.9600420985057535E-2</c:v>
                </c:pt>
                <c:pt idx="63">
                  <c:v>5.0001872451460518E-2</c:v>
                </c:pt>
                <c:pt idx="64">
                  <c:v>5.0220713997477955E-2</c:v>
                </c:pt>
                <c:pt idx="65">
                  <c:v>5.1358906504368987E-2</c:v>
                </c:pt>
                <c:pt idx="66">
                  <c:v>5.2180393070859546E-2</c:v>
                </c:pt>
                <c:pt idx="67">
                  <c:v>5.2211357258952082E-2</c:v>
                </c:pt>
                <c:pt idx="68">
                  <c:v>5.2820889127143361E-2</c:v>
                </c:pt>
                <c:pt idx="69">
                  <c:v>5.2838192475900998E-2</c:v>
                </c:pt>
                <c:pt idx="70">
                  <c:v>5.2814979092347759E-2</c:v>
                </c:pt>
                <c:pt idx="71">
                  <c:v>5.2191553253859053E-2</c:v>
                </c:pt>
                <c:pt idx="72">
                  <c:v>5.2211966107685026E-2</c:v>
                </c:pt>
                <c:pt idx="73">
                  <c:v>5.1096674925041295E-2</c:v>
                </c:pt>
                <c:pt idx="74">
                  <c:v>5.1078941595373219E-2</c:v>
                </c:pt>
                <c:pt idx="75">
                  <c:v>5.0286192386167709E-2</c:v>
                </c:pt>
                <c:pt idx="76">
                  <c:v>5.0705811907053894E-2</c:v>
                </c:pt>
                <c:pt idx="77">
                  <c:v>5.0781025969548123E-2</c:v>
                </c:pt>
                <c:pt idx="78">
                  <c:v>5.0814870008578809E-2</c:v>
                </c:pt>
                <c:pt idx="79">
                  <c:v>5.0854397843287394E-2</c:v>
                </c:pt>
                <c:pt idx="80">
                  <c:v>5.0600372549890776E-2</c:v>
                </c:pt>
                <c:pt idx="81">
                  <c:v>5.0759539416508244E-2</c:v>
                </c:pt>
                <c:pt idx="82">
                  <c:v>5.0414109771729519E-2</c:v>
                </c:pt>
                <c:pt idx="83">
                  <c:v>5.0316145514329565E-2</c:v>
                </c:pt>
                <c:pt idx="84">
                  <c:v>5.0461753887315899E-2</c:v>
                </c:pt>
                <c:pt idx="85">
                  <c:v>5.0457440668544788E-2</c:v>
                </c:pt>
                <c:pt idx="86">
                  <c:v>5.0158363794874747E-2</c:v>
                </c:pt>
                <c:pt idx="87">
                  <c:v>5.0035357979482366E-2</c:v>
                </c:pt>
                <c:pt idx="88">
                  <c:v>4.9828660630577608E-2</c:v>
                </c:pt>
                <c:pt idx="89">
                  <c:v>4.9720796769882003E-2</c:v>
                </c:pt>
                <c:pt idx="90">
                  <c:v>4.9836409737121869E-2</c:v>
                </c:pt>
                <c:pt idx="91">
                  <c:v>4.9785472136144912E-2</c:v>
                </c:pt>
                <c:pt idx="92">
                  <c:v>5.000361924204582E-2</c:v>
                </c:pt>
                <c:pt idx="93">
                  <c:v>5.0238770789764201E-2</c:v>
                </c:pt>
                <c:pt idx="94">
                  <c:v>5.0367737812509146E-2</c:v>
                </c:pt>
                <c:pt idx="95">
                  <c:v>5.0302051049103465E-2</c:v>
                </c:pt>
                <c:pt idx="96">
                  <c:v>5.0234727595654581E-2</c:v>
                </c:pt>
                <c:pt idx="97">
                  <c:v>5.0340629142375311E-2</c:v>
                </c:pt>
                <c:pt idx="98">
                  <c:v>5.0241606343170958E-2</c:v>
                </c:pt>
                <c:pt idx="99">
                  <c:v>5.0249525398542084E-2</c:v>
                </c:pt>
                <c:pt idx="100">
                  <c:v>5.0330029936976814E-2</c:v>
                </c:pt>
                <c:pt idx="101">
                  <c:v>5.0239937986561387E-2</c:v>
                </c:pt>
                <c:pt idx="102">
                  <c:v>5.0276334442635143E-2</c:v>
                </c:pt>
                <c:pt idx="103">
                  <c:v>5.0186151826786568E-2</c:v>
                </c:pt>
                <c:pt idx="104">
                  <c:v>5.0137790406015501E-2</c:v>
                </c:pt>
                <c:pt idx="105">
                  <c:v>5.012992706098772E-2</c:v>
                </c:pt>
                <c:pt idx="106">
                  <c:v>5.0134977990454063E-2</c:v>
                </c:pt>
                <c:pt idx="107">
                  <c:v>4.9727585292588826E-2</c:v>
                </c:pt>
                <c:pt idx="108">
                  <c:v>4.9804452833806863E-2</c:v>
                </c:pt>
                <c:pt idx="109">
                  <c:v>4.9801147110480691E-2</c:v>
                </c:pt>
                <c:pt idx="110">
                  <c:v>4.9698582373970138E-2</c:v>
                </c:pt>
                <c:pt idx="111">
                  <c:v>4.9941964923430185E-2</c:v>
                </c:pt>
                <c:pt idx="112">
                  <c:v>4.9848761062190591E-2</c:v>
                </c:pt>
                <c:pt idx="113">
                  <c:v>4.9786422255753075E-2</c:v>
                </c:pt>
                <c:pt idx="114">
                  <c:v>4.9854688171698726E-2</c:v>
                </c:pt>
                <c:pt idx="115">
                  <c:v>4.9897302860223827E-2</c:v>
                </c:pt>
                <c:pt idx="116">
                  <c:v>4.9811839988921518E-2</c:v>
                </c:pt>
                <c:pt idx="117">
                  <c:v>4.9807015576994261E-2</c:v>
                </c:pt>
                <c:pt idx="118">
                  <c:v>4.9659378175897537E-2</c:v>
                </c:pt>
                <c:pt idx="119">
                  <c:v>4.9660927053610929E-2</c:v>
                </c:pt>
                <c:pt idx="120">
                  <c:v>4.9657048150001645E-2</c:v>
                </c:pt>
                <c:pt idx="121">
                  <c:v>4.9470299076535093E-2</c:v>
                </c:pt>
                <c:pt idx="122">
                  <c:v>4.9541059226953718E-2</c:v>
                </c:pt>
                <c:pt idx="123">
                  <c:v>4.9344555057576393E-2</c:v>
                </c:pt>
                <c:pt idx="124">
                  <c:v>4.9334023009723151E-2</c:v>
                </c:pt>
                <c:pt idx="125">
                  <c:v>4.9363615127469347E-2</c:v>
                </c:pt>
                <c:pt idx="126">
                  <c:v>4.9544333015815477E-2</c:v>
                </c:pt>
                <c:pt idx="127">
                  <c:v>4.9578184757931403E-2</c:v>
                </c:pt>
                <c:pt idx="128">
                  <c:v>4.9460127513872139E-2</c:v>
                </c:pt>
                <c:pt idx="129">
                  <c:v>4.9444977967199211E-2</c:v>
                </c:pt>
                <c:pt idx="130">
                  <c:v>4.9454687486978781E-2</c:v>
                </c:pt>
                <c:pt idx="131">
                  <c:v>4.918636407221573E-2</c:v>
                </c:pt>
                <c:pt idx="132">
                  <c:v>4.9432731881171789E-2</c:v>
                </c:pt>
                <c:pt idx="133">
                  <c:v>4.9414639656585831E-2</c:v>
                </c:pt>
                <c:pt idx="134">
                  <c:v>4.9370119017929821E-2</c:v>
                </c:pt>
                <c:pt idx="135">
                  <c:v>4.9363381620572688E-2</c:v>
                </c:pt>
                <c:pt idx="136">
                  <c:v>4.9321779611612437E-2</c:v>
                </c:pt>
                <c:pt idx="137">
                  <c:v>4.931307667229165E-2</c:v>
                </c:pt>
                <c:pt idx="138">
                  <c:v>4.9305622954465986E-2</c:v>
                </c:pt>
                <c:pt idx="139">
                  <c:v>4.9308562528470316E-2</c:v>
                </c:pt>
                <c:pt idx="140">
                  <c:v>4.9377195771306094E-2</c:v>
                </c:pt>
                <c:pt idx="141">
                  <c:v>4.9631928104983368E-2</c:v>
                </c:pt>
                <c:pt idx="142">
                  <c:v>4.9678496378740403E-2</c:v>
                </c:pt>
                <c:pt idx="143">
                  <c:v>4.9960002258121548E-2</c:v>
                </c:pt>
                <c:pt idx="144">
                  <c:v>4.9935751034865139E-2</c:v>
                </c:pt>
                <c:pt idx="145">
                  <c:v>4.9924445323643069E-2</c:v>
                </c:pt>
                <c:pt idx="146">
                  <c:v>4.9929386796629477E-2</c:v>
                </c:pt>
                <c:pt idx="147">
                  <c:v>4.9875486599673141E-2</c:v>
                </c:pt>
                <c:pt idx="148">
                  <c:v>5.0071144583770801E-2</c:v>
                </c:pt>
                <c:pt idx="149">
                  <c:v>5.038248031129882E-2</c:v>
                </c:pt>
                <c:pt idx="150">
                  <c:v>5.0665232303791025E-2</c:v>
                </c:pt>
                <c:pt idx="151">
                  <c:v>5.0467990339241604E-2</c:v>
                </c:pt>
                <c:pt idx="152">
                  <c:v>5.072243088883692E-2</c:v>
                </c:pt>
                <c:pt idx="153">
                  <c:v>5.0709635444193137E-2</c:v>
                </c:pt>
                <c:pt idx="154">
                  <c:v>5.0731675664131712E-2</c:v>
                </c:pt>
                <c:pt idx="155">
                  <c:v>5.0721248291299273E-2</c:v>
                </c:pt>
                <c:pt idx="156">
                  <c:v>5.0831336534934761E-2</c:v>
                </c:pt>
                <c:pt idx="157">
                  <c:v>5.0834862393884704E-2</c:v>
                </c:pt>
                <c:pt idx="158">
                  <c:v>5.0868959737793741E-2</c:v>
                </c:pt>
                <c:pt idx="159">
                  <c:v>5.0858492582682734E-2</c:v>
                </c:pt>
                <c:pt idx="160">
                  <c:v>5.0693229247271612E-2</c:v>
                </c:pt>
                <c:pt idx="161">
                  <c:v>5.1039652062929292E-2</c:v>
                </c:pt>
                <c:pt idx="162">
                  <c:v>5.0904414433559635E-2</c:v>
                </c:pt>
                <c:pt idx="163">
                  <c:v>5.0596864048600934E-2</c:v>
                </c:pt>
                <c:pt idx="164">
                  <c:v>5.1506215595046125E-2</c:v>
                </c:pt>
                <c:pt idx="165">
                  <c:v>5.1396210974273708E-2</c:v>
                </c:pt>
                <c:pt idx="166">
                  <c:v>5.1215540933404698E-2</c:v>
                </c:pt>
                <c:pt idx="167">
                  <c:v>5.0953066593418792E-2</c:v>
                </c:pt>
                <c:pt idx="168">
                  <c:v>5.0896843724345581E-2</c:v>
                </c:pt>
                <c:pt idx="169">
                  <c:v>5.0639858610995243E-2</c:v>
                </c:pt>
                <c:pt idx="170">
                  <c:v>5.0604311709783377E-2</c:v>
                </c:pt>
                <c:pt idx="171">
                  <c:v>5.0594230531419156E-2</c:v>
                </c:pt>
                <c:pt idx="172">
                  <c:v>5.0587819109795998E-2</c:v>
                </c:pt>
                <c:pt idx="173">
                  <c:v>5.0582550036311666E-2</c:v>
                </c:pt>
                <c:pt idx="174">
                  <c:v>5.0610346690157945E-2</c:v>
                </c:pt>
                <c:pt idx="175">
                  <c:v>5.0359162579367803E-2</c:v>
                </c:pt>
                <c:pt idx="176">
                  <c:v>5.039136559796005E-2</c:v>
                </c:pt>
                <c:pt idx="177">
                  <c:v>5.0163709915456142E-2</c:v>
                </c:pt>
                <c:pt idx="178">
                  <c:v>4.9977584050289958E-2</c:v>
                </c:pt>
                <c:pt idx="179">
                  <c:v>4.9467239449400298E-2</c:v>
                </c:pt>
                <c:pt idx="180">
                  <c:v>4.9480591468920525E-2</c:v>
                </c:pt>
                <c:pt idx="181">
                  <c:v>4.9472488657384482E-2</c:v>
                </c:pt>
                <c:pt idx="182">
                  <c:v>4.9351498381135651E-2</c:v>
                </c:pt>
                <c:pt idx="183">
                  <c:v>4.9064321914730251E-2</c:v>
                </c:pt>
                <c:pt idx="184">
                  <c:v>4.8630915779841841E-2</c:v>
                </c:pt>
                <c:pt idx="185">
                  <c:v>4.8748547961156477E-2</c:v>
                </c:pt>
                <c:pt idx="186">
                  <c:v>4.8796927449088263E-2</c:v>
                </c:pt>
                <c:pt idx="187">
                  <c:v>4.8853787165259989E-2</c:v>
                </c:pt>
                <c:pt idx="188">
                  <c:v>4.8528723073203203E-2</c:v>
                </c:pt>
                <c:pt idx="189">
                  <c:v>4.8506361647341789E-2</c:v>
                </c:pt>
                <c:pt idx="190">
                  <c:v>4.6866240837403858E-2</c:v>
                </c:pt>
                <c:pt idx="191">
                  <c:v>4.6871236764379688E-2</c:v>
                </c:pt>
                <c:pt idx="192">
                  <c:v>4.6643420463873535E-2</c:v>
                </c:pt>
                <c:pt idx="193">
                  <c:v>4.6648291215762992E-2</c:v>
                </c:pt>
                <c:pt idx="194">
                  <c:v>4.6648172867901828E-2</c:v>
                </c:pt>
                <c:pt idx="195">
                  <c:v>4.6393637085923194E-2</c:v>
                </c:pt>
                <c:pt idx="196">
                  <c:v>4.6005981373507941E-2</c:v>
                </c:pt>
                <c:pt idx="197">
                  <c:v>4.5933219499694269E-2</c:v>
                </c:pt>
                <c:pt idx="198">
                  <c:v>4.5977811700459857E-2</c:v>
                </c:pt>
                <c:pt idx="199">
                  <c:v>4.6004793591936641E-2</c:v>
                </c:pt>
                <c:pt idx="200">
                  <c:v>4.5955959628876004E-2</c:v>
                </c:pt>
                <c:pt idx="201">
                  <c:v>4.65832531487341E-2</c:v>
                </c:pt>
                <c:pt idx="202">
                  <c:v>4.6607593101461453E-2</c:v>
                </c:pt>
                <c:pt idx="203">
                  <c:v>4.6934071957313535E-2</c:v>
                </c:pt>
                <c:pt idx="204">
                  <c:v>4.69775093601391E-2</c:v>
                </c:pt>
                <c:pt idx="205">
                  <c:v>4.6841830827936692E-2</c:v>
                </c:pt>
                <c:pt idx="206">
                  <c:v>4.675812226465989E-2</c:v>
                </c:pt>
                <c:pt idx="207">
                  <c:v>4.6756645244922582E-2</c:v>
                </c:pt>
                <c:pt idx="208">
                  <c:v>4.7806682247452777E-2</c:v>
                </c:pt>
                <c:pt idx="209">
                  <c:v>4.7931187152446798E-2</c:v>
                </c:pt>
                <c:pt idx="210">
                  <c:v>4.7808615045259871E-2</c:v>
                </c:pt>
                <c:pt idx="211">
                  <c:v>4.7789347802440416E-2</c:v>
                </c:pt>
                <c:pt idx="212">
                  <c:v>4.7854243282606394E-2</c:v>
                </c:pt>
                <c:pt idx="213">
                  <c:v>4.7845276648685334E-2</c:v>
                </c:pt>
                <c:pt idx="214">
                  <c:v>4.7134757411910193E-2</c:v>
                </c:pt>
                <c:pt idx="215">
                  <c:v>4.5676835009866364E-2</c:v>
                </c:pt>
                <c:pt idx="216">
                  <c:v>4.6163315153242804E-2</c:v>
                </c:pt>
                <c:pt idx="217">
                  <c:v>4.5554284914568206E-2</c:v>
                </c:pt>
                <c:pt idx="218">
                  <c:v>4.5353266951822124E-2</c:v>
                </c:pt>
                <c:pt idx="219">
                  <c:v>4.4871874570994952E-2</c:v>
                </c:pt>
                <c:pt idx="220">
                  <c:v>4.4549377184165725E-2</c:v>
                </c:pt>
                <c:pt idx="221">
                  <c:v>4.2744295872112564E-2</c:v>
                </c:pt>
                <c:pt idx="222">
                  <c:v>4.2082752526724165E-2</c:v>
                </c:pt>
                <c:pt idx="223">
                  <c:v>4.2686708870283918E-2</c:v>
                </c:pt>
                <c:pt idx="224">
                  <c:v>4.1832659783304062E-2</c:v>
                </c:pt>
                <c:pt idx="225">
                  <c:v>4.1796502995889336E-2</c:v>
                </c:pt>
                <c:pt idx="226">
                  <c:v>4.1693329267079492E-2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'GOOG|S&amp;P Data'!$O$158:$O$384</c:f>
              <c:numCache>
                <c:formatCode>0.00%</c:formatCode>
                <c:ptCount val="227"/>
                <c:pt idx="0">
                  <c:v>4.9947703153828932E-2</c:v>
                </c:pt>
                <c:pt idx="1">
                  <c:v>4.9947703153828932E-2</c:v>
                </c:pt>
                <c:pt idx="2">
                  <c:v>4.9947703153828932E-2</c:v>
                </c:pt>
                <c:pt idx="3">
                  <c:v>4.9947703153828932E-2</c:v>
                </c:pt>
                <c:pt idx="4">
                  <c:v>4.9947703153828932E-2</c:v>
                </c:pt>
                <c:pt idx="5">
                  <c:v>4.9947703153828932E-2</c:v>
                </c:pt>
                <c:pt idx="6">
                  <c:v>4.9947703153828932E-2</c:v>
                </c:pt>
                <c:pt idx="7">
                  <c:v>4.9947703153828932E-2</c:v>
                </c:pt>
                <c:pt idx="8">
                  <c:v>4.9947703153828932E-2</c:v>
                </c:pt>
                <c:pt idx="9">
                  <c:v>4.9947703153828932E-2</c:v>
                </c:pt>
                <c:pt idx="10">
                  <c:v>4.9947703153828932E-2</c:v>
                </c:pt>
                <c:pt idx="11">
                  <c:v>4.9947703153828932E-2</c:v>
                </c:pt>
                <c:pt idx="12">
                  <c:v>4.9947703153828932E-2</c:v>
                </c:pt>
                <c:pt idx="13">
                  <c:v>4.9947703153828932E-2</c:v>
                </c:pt>
                <c:pt idx="14">
                  <c:v>4.9947703153828932E-2</c:v>
                </c:pt>
                <c:pt idx="15">
                  <c:v>4.9947703153828932E-2</c:v>
                </c:pt>
                <c:pt idx="16">
                  <c:v>4.9947703153828932E-2</c:v>
                </c:pt>
                <c:pt idx="17">
                  <c:v>4.9947703153828932E-2</c:v>
                </c:pt>
                <c:pt idx="18">
                  <c:v>4.9947703153828932E-2</c:v>
                </c:pt>
                <c:pt idx="19">
                  <c:v>4.9947703153828932E-2</c:v>
                </c:pt>
                <c:pt idx="20">
                  <c:v>4.9947703153828932E-2</c:v>
                </c:pt>
                <c:pt idx="21">
                  <c:v>4.9947703153828932E-2</c:v>
                </c:pt>
                <c:pt idx="22">
                  <c:v>4.9947703153828932E-2</c:v>
                </c:pt>
                <c:pt idx="23">
                  <c:v>4.9947703153828932E-2</c:v>
                </c:pt>
                <c:pt idx="24">
                  <c:v>4.9947703153828932E-2</c:v>
                </c:pt>
                <c:pt idx="25">
                  <c:v>4.9947703153828932E-2</c:v>
                </c:pt>
                <c:pt idx="26">
                  <c:v>4.9947703153828932E-2</c:v>
                </c:pt>
                <c:pt idx="27">
                  <c:v>4.9947703153828932E-2</c:v>
                </c:pt>
                <c:pt idx="28">
                  <c:v>4.9947703153828932E-2</c:v>
                </c:pt>
                <c:pt idx="29">
                  <c:v>4.9947703153828932E-2</c:v>
                </c:pt>
                <c:pt idx="30">
                  <c:v>4.9947703153828932E-2</c:v>
                </c:pt>
                <c:pt idx="31">
                  <c:v>4.9947703153828932E-2</c:v>
                </c:pt>
                <c:pt idx="32">
                  <c:v>4.9947703153828932E-2</c:v>
                </c:pt>
                <c:pt idx="33">
                  <c:v>4.9947703153828932E-2</c:v>
                </c:pt>
                <c:pt idx="34">
                  <c:v>4.9947703153828932E-2</c:v>
                </c:pt>
                <c:pt idx="35">
                  <c:v>4.9947703153828932E-2</c:v>
                </c:pt>
                <c:pt idx="36">
                  <c:v>4.9947703153828932E-2</c:v>
                </c:pt>
                <c:pt idx="37">
                  <c:v>4.9947703153828932E-2</c:v>
                </c:pt>
                <c:pt idx="38">
                  <c:v>4.9947703153828932E-2</c:v>
                </c:pt>
                <c:pt idx="39">
                  <c:v>4.9947703153828932E-2</c:v>
                </c:pt>
                <c:pt idx="40">
                  <c:v>4.9947703153828932E-2</c:v>
                </c:pt>
                <c:pt idx="41">
                  <c:v>4.9947703153828932E-2</c:v>
                </c:pt>
                <c:pt idx="42">
                  <c:v>4.9947703153828932E-2</c:v>
                </c:pt>
                <c:pt idx="43">
                  <c:v>4.9947703153828932E-2</c:v>
                </c:pt>
                <c:pt idx="44">
                  <c:v>4.9947703153828932E-2</c:v>
                </c:pt>
                <c:pt idx="45">
                  <c:v>4.9947703153828932E-2</c:v>
                </c:pt>
                <c:pt idx="46">
                  <c:v>4.9947703153828932E-2</c:v>
                </c:pt>
                <c:pt idx="47">
                  <c:v>4.9947703153828932E-2</c:v>
                </c:pt>
                <c:pt idx="48">
                  <c:v>4.9947703153828932E-2</c:v>
                </c:pt>
                <c:pt idx="49">
                  <c:v>4.9947703153828932E-2</c:v>
                </c:pt>
                <c:pt idx="50">
                  <c:v>4.9947703153828932E-2</c:v>
                </c:pt>
                <c:pt idx="51">
                  <c:v>4.9947703153828932E-2</c:v>
                </c:pt>
                <c:pt idx="52">
                  <c:v>4.9947703153828932E-2</c:v>
                </c:pt>
                <c:pt idx="53">
                  <c:v>4.9947703153828932E-2</c:v>
                </c:pt>
                <c:pt idx="54">
                  <c:v>4.9947703153828932E-2</c:v>
                </c:pt>
                <c:pt idx="55">
                  <c:v>4.9947703153828932E-2</c:v>
                </c:pt>
                <c:pt idx="56">
                  <c:v>4.9947703153828932E-2</c:v>
                </c:pt>
                <c:pt idx="57">
                  <c:v>4.9947703153828932E-2</c:v>
                </c:pt>
                <c:pt idx="58">
                  <c:v>4.9947703153828932E-2</c:v>
                </c:pt>
                <c:pt idx="59">
                  <c:v>4.9947703153828932E-2</c:v>
                </c:pt>
                <c:pt idx="60">
                  <c:v>4.9947703153828932E-2</c:v>
                </c:pt>
                <c:pt idx="61">
                  <c:v>4.9947703153828932E-2</c:v>
                </c:pt>
                <c:pt idx="62">
                  <c:v>4.9947703153828932E-2</c:v>
                </c:pt>
                <c:pt idx="63">
                  <c:v>4.9947703153828932E-2</c:v>
                </c:pt>
                <c:pt idx="64">
                  <c:v>4.9947703153828932E-2</c:v>
                </c:pt>
                <c:pt idx="65">
                  <c:v>4.9947703153828932E-2</c:v>
                </c:pt>
                <c:pt idx="66">
                  <c:v>4.9947703153828932E-2</c:v>
                </c:pt>
                <c:pt idx="67">
                  <c:v>4.9947703153828932E-2</c:v>
                </c:pt>
                <c:pt idx="68">
                  <c:v>4.9947703153828932E-2</c:v>
                </c:pt>
                <c:pt idx="69">
                  <c:v>4.9947703153828932E-2</c:v>
                </c:pt>
                <c:pt idx="70">
                  <c:v>4.9947703153828932E-2</c:v>
                </c:pt>
                <c:pt idx="71">
                  <c:v>4.9947703153828932E-2</c:v>
                </c:pt>
                <c:pt idx="72">
                  <c:v>4.9947703153828932E-2</c:v>
                </c:pt>
                <c:pt idx="73">
                  <c:v>4.9947703153828932E-2</c:v>
                </c:pt>
                <c:pt idx="74">
                  <c:v>4.9947703153828932E-2</c:v>
                </c:pt>
                <c:pt idx="75">
                  <c:v>4.9947703153828932E-2</c:v>
                </c:pt>
                <c:pt idx="76">
                  <c:v>4.9947703153828932E-2</c:v>
                </c:pt>
                <c:pt idx="77">
                  <c:v>4.9947703153828932E-2</c:v>
                </c:pt>
                <c:pt idx="78">
                  <c:v>4.9947703153828932E-2</c:v>
                </c:pt>
                <c:pt idx="79">
                  <c:v>4.9947703153828932E-2</c:v>
                </c:pt>
                <c:pt idx="80">
                  <c:v>4.9947703153828932E-2</c:v>
                </c:pt>
                <c:pt idx="81">
                  <c:v>4.9947703153828932E-2</c:v>
                </c:pt>
                <c:pt idx="82">
                  <c:v>4.9947703153828932E-2</c:v>
                </c:pt>
                <c:pt idx="83">
                  <c:v>4.9947703153828932E-2</c:v>
                </c:pt>
                <c:pt idx="84">
                  <c:v>4.9947703153828932E-2</c:v>
                </c:pt>
                <c:pt idx="85">
                  <c:v>4.9947703153828932E-2</c:v>
                </c:pt>
                <c:pt idx="86">
                  <c:v>4.9947703153828932E-2</c:v>
                </c:pt>
                <c:pt idx="87">
                  <c:v>4.9947703153828932E-2</c:v>
                </c:pt>
                <c:pt idx="88">
                  <c:v>4.9947703153828932E-2</c:v>
                </c:pt>
                <c:pt idx="89">
                  <c:v>4.9947703153828932E-2</c:v>
                </c:pt>
                <c:pt idx="90">
                  <c:v>4.9947703153828932E-2</c:v>
                </c:pt>
                <c:pt idx="91">
                  <c:v>4.9947703153828932E-2</c:v>
                </c:pt>
                <c:pt idx="92">
                  <c:v>4.9947703153828932E-2</c:v>
                </c:pt>
                <c:pt idx="93">
                  <c:v>4.9947703153828932E-2</c:v>
                </c:pt>
                <c:pt idx="94">
                  <c:v>4.9947703153828932E-2</c:v>
                </c:pt>
                <c:pt idx="95">
                  <c:v>4.9947703153828932E-2</c:v>
                </c:pt>
                <c:pt idx="96">
                  <c:v>4.9947703153828932E-2</c:v>
                </c:pt>
                <c:pt idx="97">
                  <c:v>4.9947703153828932E-2</c:v>
                </c:pt>
                <c:pt idx="98">
                  <c:v>4.9947703153828932E-2</c:v>
                </c:pt>
                <c:pt idx="99">
                  <c:v>4.9947703153828932E-2</c:v>
                </c:pt>
                <c:pt idx="100">
                  <c:v>4.9947703153828932E-2</c:v>
                </c:pt>
                <c:pt idx="101">
                  <c:v>4.9947703153828932E-2</c:v>
                </c:pt>
                <c:pt idx="102">
                  <c:v>4.9947703153828932E-2</c:v>
                </c:pt>
                <c:pt idx="103">
                  <c:v>4.9947703153828932E-2</c:v>
                </c:pt>
                <c:pt idx="104">
                  <c:v>4.9947703153828932E-2</c:v>
                </c:pt>
                <c:pt idx="105">
                  <c:v>4.9947703153828932E-2</c:v>
                </c:pt>
                <c:pt idx="106">
                  <c:v>4.9947703153828932E-2</c:v>
                </c:pt>
                <c:pt idx="107">
                  <c:v>4.9947703153828932E-2</c:v>
                </c:pt>
                <c:pt idx="108">
                  <c:v>4.9947703153828932E-2</c:v>
                </c:pt>
                <c:pt idx="109">
                  <c:v>4.9947703153828932E-2</c:v>
                </c:pt>
                <c:pt idx="110">
                  <c:v>4.9947703153828932E-2</c:v>
                </c:pt>
                <c:pt idx="111">
                  <c:v>4.9947703153828932E-2</c:v>
                </c:pt>
                <c:pt idx="112">
                  <c:v>4.9947703153828932E-2</c:v>
                </c:pt>
                <c:pt idx="113">
                  <c:v>4.9947703153828932E-2</c:v>
                </c:pt>
                <c:pt idx="114">
                  <c:v>4.9947703153828932E-2</c:v>
                </c:pt>
                <c:pt idx="115">
                  <c:v>4.9947703153828932E-2</c:v>
                </c:pt>
                <c:pt idx="116">
                  <c:v>4.9947703153828932E-2</c:v>
                </c:pt>
                <c:pt idx="117">
                  <c:v>4.9947703153828932E-2</c:v>
                </c:pt>
                <c:pt idx="118">
                  <c:v>4.9947703153828932E-2</c:v>
                </c:pt>
                <c:pt idx="119">
                  <c:v>4.9947703153828932E-2</c:v>
                </c:pt>
                <c:pt idx="120">
                  <c:v>4.9947703153828932E-2</c:v>
                </c:pt>
                <c:pt idx="121">
                  <c:v>4.9947703153828932E-2</c:v>
                </c:pt>
                <c:pt idx="122">
                  <c:v>4.9947703153828932E-2</c:v>
                </c:pt>
                <c:pt idx="123">
                  <c:v>4.9947703153828932E-2</c:v>
                </c:pt>
                <c:pt idx="124">
                  <c:v>4.9947703153828932E-2</c:v>
                </c:pt>
                <c:pt idx="125">
                  <c:v>4.9947703153828932E-2</c:v>
                </c:pt>
                <c:pt idx="126">
                  <c:v>4.9947703153828932E-2</c:v>
                </c:pt>
                <c:pt idx="127">
                  <c:v>4.9947703153828932E-2</c:v>
                </c:pt>
                <c:pt idx="128">
                  <c:v>4.9947703153828932E-2</c:v>
                </c:pt>
                <c:pt idx="129">
                  <c:v>4.9947703153828932E-2</c:v>
                </c:pt>
                <c:pt idx="130">
                  <c:v>4.9947703153828932E-2</c:v>
                </c:pt>
                <c:pt idx="131">
                  <c:v>4.9947703153828932E-2</c:v>
                </c:pt>
                <c:pt idx="132">
                  <c:v>4.9947703153828932E-2</c:v>
                </c:pt>
                <c:pt idx="133">
                  <c:v>4.9947703153828932E-2</c:v>
                </c:pt>
                <c:pt idx="134">
                  <c:v>4.9947703153828932E-2</c:v>
                </c:pt>
                <c:pt idx="135">
                  <c:v>4.9947703153828932E-2</c:v>
                </c:pt>
                <c:pt idx="136">
                  <c:v>4.9947703153828932E-2</c:v>
                </c:pt>
                <c:pt idx="137">
                  <c:v>4.9947703153828932E-2</c:v>
                </c:pt>
                <c:pt idx="138">
                  <c:v>4.9947703153828932E-2</c:v>
                </c:pt>
                <c:pt idx="139">
                  <c:v>4.9947703153828932E-2</c:v>
                </c:pt>
                <c:pt idx="140">
                  <c:v>4.9947703153828932E-2</c:v>
                </c:pt>
                <c:pt idx="141">
                  <c:v>4.9947703153828932E-2</c:v>
                </c:pt>
                <c:pt idx="142">
                  <c:v>4.9947703153828932E-2</c:v>
                </c:pt>
                <c:pt idx="143">
                  <c:v>4.9947703153828932E-2</c:v>
                </c:pt>
                <c:pt idx="144">
                  <c:v>4.9947703153828932E-2</c:v>
                </c:pt>
                <c:pt idx="145">
                  <c:v>4.9947703153828932E-2</c:v>
                </c:pt>
                <c:pt idx="146">
                  <c:v>4.9947703153828932E-2</c:v>
                </c:pt>
                <c:pt idx="147">
                  <c:v>4.9947703153828932E-2</c:v>
                </c:pt>
                <c:pt idx="148">
                  <c:v>4.9947703153828932E-2</c:v>
                </c:pt>
                <c:pt idx="149">
                  <c:v>4.9947703153828932E-2</c:v>
                </c:pt>
                <c:pt idx="150">
                  <c:v>4.9947703153828932E-2</c:v>
                </c:pt>
                <c:pt idx="151">
                  <c:v>4.9947703153828932E-2</c:v>
                </c:pt>
                <c:pt idx="152">
                  <c:v>4.9947703153828932E-2</c:v>
                </c:pt>
                <c:pt idx="153">
                  <c:v>4.9947703153828932E-2</c:v>
                </c:pt>
                <c:pt idx="154">
                  <c:v>4.9947703153828932E-2</c:v>
                </c:pt>
                <c:pt idx="155">
                  <c:v>4.9947703153828932E-2</c:v>
                </c:pt>
                <c:pt idx="156">
                  <c:v>4.9947703153828932E-2</c:v>
                </c:pt>
                <c:pt idx="157">
                  <c:v>4.9947703153828932E-2</c:v>
                </c:pt>
                <c:pt idx="158">
                  <c:v>4.9947703153828932E-2</c:v>
                </c:pt>
                <c:pt idx="159">
                  <c:v>4.9947703153828932E-2</c:v>
                </c:pt>
                <c:pt idx="160">
                  <c:v>4.9947703153828932E-2</c:v>
                </c:pt>
                <c:pt idx="161">
                  <c:v>4.9947703153828932E-2</c:v>
                </c:pt>
                <c:pt idx="162">
                  <c:v>4.9947703153828932E-2</c:v>
                </c:pt>
                <c:pt idx="163">
                  <c:v>4.9947703153828932E-2</c:v>
                </c:pt>
                <c:pt idx="164">
                  <c:v>4.9947703153828932E-2</c:v>
                </c:pt>
                <c:pt idx="165">
                  <c:v>4.9947703153828932E-2</c:v>
                </c:pt>
                <c:pt idx="166">
                  <c:v>4.9947703153828932E-2</c:v>
                </c:pt>
                <c:pt idx="167">
                  <c:v>4.9947703153828932E-2</c:v>
                </c:pt>
                <c:pt idx="168">
                  <c:v>4.9947703153828932E-2</c:v>
                </c:pt>
                <c:pt idx="169">
                  <c:v>4.9947703153828932E-2</c:v>
                </c:pt>
                <c:pt idx="170">
                  <c:v>4.9947703153828932E-2</c:v>
                </c:pt>
                <c:pt idx="171">
                  <c:v>4.9947703153828932E-2</c:v>
                </c:pt>
                <c:pt idx="172">
                  <c:v>4.9947703153828932E-2</c:v>
                </c:pt>
                <c:pt idx="173">
                  <c:v>4.9947703153828932E-2</c:v>
                </c:pt>
                <c:pt idx="174">
                  <c:v>4.9947703153828932E-2</c:v>
                </c:pt>
                <c:pt idx="175">
                  <c:v>4.9947703153828932E-2</c:v>
                </c:pt>
                <c:pt idx="176">
                  <c:v>4.9947703153828932E-2</c:v>
                </c:pt>
                <c:pt idx="177">
                  <c:v>4.9947703153828932E-2</c:v>
                </c:pt>
                <c:pt idx="178">
                  <c:v>4.9947703153828932E-2</c:v>
                </c:pt>
                <c:pt idx="179">
                  <c:v>4.9947703153828932E-2</c:v>
                </c:pt>
                <c:pt idx="180">
                  <c:v>4.9947703153828932E-2</c:v>
                </c:pt>
                <c:pt idx="181">
                  <c:v>4.9947703153828932E-2</c:v>
                </c:pt>
                <c:pt idx="182">
                  <c:v>4.9947703153828932E-2</c:v>
                </c:pt>
                <c:pt idx="183">
                  <c:v>4.9947703153828932E-2</c:v>
                </c:pt>
                <c:pt idx="184">
                  <c:v>4.9947703153828932E-2</c:v>
                </c:pt>
                <c:pt idx="185">
                  <c:v>4.9947703153828932E-2</c:v>
                </c:pt>
                <c:pt idx="186">
                  <c:v>4.9947703153828932E-2</c:v>
                </c:pt>
                <c:pt idx="187">
                  <c:v>4.9947703153828932E-2</c:v>
                </c:pt>
                <c:pt idx="188">
                  <c:v>4.9947703153828932E-2</c:v>
                </c:pt>
                <c:pt idx="189">
                  <c:v>4.9947703153828932E-2</c:v>
                </c:pt>
                <c:pt idx="190">
                  <c:v>4.9947703153828932E-2</c:v>
                </c:pt>
                <c:pt idx="191">
                  <c:v>4.9947703153828932E-2</c:v>
                </c:pt>
                <c:pt idx="192">
                  <c:v>4.9947703153828932E-2</c:v>
                </c:pt>
                <c:pt idx="193">
                  <c:v>4.9947703153828932E-2</c:v>
                </c:pt>
                <c:pt idx="194">
                  <c:v>4.9947703153828932E-2</c:v>
                </c:pt>
                <c:pt idx="195">
                  <c:v>4.9947703153828932E-2</c:v>
                </c:pt>
                <c:pt idx="196">
                  <c:v>4.9947703153828932E-2</c:v>
                </c:pt>
                <c:pt idx="197">
                  <c:v>4.9947703153828932E-2</c:v>
                </c:pt>
                <c:pt idx="198">
                  <c:v>4.9947703153828932E-2</c:v>
                </c:pt>
                <c:pt idx="199">
                  <c:v>4.9947703153828932E-2</c:v>
                </c:pt>
                <c:pt idx="200">
                  <c:v>4.9947703153828932E-2</c:v>
                </c:pt>
                <c:pt idx="201">
                  <c:v>4.9947703153828932E-2</c:v>
                </c:pt>
                <c:pt idx="202">
                  <c:v>4.9947703153828932E-2</c:v>
                </c:pt>
                <c:pt idx="203">
                  <c:v>4.9947703153828932E-2</c:v>
                </c:pt>
                <c:pt idx="204">
                  <c:v>4.9947703153828932E-2</c:v>
                </c:pt>
                <c:pt idx="205">
                  <c:v>4.9947703153828932E-2</c:v>
                </c:pt>
                <c:pt idx="206">
                  <c:v>4.9947703153828932E-2</c:v>
                </c:pt>
                <c:pt idx="207">
                  <c:v>4.9947703153828932E-2</c:v>
                </c:pt>
                <c:pt idx="208">
                  <c:v>4.9947703153828932E-2</c:v>
                </c:pt>
                <c:pt idx="209">
                  <c:v>4.9947703153828932E-2</c:v>
                </c:pt>
                <c:pt idx="210">
                  <c:v>4.9947703153828932E-2</c:v>
                </c:pt>
                <c:pt idx="211">
                  <c:v>4.9947703153828932E-2</c:v>
                </c:pt>
                <c:pt idx="212">
                  <c:v>4.9947703153828932E-2</c:v>
                </c:pt>
                <c:pt idx="213">
                  <c:v>4.9947703153828932E-2</c:v>
                </c:pt>
                <c:pt idx="214">
                  <c:v>4.9947703153828932E-2</c:v>
                </c:pt>
                <c:pt idx="215">
                  <c:v>4.9947703153828932E-2</c:v>
                </c:pt>
                <c:pt idx="216">
                  <c:v>4.9947703153828932E-2</c:v>
                </c:pt>
                <c:pt idx="217">
                  <c:v>4.9947703153828932E-2</c:v>
                </c:pt>
                <c:pt idx="218">
                  <c:v>4.9947703153828932E-2</c:v>
                </c:pt>
                <c:pt idx="219">
                  <c:v>4.9947703153828932E-2</c:v>
                </c:pt>
                <c:pt idx="220">
                  <c:v>4.9947703153828932E-2</c:v>
                </c:pt>
                <c:pt idx="221">
                  <c:v>4.9947703153828932E-2</c:v>
                </c:pt>
                <c:pt idx="222">
                  <c:v>4.9947703153828932E-2</c:v>
                </c:pt>
                <c:pt idx="223">
                  <c:v>4.9947703153828932E-2</c:v>
                </c:pt>
                <c:pt idx="224">
                  <c:v>4.9947703153828932E-2</c:v>
                </c:pt>
                <c:pt idx="225">
                  <c:v>4.9947703153828932E-2</c:v>
                </c:pt>
                <c:pt idx="226">
                  <c:v>4.9947703153828932E-2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'GOOG|S&amp;P Data'!$P$158:$P$384</c:f>
              <c:numCache>
                <c:formatCode>0.00%</c:formatCode>
                <c:ptCount val="227"/>
                <c:pt idx="0">
                  <c:v>4.5833356037627546E-2</c:v>
                </c:pt>
                <c:pt idx="1">
                  <c:v>4.5833356037627546E-2</c:v>
                </c:pt>
                <c:pt idx="2">
                  <c:v>4.5833356037627546E-2</c:v>
                </c:pt>
                <c:pt idx="3">
                  <c:v>4.5833356037627546E-2</c:v>
                </c:pt>
                <c:pt idx="4">
                  <c:v>4.5833356037627546E-2</c:v>
                </c:pt>
                <c:pt idx="5">
                  <c:v>4.5833356037627546E-2</c:v>
                </c:pt>
                <c:pt idx="6">
                  <c:v>4.5833356037627546E-2</c:v>
                </c:pt>
                <c:pt idx="7">
                  <c:v>4.5833356037627546E-2</c:v>
                </c:pt>
                <c:pt idx="8">
                  <c:v>4.5833356037627546E-2</c:v>
                </c:pt>
                <c:pt idx="9">
                  <c:v>4.5833356037627546E-2</c:v>
                </c:pt>
                <c:pt idx="10">
                  <c:v>4.5833356037627546E-2</c:v>
                </c:pt>
                <c:pt idx="11">
                  <c:v>4.5833356037627546E-2</c:v>
                </c:pt>
                <c:pt idx="12">
                  <c:v>4.5833356037627546E-2</c:v>
                </c:pt>
                <c:pt idx="13">
                  <c:v>4.5833356037627546E-2</c:v>
                </c:pt>
                <c:pt idx="14">
                  <c:v>4.5833356037627546E-2</c:v>
                </c:pt>
                <c:pt idx="15">
                  <c:v>4.5833356037627546E-2</c:v>
                </c:pt>
                <c:pt idx="16">
                  <c:v>4.5833356037627546E-2</c:v>
                </c:pt>
                <c:pt idx="17">
                  <c:v>4.5833356037627546E-2</c:v>
                </c:pt>
                <c:pt idx="18">
                  <c:v>4.5833356037627546E-2</c:v>
                </c:pt>
                <c:pt idx="19">
                  <c:v>4.5833356037627546E-2</c:v>
                </c:pt>
                <c:pt idx="20">
                  <c:v>4.5833356037627546E-2</c:v>
                </c:pt>
                <c:pt idx="21">
                  <c:v>4.5833356037627546E-2</c:v>
                </c:pt>
                <c:pt idx="22">
                  <c:v>4.5833356037627546E-2</c:v>
                </c:pt>
                <c:pt idx="23">
                  <c:v>4.5833356037627546E-2</c:v>
                </c:pt>
                <c:pt idx="24">
                  <c:v>4.5833356037627546E-2</c:v>
                </c:pt>
                <c:pt idx="25">
                  <c:v>4.5833356037627546E-2</c:v>
                </c:pt>
                <c:pt idx="26">
                  <c:v>4.5833356037627546E-2</c:v>
                </c:pt>
                <c:pt idx="27">
                  <c:v>4.5833356037627546E-2</c:v>
                </c:pt>
                <c:pt idx="28">
                  <c:v>4.5833356037627546E-2</c:v>
                </c:pt>
                <c:pt idx="29">
                  <c:v>4.5833356037627546E-2</c:v>
                </c:pt>
                <c:pt idx="30">
                  <c:v>4.5833356037627546E-2</c:v>
                </c:pt>
                <c:pt idx="31">
                  <c:v>4.5833356037627546E-2</c:v>
                </c:pt>
                <c:pt idx="32">
                  <c:v>4.5833356037627546E-2</c:v>
                </c:pt>
                <c:pt idx="33">
                  <c:v>4.5833356037627546E-2</c:v>
                </c:pt>
                <c:pt idx="34">
                  <c:v>4.5833356037627546E-2</c:v>
                </c:pt>
                <c:pt idx="35">
                  <c:v>4.5833356037627546E-2</c:v>
                </c:pt>
                <c:pt idx="36">
                  <c:v>4.5833356037627546E-2</c:v>
                </c:pt>
                <c:pt idx="37">
                  <c:v>4.5833356037627546E-2</c:v>
                </c:pt>
                <c:pt idx="38">
                  <c:v>4.5833356037627546E-2</c:v>
                </c:pt>
                <c:pt idx="39">
                  <c:v>4.5833356037627546E-2</c:v>
                </c:pt>
                <c:pt idx="40">
                  <c:v>4.5833356037627546E-2</c:v>
                </c:pt>
                <c:pt idx="41">
                  <c:v>4.5833356037627546E-2</c:v>
                </c:pt>
                <c:pt idx="42">
                  <c:v>4.5833356037627546E-2</c:v>
                </c:pt>
                <c:pt idx="43">
                  <c:v>4.5833356037627546E-2</c:v>
                </c:pt>
                <c:pt idx="44">
                  <c:v>4.5833356037627546E-2</c:v>
                </c:pt>
                <c:pt idx="45">
                  <c:v>4.5833356037627546E-2</c:v>
                </c:pt>
                <c:pt idx="46">
                  <c:v>4.5833356037627546E-2</c:v>
                </c:pt>
                <c:pt idx="47">
                  <c:v>4.5833356037627546E-2</c:v>
                </c:pt>
                <c:pt idx="48">
                  <c:v>4.5833356037627546E-2</c:v>
                </c:pt>
                <c:pt idx="49">
                  <c:v>4.5833356037627546E-2</c:v>
                </c:pt>
                <c:pt idx="50">
                  <c:v>4.5833356037627546E-2</c:v>
                </c:pt>
                <c:pt idx="51">
                  <c:v>4.5833356037627546E-2</c:v>
                </c:pt>
                <c:pt idx="52">
                  <c:v>4.5833356037627546E-2</c:v>
                </c:pt>
                <c:pt idx="53">
                  <c:v>4.5833356037627546E-2</c:v>
                </c:pt>
                <c:pt idx="54">
                  <c:v>4.5833356037627546E-2</c:v>
                </c:pt>
                <c:pt idx="55">
                  <c:v>4.5833356037627546E-2</c:v>
                </c:pt>
                <c:pt idx="56">
                  <c:v>4.5833356037627546E-2</c:v>
                </c:pt>
                <c:pt idx="57">
                  <c:v>4.5833356037627546E-2</c:v>
                </c:pt>
                <c:pt idx="58">
                  <c:v>4.5833356037627546E-2</c:v>
                </c:pt>
                <c:pt idx="59">
                  <c:v>4.5833356037627546E-2</c:v>
                </c:pt>
                <c:pt idx="60">
                  <c:v>4.5833356037627546E-2</c:v>
                </c:pt>
                <c:pt idx="61">
                  <c:v>4.5833356037627546E-2</c:v>
                </c:pt>
                <c:pt idx="62">
                  <c:v>4.5833356037627546E-2</c:v>
                </c:pt>
                <c:pt idx="63">
                  <c:v>4.5833356037627546E-2</c:v>
                </c:pt>
                <c:pt idx="64">
                  <c:v>4.5833356037627546E-2</c:v>
                </c:pt>
                <c:pt idx="65">
                  <c:v>4.5833356037627546E-2</c:v>
                </c:pt>
                <c:pt idx="66">
                  <c:v>4.5833356037627546E-2</c:v>
                </c:pt>
                <c:pt idx="67">
                  <c:v>4.5833356037627546E-2</c:v>
                </c:pt>
                <c:pt idx="68">
                  <c:v>4.5833356037627546E-2</c:v>
                </c:pt>
                <c:pt idx="69">
                  <c:v>4.5833356037627546E-2</c:v>
                </c:pt>
                <c:pt idx="70">
                  <c:v>4.5833356037627546E-2</c:v>
                </c:pt>
                <c:pt idx="71">
                  <c:v>4.5833356037627546E-2</c:v>
                </c:pt>
                <c:pt idx="72">
                  <c:v>4.5833356037627546E-2</c:v>
                </c:pt>
                <c:pt idx="73">
                  <c:v>4.5833356037627546E-2</c:v>
                </c:pt>
                <c:pt idx="74">
                  <c:v>4.5833356037627546E-2</c:v>
                </c:pt>
                <c:pt idx="75">
                  <c:v>4.5833356037627546E-2</c:v>
                </c:pt>
                <c:pt idx="76">
                  <c:v>4.5833356037627546E-2</c:v>
                </c:pt>
                <c:pt idx="77">
                  <c:v>4.5833356037627546E-2</c:v>
                </c:pt>
                <c:pt idx="78">
                  <c:v>4.5833356037627546E-2</c:v>
                </c:pt>
                <c:pt idx="79">
                  <c:v>4.5833356037627546E-2</c:v>
                </c:pt>
                <c:pt idx="80">
                  <c:v>4.5833356037627546E-2</c:v>
                </c:pt>
                <c:pt idx="81">
                  <c:v>4.5833356037627546E-2</c:v>
                </c:pt>
                <c:pt idx="82">
                  <c:v>4.5833356037627546E-2</c:v>
                </c:pt>
                <c:pt idx="83">
                  <c:v>4.5833356037627546E-2</c:v>
                </c:pt>
                <c:pt idx="84">
                  <c:v>4.5833356037627546E-2</c:v>
                </c:pt>
                <c:pt idx="85">
                  <c:v>4.5833356037627546E-2</c:v>
                </c:pt>
                <c:pt idx="86">
                  <c:v>4.5833356037627546E-2</c:v>
                </c:pt>
                <c:pt idx="87">
                  <c:v>4.5833356037627546E-2</c:v>
                </c:pt>
                <c:pt idx="88">
                  <c:v>4.5833356037627546E-2</c:v>
                </c:pt>
                <c:pt idx="89">
                  <c:v>4.5833356037627546E-2</c:v>
                </c:pt>
                <c:pt idx="90">
                  <c:v>4.5833356037627546E-2</c:v>
                </c:pt>
                <c:pt idx="91">
                  <c:v>4.5833356037627546E-2</c:v>
                </c:pt>
                <c:pt idx="92">
                  <c:v>4.5833356037627546E-2</c:v>
                </c:pt>
                <c:pt idx="93">
                  <c:v>4.5833356037627546E-2</c:v>
                </c:pt>
                <c:pt idx="94">
                  <c:v>4.5833356037627546E-2</c:v>
                </c:pt>
                <c:pt idx="95">
                  <c:v>4.5833356037627546E-2</c:v>
                </c:pt>
                <c:pt idx="96">
                  <c:v>4.5833356037627546E-2</c:v>
                </c:pt>
                <c:pt idx="97">
                  <c:v>4.5833356037627546E-2</c:v>
                </c:pt>
                <c:pt idx="98">
                  <c:v>4.5833356037627546E-2</c:v>
                </c:pt>
                <c:pt idx="99">
                  <c:v>4.5833356037627546E-2</c:v>
                </c:pt>
                <c:pt idx="100">
                  <c:v>4.5833356037627546E-2</c:v>
                </c:pt>
                <c:pt idx="101">
                  <c:v>4.5833356037627546E-2</c:v>
                </c:pt>
                <c:pt idx="102">
                  <c:v>4.5833356037627546E-2</c:v>
                </c:pt>
                <c:pt idx="103">
                  <c:v>4.5833356037627546E-2</c:v>
                </c:pt>
                <c:pt idx="104">
                  <c:v>4.5833356037627546E-2</c:v>
                </c:pt>
                <c:pt idx="105">
                  <c:v>4.5833356037627546E-2</c:v>
                </c:pt>
                <c:pt idx="106">
                  <c:v>4.5833356037627546E-2</c:v>
                </c:pt>
                <c:pt idx="107">
                  <c:v>4.5833356037627546E-2</c:v>
                </c:pt>
                <c:pt idx="108">
                  <c:v>4.5833356037627546E-2</c:v>
                </c:pt>
                <c:pt idx="109">
                  <c:v>4.5833356037627546E-2</c:v>
                </c:pt>
                <c:pt idx="110">
                  <c:v>4.5833356037627546E-2</c:v>
                </c:pt>
                <c:pt idx="111">
                  <c:v>4.5833356037627546E-2</c:v>
                </c:pt>
                <c:pt idx="112">
                  <c:v>4.5833356037627546E-2</c:v>
                </c:pt>
                <c:pt idx="113">
                  <c:v>4.5833356037627546E-2</c:v>
                </c:pt>
                <c:pt idx="114">
                  <c:v>4.5833356037627546E-2</c:v>
                </c:pt>
                <c:pt idx="115">
                  <c:v>4.5833356037627546E-2</c:v>
                </c:pt>
                <c:pt idx="116">
                  <c:v>4.5833356037627546E-2</c:v>
                </c:pt>
                <c:pt idx="117">
                  <c:v>4.5833356037627546E-2</c:v>
                </c:pt>
                <c:pt idx="118">
                  <c:v>4.5833356037627546E-2</c:v>
                </c:pt>
                <c:pt idx="119">
                  <c:v>4.5833356037627546E-2</c:v>
                </c:pt>
                <c:pt idx="120">
                  <c:v>4.5833356037627546E-2</c:v>
                </c:pt>
                <c:pt idx="121">
                  <c:v>4.5833356037627546E-2</c:v>
                </c:pt>
                <c:pt idx="122">
                  <c:v>4.5833356037627546E-2</c:v>
                </c:pt>
                <c:pt idx="123">
                  <c:v>4.5833356037627546E-2</c:v>
                </c:pt>
                <c:pt idx="124">
                  <c:v>4.5833356037627546E-2</c:v>
                </c:pt>
                <c:pt idx="125">
                  <c:v>4.5833356037627546E-2</c:v>
                </c:pt>
                <c:pt idx="126">
                  <c:v>4.5833356037627546E-2</c:v>
                </c:pt>
                <c:pt idx="127">
                  <c:v>4.5833356037627546E-2</c:v>
                </c:pt>
                <c:pt idx="128">
                  <c:v>4.5833356037627546E-2</c:v>
                </c:pt>
                <c:pt idx="129">
                  <c:v>4.5833356037627546E-2</c:v>
                </c:pt>
                <c:pt idx="130">
                  <c:v>4.5833356037627546E-2</c:v>
                </c:pt>
                <c:pt idx="131">
                  <c:v>4.5833356037627546E-2</c:v>
                </c:pt>
                <c:pt idx="132">
                  <c:v>4.5833356037627546E-2</c:v>
                </c:pt>
                <c:pt idx="133">
                  <c:v>4.5833356037627546E-2</c:v>
                </c:pt>
                <c:pt idx="134">
                  <c:v>4.5833356037627546E-2</c:v>
                </c:pt>
                <c:pt idx="135">
                  <c:v>4.5833356037627546E-2</c:v>
                </c:pt>
                <c:pt idx="136">
                  <c:v>4.5833356037627546E-2</c:v>
                </c:pt>
                <c:pt idx="137">
                  <c:v>4.5833356037627546E-2</c:v>
                </c:pt>
                <c:pt idx="138">
                  <c:v>4.5833356037627546E-2</c:v>
                </c:pt>
                <c:pt idx="139">
                  <c:v>4.5833356037627546E-2</c:v>
                </c:pt>
                <c:pt idx="140">
                  <c:v>4.5833356037627546E-2</c:v>
                </c:pt>
                <c:pt idx="141">
                  <c:v>4.5833356037627546E-2</c:v>
                </c:pt>
                <c:pt idx="142">
                  <c:v>4.5833356037627546E-2</c:v>
                </c:pt>
                <c:pt idx="143">
                  <c:v>4.5833356037627546E-2</c:v>
                </c:pt>
                <c:pt idx="144">
                  <c:v>4.5833356037627546E-2</c:v>
                </c:pt>
                <c:pt idx="145">
                  <c:v>4.5833356037627546E-2</c:v>
                </c:pt>
                <c:pt idx="146">
                  <c:v>4.5833356037627546E-2</c:v>
                </c:pt>
                <c:pt idx="147">
                  <c:v>4.5833356037627546E-2</c:v>
                </c:pt>
                <c:pt idx="148">
                  <c:v>4.5833356037627546E-2</c:v>
                </c:pt>
                <c:pt idx="149">
                  <c:v>4.5833356037627546E-2</c:v>
                </c:pt>
                <c:pt idx="150">
                  <c:v>4.5833356037627546E-2</c:v>
                </c:pt>
                <c:pt idx="151">
                  <c:v>4.5833356037627546E-2</c:v>
                </c:pt>
                <c:pt idx="152">
                  <c:v>4.5833356037627546E-2</c:v>
                </c:pt>
                <c:pt idx="153">
                  <c:v>4.5833356037627546E-2</c:v>
                </c:pt>
                <c:pt idx="154">
                  <c:v>4.5833356037627546E-2</c:v>
                </c:pt>
                <c:pt idx="155">
                  <c:v>4.5833356037627546E-2</c:v>
                </c:pt>
                <c:pt idx="156">
                  <c:v>4.5833356037627546E-2</c:v>
                </c:pt>
                <c:pt idx="157">
                  <c:v>4.5833356037627546E-2</c:v>
                </c:pt>
                <c:pt idx="158">
                  <c:v>4.5833356037627546E-2</c:v>
                </c:pt>
                <c:pt idx="159">
                  <c:v>4.5833356037627546E-2</c:v>
                </c:pt>
                <c:pt idx="160">
                  <c:v>4.5833356037627546E-2</c:v>
                </c:pt>
                <c:pt idx="161">
                  <c:v>4.5833356037627546E-2</c:v>
                </c:pt>
                <c:pt idx="162">
                  <c:v>4.5833356037627546E-2</c:v>
                </c:pt>
                <c:pt idx="163">
                  <c:v>4.5833356037627546E-2</c:v>
                </c:pt>
                <c:pt idx="164">
                  <c:v>4.5833356037627546E-2</c:v>
                </c:pt>
                <c:pt idx="165">
                  <c:v>4.5833356037627546E-2</c:v>
                </c:pt>
                <c:pt idx="166">
                  <c:v>4.5833356037627546E-2</c:v>
                </c:pt>
                <c:pt idx="167">
                  <c:v>4.5833356037627546E-2</c:v>
                </c:pt>
                <c:pt idx="168">
                  <c:v>4.5833356037627546E-2</c:v>
                </c:pt>
                <c:pt idx="169">
                  <c:v>4.5833356037627546E-2</c:v>
                </c:pt>
                <c:pt idx="170">
                  <c:v>4.5833356037627546E-2</c:v>
                </c:pt>
                <c:pt idx="171">
                  <c:v>4.5833356037627546E-2</c:v>
                </c:pt>
                <c:pt idx="172">
                  <c:v>4.5833356037627546E-2</c:v>
                </c:pt>
                <c:pt idx="173">
                  <c:v>4.5833356037627546E-2</c:v>
                </c:pt>
                <c:pt idx="174">
                  <c:v>4.5833356037627546E-2</c:v>
                </c:pt>
                <c:pt idx="175">
                  <c:v>4.5833356037627546E-2</c:v>
                </c:pt>
                <c:pt idx="176">
                  <c:v>4.5833356037627546E-2</c:v>
                </c:pt>
                <c:pt idx="177">
                  <c:v>4.5833356037627546E-2</c:v>
                </c:pt>
                <c:pt idx="178">
                  <c:v>4.5833356037627546E-2</c:v>
                </c:pt>
                <c:pt idx="179">
                  <c:v>4.5833356037627546E-2</c:v>
                </c:pt>
                <c:pt idx="180">
                  <c:v>4.5833356037627546E-2</c:v>
                </c:pt>
                <c:pt idx="181">
                  <c:v>4.5833356037627546E-2</c:v>
                </c:pt>
                <c:pt idx="182">
                  <c:v>4.5833356037627546E-2</c:v>
                </c:pt>
                <c:pt idx="183">
                  <c:v>4.5833356037627546E-2</c:v>
                </c:pt>
                <c:pt idx="184">
                  <c:v>4.5833356037627546E-2</c:v>
                </c:pt>
                <c:pt idx="185">
                  <c:v>4.5833356037627546E-2</c:v>
                </c:pt>
                <c:pt idx="186">
                  <c:v>4.5833356037627546E-2</c:v>
                </c:pt>
                <c:pt idx="187">
                  <c:v>4.5833356037627546E-2</c:v>
                </c:pt>
                <c:pt idx="188">
                  <c:v>4.5833356037627546E-2</c:v>
                </c:pt>
                <c:pt idx="189">
                  <c:v>4.5833356037627546E-2</c:v>
                </c:pt>
                <c:pt idx="190">
                  <c:v>4.5833356037627546E-2</c:v>
                </c:pt>
                <c:pt idx="191">
                  <c:v>4.5833356037627546E-2</c:v>
                </c:pt>
                <c:pt idx="192">
                  <c:v>4.5833356037627546E-2</c:v>
                </c:pt>
                <c:pt idx="193">
                  <c:v>4.5833356037627546E-2</c:v>
                </c:pt>
                <c:pt idx="194">
                  <c:v>4.5833356037627546E-2</c:v>
                </c:pt>
                <c:pt idx="195">
                  <c:v>4.5833356037627546E-2</c:v>
                </c:pt>
                <c:pt idx="196">
                  <c:v>4.5833356037627546E-2</c:v>
                </c:pt>
                <c:pt idx="197">
                  <c:v>4.5833356037627546E-2</c:v>
                </c:pt>
                <c:pt idx="198">
                  <c:v>4.5833356037627546E-2</c:v>
                </c:pt>
                <c:pt idx="199">
                  <c:v>4.5833356037627546E-2</c:v>
                </c:pt>
                <c:pt idx="200">
                  <c:v>4.5833356037627546E-2</c:v>
                </c:pt>
                <c:pt idx="201">
                  <c:v>4.5833356037627546E-2</c:v>
                </c:pt>
                <c:pt idx="202">
                  <c:v>4.5833356037627546E-2</c:v>
                </c:pt>
                <c:pt idx="203">
                  <c:v>4.5833356037627546E-2</c:v>
                </c:pt>
                <c:pt idx="204">
                  <c:v>4.5833356037627546E-2</c:v>
                </c:pt>
                <c:pt idx="205">
                  <c:v>4.5833356037627546E-2</c:v>
                </c:pt>
                <c:pt idx="206">
                  <c:v>4.5833356037627546E-2</c:v>
                </c:pt>
                <c:pt idx="207">
                  <c:v>4.5833356037627546E-2</c:v>
                </c:pt>
                <c:pt idx="208">
                  <c:v>4.5833356037627546E-2</c:v>
                </c:pt>
                <c:pt idx="209">
                  <c:v>4.5833356037627546E-2</c:v>
                </c:pt>
                <c:pt idx="210">
                  <c:v>4.5833356037627546E-2</c:v>
                </c:pt>
                <c:pt idx="211">
                  <c:v>4.5833356037627546E-2</c:v>
                </c:pt>
                <c:pt idx="212">
                  <c:v>4.5833356037627546E-2</c:v>
                </c:pt>
                <c:pt idx="213">
                  <c:v>4.5833356037627546E-2</c:v>
                </c:pt>
                <c:pt idx="214">
                  <c:v>4.5833356037627546E-2</c:v>
                </c:pt>
                <c:pt idx="215">
                  <c:v>4.5833356037627546E-2</c:v>
                </c:pt>
                <c:pt idx="216">
                  <c:v>4.5833356037627546E-2</c:v>
                </c:pt>
                <c:pt idx="217">
                  <c:v>4.5833356037627546E-2</c:v>
                </c:pt>
                <c:pt idx="218">
                  <c:v>4.5833356037627546E-2</c:v>
                </c:pt>
                <c:pt idx="219">
                  <c:v>4.5833356037627546E-2</c:v>
                </c:pt>
                <c:pt idx="220">
                  <c:v>4.5833356037627546E-2</c:v>
                </c:pt>
                <c:pt idx="221">
                  <c:v>4.5833356037627546E-2</c:v>
                </c:pt>
                <c:pt idx="222">
                  <c:v>4.5833356037627546E-2</c:v>
                </c:pt>
                <c:pt idx="223">
                  <c:v>4.5833356037627546E-2</c:v>
                </c:pt>
                <c:pt idx="224">
                  <c:v>4.5833356037627546E-2</c:v>
                </c:pt>
                <c:pt idx="225">
                  <c:v>4.5833356037627546E-2</c:v>
                </c:pt>
                <c:pt idx="226">
                  <c:v>4.5833356037627546E-2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'GOOG|S&amp;P Data'!$Q$158:$Q$384</c:f>
              <c:numCache>
                <c:formatCode>0.00%</c:formatCode>
                <c:ptCount val="227"/>
                <c:pt idx="0">
                  <c:v>5.0818163313850001E-2</c:v>
                </c:pt>
                <c:pt idx="1">
                  <c:v>5.0818163313850001E-2</c:v>
                </c:pt>
                <c:pt idx="2">
                  <c:v>5.0818163313850001E-2</c:v>
                </c:pt>
                <c:pt idx="3">
                  <c:v>5.0818163313850001E-2</c:v>
                </c:pt>
                <c:pt idx="4">
                  <c:v>5.0818163313850001E-2</c:v>
                </c:pt>
                <c:pt idx="5">
                  <c:v>5.0818163313850001E-2</c:v>
                </c:pt>
                <c:pt idx="6">
                  <c:v>5.0818163313850001E-2</c:v>
                </c:pt>
                <c:pt idx="7">
                  <c:v>5.0818163313850001E-2</c:v>
                </c:pt>
                <c:pt idx="8">
                  <c:v>5.0818163313850001E-2</c:v>
                </c:pt>
                <c:pt idx="9">
                  <c:v>5.0818163313850001E-2</c:v>
                </c:pt>
                <c:pt idx="10">
                  <c:v>5.0818163313850001E-2</c:v>
                </c:pt>
                <c:pt idx="11">
                  <c:v>5.0818163313850001E-2</c:v>
                </c:pt>
                <c:pt idx="12">
                  <c:v>5.0818163313850001E-2</c:v>
                </c:pt>
                <c:pt idx="13">
                  <c:v>5.0818163313850001E-2</c:v>
                </c:pt>
                <c:pt idx="14">
                  <c:v>5.0818163313850001E-2</c:v>
                </c:pt>
                <c:pt idx="15">
                  <c:v>5.0818163313850001E-2</c:v>
                </c:pt>
                <c:pt idx="16">
                  <c:v>5.0818163313850001E-2</c:v>
                </c:pt>
                <c:pt idx="17">
                  <c:v>5.0818163313850001E-2</c:v>
                </c:pt>
                <c:pt idx="18">
                  <c:v>5.0818163313850001E-2</c:v>
                </c:pt>
                <c:pt idx="19">
                  <c:v>5.0818163313850001E-2</c:v>
                </c:pt>
                <c:pt idx="20">
                  <c:v>5.0818163313850001E-2</c:v>
                </c:pt>
                <c:pt idx="21">
                  <c:v>5.0818163313850001E-2</c:v>
                </c:pt>
                <c:pt idx="22">
                  <c:v>5.0818163313850001E-2</c:v>
                </c:pt>
                <c:pt idx="23">
                  <c:v>5.0818163313850001E-2</c:v>
                </c:pt>
                <c:pt idx="24">
                  <c:v>5.0818163313850001E-2</c:v>
                </c:pt>
                <c:pt idx="25">
                  <c:v>5.0818163313850001E-2</c:v>
                </c:pt>
                <c:pt idx="26">
                  <c:v>5.0818163313850001E-2</c:v>
                </c:pt>
                <c:pt idx="27">
                  <c:v>5.0818163313850001E-2</c:v>
                </c:pt>
                <c:pt idx="28">
                  <c:v>5.0818163313850001E-2</c:v>
                </c:pt>
                <c:pt idx="29">
                  <c:v>5.0818163313850001E-2</c:v>
                </c:pt>
                <c:pt idx="30">
                  <c:v>5.0818163313850001E-2</c:v>
                </c:pt>
                <c:pt idx="31">
                  <c:v>5.0818163313850001E-2</c:v>
                </c:pt>
                <c:pt idx="32">
                  <c:v>5.0818163313850001E-2</c:v>
                </c:pt>
                <c:pt idx="33">
                  <c:v>5.0818163313850001E-2</c:v>
                </c:pt>
                <c:pt idx="34">
                  <c:v>5.0818163313850001E-2</c:v>
                </c:pt>
                <c:pt idx="35">
                  <c:v>5.0818163313850001E-2</c:v>
                </c:pt>
                <c:pt idx="36">
                  <c:v>5.0818163313850001E-2</c:v>
                </c:pt>
                <c:pt idx="37">
                  <c:v>5.0818163313850001E-2</c:v>
                </c:pt>
                <c:pt idx="38">
                  <c:v>5.0818163313850001E-2</c:v>
                </c:pt>
                <c:pt idx="39">
                  <c:v>5.0818163313850001E-2</c:v>
                </c:pt>
                <c:pt idx="40">
                  <c:v>5.0818163313850001E-2</c:v>
                </c:pt>
                <c:pt idx="41">
                  <c:v>5.0818163313850001E-2</c:v>
                </c:pt>
                <c:pt idx="42">
                  <c:v>5.0818163313850001E-2</c:v>
                </c:pt>
                <c:pt idx="43">
                  <c:v>5.0818163313850001E-2</c:v>
                </c:pt>
                <c:pt idx="44">
                  <c:v>5.0818163313850001E-2</c:v>
                </c:pt>
                <c:pt idx="45">
                  <c:v>5.0818163313850001E-2</c:v>
                </c:pt>
                <c:pt idx="46">
                  <c:v>5.0818163313850001E-2</c:v>
                </c:pt>
                <c:pt idx="47">
                  <c:v>5.0818163313850001E-2</c:v>
                </c:pt>
                <c:pt idx="48">
                  <c:v>5.0818163313850001E-2</c:v>
                </c:pt>
                <c:pt idx="49">
                  <c:v>5.0818163313850001E-2</c:v>
                </c:pt>
                <c:pt idx="50">
                  <c:v>5.0818163313850001E-2</c:v>
                </c:pt>
                <c:pt idx="51">
                  <c:v>5.0818163313850001E-2</c:v>
                </c:pt>
                <c:pt idx="52">
                  <c:v>5.0818163313850001E-2</c:v>
                </c:pt>
                <c:pt idx="53">
                  <c:v>5.0818163313850001E-2</c:v>
                </c:pt>
                <c:pt idx="54">
                  <c:v>5.0818163313850001E-2</c:v>
                </c:pt>
                <c:pt idx="55">
                  <c:v>5.0818163313850001E-2</c:v>
                </c:pt>
                <c:pt idx="56">
                  <c:v>5.0818163313850001E-2</c:v>
                </c:pt>
                <c:pt idx="57">
                  <c:v>5.0818163313850001E-2</c:v>
                </c:pt>
                <c:pt idx="58">
                  <c:v>5.0818163313850001E-2</c:v>
                </c:pt>
                <c:pt idx="59">
                  <c:v>5.0818163313850001E-2</c:v>
                </c:pt>
                <c:pt idx="60">
                  <c:v>5.0818163313850001E-2</c:v>
                </c:pt>
                <c:pt idx="61">
                  <c:v>5.0818163313850001E-2</c:v>
                </c:pt>
                <c:pt idx="62">
                  <c:v>5.0818163313850001E-2</c:v>
                </c:pt>
                <c:pt idx="63">
                  <c:v>5.0818163313850001E-2</c:v>
                </c:pt>
                <c:pt idx="64">
                  <c:v>5.0818163313850001E-2</c:v>
                </c:pt>
                <c:pt idx="65">
                  <c:v>5.0818163313850001E-2</c:v>
                </c:pt>
                <c:pt idx="66">
                  <c:v>5.0818163313850001E-2</c:v>
                </c:pt>
                <c:pt idx="67">
                  <c:v>5.0818163313850001E-2</c:v>
                </c:pt>
                <c:pt idx="68">
                  <c:v>5.0818163313850001E-2</c:v>
                </c:pt>
                <c:pt idx="69">
                  <c:v>5.0818163313850001E-2</c:v>
                </c:pt>
                <c:pt idx="70">
                  <c:v>5.0818163313850001E-2</c:v>
                </c:pt>
                <c:pt idx="71">
                  <c:v>5.0818163313850001E-2</c:v>
                </c:pt>
                <c:pt idx="72">
                  <c:v>5.0818163313850001E-2</c:v>
                </c:pt>
                <c:pt idx="73">
                  <c:v>5.0818163313850001E-2</c:v>
                </c:pt>
                <c:pt idx="74">
                  <c:v>5.0818163313850001E-2</c:v>
                </c:pt>
                <c:pt idx="75">
                  <c:v>5.0818163313850001E-2</c:v>
                </c:pt>
                <c:pt idx="76">
                  <c:v>5.0818163313850001E-2</c:v>
                </c:pt>
                <c:pt idx="77">
                  <c:v>5.0818163313850001E-2</c:v>
                </c:pt>
                <c:pt idx="78">
                  <c:v>5.0818163313850001E-2</c:v>
                </c:pt>
                <c:pt idx="79">
                  <c:v>5.0818163313850001E-2</c:v>
                </c:pt>
                <c:pt idx="80">
                  <c:v>5.0818163313850001E-2</c:v>
                </c:pt>
                <c:pt idx="81">
                  <c:v>5.0818163313850001E-2</c:v>
                </c:pt>
                <c:pt idx="82">
                  <c:v>5.0818163313850001E-2</c:v>
                </c:pt>
                <c:pt idx="83">
                  <c:v>5.0818163313850001E-2</c:v>
                </c:pt>
                <c:pt idx="84">
                  <c:v>5.0818163313850001E-2</c:v>
                </c:pt>
                <c:pt idx="85">
                  <c:v>5.0818163313850001E-2</c:v>
                </c:pt>
                <c:pt idx="86">
                  <c:v>5.0818163313850001E-2</c:v>
                </c:pt>
                <c:pt idx="87">
                  <c:v>5.0818163313850001E-2</c:v>
                </c:pt>
                <c:pt idx="88">
                  <c:v>5.0818163313850001E-2</c:v>
                </c:pt>
                <c:pt idx="89">
                  <c:v>5.0818163313850001E-2</c:v>
                </c:pt>
                <c:pt idx="90">
                  <c:v>5.0818163313850001E-2</c:v>
                </c:pt>
                <c:pt idx="91">
                  <c:v>5.0818163313850001E-2</c:v>
                </c:pt>
                <c:pt idx="92">
                  <c:v>5.0818163313850001E-2</c:v>
                </c:pt>
                <c:pt idx="93">
                  <c:v>5.0818163313850001E-2</c:v>
                </c:pt>
                <c:pt idx="94">
                  <c:v>5.0818163313850001E-2</c:v>
                </c:pt>
                <c:pt idx="95">
                  <c:v>5.0818163313850001E-2</c:v>
                </c:pt>
                <c:pt idx="96">
                  <c:v>5.0818163313850001E-2</c:v>
                </c:pt>
                <c:pt idx="97">
                  <c:v>5.0818163313850001E-2</c:v>
                </c:pt>
                <c:pt idx="98">
                  <c:v>5.0818163313850001E-2</c:v>
                </c:pt>
                <c:pt idx="99">
                  <c:v>5.0818163313850001E-2</c:v>
                </c:pt>
                <c:pt idx="100">
                  <c:v>5.0818163313850001E-2</c:v>
                </c:pt>
                <c:pt idx="101">
                  <c:v>5.0818163313850001E-2</c:v>
                </c:pt>
                <c:pt idx="102">
                  <c:v>5.0818163313850001E-2</c:v>
                </c:pt>
                <c:pt idx="103">
                  <c:v>5.0818163313850001E-2</c:v>
                </c:pt>
                <c:pt idx="104">
                  <c:v>5.0818163313850001E-2</c:v>
                </c:pt>
                <c:pt idx="105">
                  <c:v>5.0818163313850001E-2</c:v>
                </c:pt>
                <c:pt idx="106">
                  <c:v>5.0818163313850001E-2</c:v>
                </c:pt>
                <c:pt idx="107">
                  <c:v>5.0818163313850001E-2</c:v>
                </c:pt>
                <c:pt idx="108">
                  <c:v>5.0818163313850001E-2</c:v>
                </c:pt>
                <c:pt idx="109">
                  <c:v>5.0818163313850001E-2</c:v>
                </c:pt>
                <c:pt idx="110">
                  <c:v>5.0818163313850001E-2</c:v>
                </c:pt>
                <c:pt idx="111">
                  <c:v>5.0818163313850001E-2</c:v>
                </c:pt>
                <c:pt idx="112">
                  <c:v>5.0818163313850001E-2</c:v>
                </c:pt>
                <c:pt idx="113">
                  <c:v>5.0818163313850001E-2</c:v>
                </c:pt>
                <c:pt idx="114">
                  <c:v>5.0818163313850001E-2</c:v>
                </c:pt>
                <c:pt idx="115">
                  <c:v>5.0818163313850001E-2</c:v>
                </c:pt>
                <c:pt idx="116">
                  <c:v>5.0818163313850001E-2</c:v>
                </c:pt>
                <c:pt idx="117">
                  <c:v>5.0818163313850001E-2</c:v>
                </c:pt>
                <c:pt idx="118">
                  <c:v>5.0818163313850001E-2</c:v>
                </c:pt>
                <c:pt idx="119">
                  <c:v>5.0818163313850001E-2</c:v>
                </c:pt>
                <c:pt idx="120">
                  <c:v>5.0818163313850001E-2</c:v>
                </c:pt>
                <c:pt idx="121">
                  <c:v>5.0818163313850001E-2</c:v>
                </c:pt>
                <c:pt idx="122">
                  <c:v>5.0818163313850001E-2</c:v>
                </c:pt>
                <c:pt idx="123">
                  <c:v>5.0818163313850001E-2</c:v>
                </c:pt>
                <c:pt idx="124">
                  <c:v>5.0818163313850001E-2</c:v>
                </c:pt>
                <c:pt idx="125">
                  <c:v>5.0818163313850001E-2</c:v>
                </c:pt>
                <c:pt idx="126">
                  <c:v>5.0818163313850001E-2</c:v>
                </c:pt>
                <c:pt idx="127">
                  <c:v>5.0818163313850001E-2</c:v>
                </c:pt>
                <c:pt idx="128">
                  <c:v>5.0818163313850001E-2</c:v>
                </c:pt>
                <c:pt idx="129">
                  <c:v>5.0818163313850001E-2</c:v>
                </c:pt>
                <c:pt idx="130">
                  <c:v>5.0818163313850001E-2</c:v>
                </c:pt>
                <c:pt idx="131">
                  <c:v>5.0818163313850001E-2</c:v>
                </c:pt>
                <c:pt idx="132">
                  <c:v>5.0818163313850001E-2</c:v>
                </c:pt>
                <c:pt idx="133">
                  <c:v>5.0818163313850001E-2</c:v>
                </c:pt>
                <c:pt idx="134">
                  <c:v>5.0818163313850001E-2</c:v>
                </c:pt>
                <c:pt idx="135">
                  <c:v>5.0818163313850001E-2</c:v>
                </c:pt>
                <c:pt idx="136">
                  <c:v>5.0818163313850001E-2</c:v>
                </c:pt>
                <c:pt idx="137">
                  <c:v>5.0818163313850001E-2</c:v>
                </c:pt>
                <c:pt idx="138">
                  <c:v>5.0818163313850001E-2</c:v>
                </c:pt>
                <c:pt idx="139">
                  <c:v>5.0818163313850001E-2</c:v>
                </c:pt>
                <c:pt idx="140">
                  <c:v>5.0818163313850001E-2</c:v>
                </c:pt>
                <c:pt idx="141">
                  <c:v>5.0818163313850001E-2</c:v>
                </c:pt>
                <c:pt idx="142">
                  <c:v>5.0818163313850001E-2</c:v>
                </c:pt>
                <c:pt idx="143">
                  <c:v>5.0818163313850001E-2</c:v>
                </c:pt>
                <c:pt idx="144">
                  <c:v>5.0818163313850001E-2</c:v>
                </c:pt>
                <c:pt idx="145">
                  <c:v>5.0818163313850001E-2</c:v>
                </c:pt>
                <c:pt idx="146">
                  <c:v>5.0818163313850001E-2</c:v>
                </c:pt>
                <c:pt idx="147">
                  <c:v>5.0818163313850001E-2</c:v>
                </c:pt>
                <c:pt idx="148">
                  <c:v>5.0818163313850001E-2</c:v>
                </c:pt>
                <c:pt idx="149">
                  <c:v>5.0818163313850001E-2</c:v>
                </c:pt>
                <c:pt idx="150">
                  <c:v>5.0818163313850001E-2</c:v>
                </c:pt>
                <c:pt idx="151">
                  <c:v>5.0818163313850001E-2</c:v>
                </c:pt>
                <c:pt idx="152">
                  <c:v>5.0818163313850001E-2</c:v>
                </c:pt>
                <c:pt idx="153">
                  <c:v>5.0818163313850001E-2</c:v>
                </c:pt>
                <c:pt idx="154">
                  <c:v>5.0818163313850001E-2</c:v>
                </c:pt>
                <c:pt idx="155">
                  <c:v>5.0818163313850001E-2</c:v>
                </c:pt>
                <c:pt idx="156">
                  <c:v>5.0818163313850001E-2</c:v>
                </c:pt>
                <c:pt idx="157">
                  <c:v>5.0818163313850001E-2</c:v>
                </c:pt>
                <c:pt idx="158">
                  <c:v>5.0818163313850001E-2</c:v>
                </c:pt>
                <c:pt idx="159">
                  <c:v>5.0818163313850001E-2</c:v>
                </c:pt>
                <c:pt idx="160">
                  <c:v>5.0818163313850001E-2</c:v>
                </c:pt>
                <c:pt idx="161">
                  <c:v>5.0818163313850001E-2</c:v>
                </c:pt>
                <c:pt idx="162">
                  <c:v>5.0818163313850001E-2</c:v>
                </c:pt>
                <c:pt idx="163">
                  <c:v>5.0818163313850001E-2</c:v>
                </c:pt>
                <c:pt idx="164">
                  <c:v>5.0818163313850001E-2</c:v>
                </c:pt>
                <c:pt idx="165">
                  <c:v>5.0818163313850001E-2</c:v>
                </c:pt>
                <c:pt idx="166">
                  <c:v>5.0818163313850001E-2</c:v>
                </c:pt>
                <c:pt idx="167">
                  <c:v>5.0818163313850001E-2</c:v>
                </c:pt>
                <c:pt idx="168">
                  <c:v>5.0818163313850001E-2</c:v>
                </c:pt>
                <c:pt idx="169">
                  <c:v>5.0818163313850001E-2</c:v>
                </c:pt>
                <c:pt idx="170">
                  <c:v>5.0818163313850001E-2</c:v>
                </c:pt>
                <c:pt idx="171">
                  <c:v>5.0818163313850001E-2</c:v>
                </c:pt>
                <c:pt idx="172">
                  <c:v>5.0818163313850001E-2</c:v>
                </c:pt>
                <c:pt idx="173">
                  <c:v>5.0818163313850001E-2</c:v>
                </c:pt>
                <c:pt idx="174">
                  <c:v>5.0818163313850001E-2</c:v>
                </c:pt>
                <c:pt idx="175">
                  <c:v>5.0818163313850001E-2</c:v>
                </c:pt>
                <c:pt idx="176">
                  <c:v>5.0818163313850001E-2</c:v>
                </c:pt>
                <c:pt idx="177">
                  <c:v>5.0818163313850001E-2</c:v>
                </c:pt>
                <c:pt idx="178">
                  <c:v>5.0818163313850001E-2</c:v>
                </c:pt>
                <c:pt idx="179">
                  <c:v>5.0818163313850001E-2</c:v>
                </c:pt>
                <c:pt idx="180">
                  <c:v>5.0818163313850001E-2</c:v>
                </c:pt>
                <c:pt idx="181">
                  <c:v>5.0818163313850001E-2</c:v>
                </c:pt>
                <c:pt idx="182">
                  <c:v>5.0818163313850001E-2</c:v>
                </c:pt>
                <c:pt idx="183">
                  <c:v>5.0818163313850001E-2</c:v>
                </c:pt>
                <c:pt idx="184">
                  <c:v>5.0818163313850001E-2</c:v>
                </c:pt>
                <c:pt idx="185">
                  <c:v>5.0818163313850001E-2</c:v>
                </c:pt>
                <c:pt idx="186">
                  <c:v>5.0818163313850001E-2</c:v>
                </c:pt>
                <c:pt idx="187">
                  <c:v>5.0818163313850001E-2</c:v>
                </c:pt>
                <c:pt idx="188">
                  <c:v>5.0818163313850001E-2</c:v>
                </c:pt>
                <c:pt idx="189">
                  <c:v>5.0818163313850001E-2</c:v>
                </c:pt>
                <c:pt idx="190">
                  <c:v>5.0818163313850001E-2</c:v>
                </c:pt>
                <c:pt idx="191">
                  <c:v>5.0818163313850001E-2</c:v>
                </c:pt>
                <c:pt idx="192">
                  <c:v>5.0818163313850001E-2</c:v>
                </c:pt>
                <c:pt idx="193">
                  <c:v>5.0818163313850001E-2</c:v>
                </c:pt>
                <c:pt idx="194">
                  <c:v>5.0818163313850001E-2</c:v>
                </c:pt>
                <c:pt idx="195">
                  <c:v>5.0818163313850001E-2</c:v>
                </c:pt>
                <c:pt idx="196">
                  <c:v>5.0818163313850001E-2</c:v>
                </c:pt>
                <c:pt idx="197">
                  <c:v>5.0818163313850001E-2</c:v>
                </c:pt>
                <c:pt idx="198">
                  <c:v>5.0818163313850001E-2</c:v>
                </c:pt>
                <c:pt idx="199">
                  <c:v>5.0818163313850001E-2</c:v>
                </c:pt>
                <c:pt idx="200">
                  <c:v>5.0818163313850001E-2</c:v>
                </c:pt>
                <c:pt idx="201">
                  <c:v>5.0818163313850001E-2</c:v>
                </c:pt>
                <c:pt idx="202">
                  <c:v>5.0818163313850001E-2</c:v>
                </c:pt>
                <c:pt idx="203">
                  <c:v>5.0818163313850001E-2</c:v>
                </c:pt>
                <c:pt idx="204">
                  <c:v>5.0818163313850001E-2</c:v>
                </c:pt>
                <c:pt idx="205">
                  <c:v>5.0818163313850001E-2</c:v>
                </c:pt>
                <c:pt idx="206">
                  <c:v>5.0818163313850001E-2</c:v>
                </c:pt>
                <c:pt idx="207">
                  <c:v>5.0818163313850001E-2</c:v>
                </c:pt>
                <c:pt idx="208">
                  <c:v>5.0818163313850001E-2</c:v>
                </c:pt>
                <c:pt idx="209">
                  <c:v>5.0818163313850001E-2</c:v>
                </c:pt>
                <c:pt idx="210">
                  <c:v>5.0818163313850001E-2</c:v>
                </c:pt>
                <c:pt idx="211">
                  <c:v>5.0818163313850001E-2</c:v>
                </c:pt>
                <c:pt idx="212">
                  <c:v>5.0818163313850001E-2</c:v>
                </c:pt>
                <c:pt idx="213">
                  <c:v>5.0818163313850001E-2</c:v>
                </c:pt>
                <c:pt idx="214">
                  <c:v>5.0818163313850001E-2</c:v>
                </c:pt>
                <c:pt idx="215">
                  <c:v>5.0818163313850001E-2</c:v>
                </c:pt>
                <c:pt idx="216">
                  <c:v>5.0818163313850001E-2</c:v>
                </c:pt>
                <c:pt idx="217">
                  <c:v>5.0818163313850001E-2</c:v>
                </c:pt>
                <c:pt idx="218">
                  <c:v>5.0818163313850001E-2</c:v>
                </c:pt>
                <c:pt idx="219">
                  <c:v>5.0818163313850001E-2</c:v>
                </c:pt>
                <c:pt idx="220">
                  <c:v>5.0818163313850001E-2</c:v>
                </c:pt>
                <c:pt idx="221">
                  <c:v>5.0818163313850001E-2</c:v>
                </c:pt>
                <c:pt idx="222">
                  <c:v>5.0818163313850001E-2</c:v>
                </c:pt>
                <c:pt idx="223">
                  <c:v>5.0818163313850001E-2</c:v>
                </c:pt>
                <c:pt idx="224">
                  <c:v>5.0818163313850001E-2</c:v>
                </c:pt>
                <c:pt idx="225">
                  <c:v>5.0818163313850001E-2</c:v>
                </c:pt>
                <c:pt idx="226">
                  <c:v>5.0818163313850001E-2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954304"/>
        <c:axId val="185955840"/>
      </c:lineChart>
      <c:dateAx>
        <c:axId val="18595430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85955840"/>
        <c:crosses val="autoZero"/>
        <c:auto val="1"/>
        <c:lblOffset val="100"/>
        <c:baseTimeUnit val="days"/>
      </c:dateAx>
      <c:valAx>
        <c:axId val="185955840"/>
        <c:scaling>
          <c:orientation val="minMax"/>
          <c:max val="6.0000000000000005E-2"/>
          <c:min val="0.04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185954304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7"/>
  <sheetViews>
    <sheetView zoomScale="8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8"/>
  <sheetViews>
    <sheetView zoomScale="8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9"/>
  <sheetViews>
    <sheetView zoomScale="8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8</xdr:row>
          <xdr:rowOff>57150</xdr:rowOff>
        </xdr:from>
        <xdr:to>
          <xdr:col>3</xdr:col>
          <xdr:colOff>942975</xdr:colOff>
          <xdr:row>10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Beta Chart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zacharymueller@gmail.com?subject=Excel%20Spreadsheet:%20Beta%20Char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2"/>
  <sheetViews>
    <sheetView tabSelected="1" workbookViewId="0"/>
  </sheetViews>
  <sheetFormatPr defaultRowHeight="15" x14ac:dyDescent="0.25"/>
  <cols>
    <col min="1" max="1" width="3.7109375" style="1" customWidth="1"/>
    <col min="2" max="2" width="2.7109375" style="1" customWidth="1"/>
    <col min="3" max="3" width="9.140625" style="1" customWidth="1"/>
    <col min="4" max="6" width="20.7109375" style="1" customWidth="1"/>
    <col min="7" max="16384" width="9.140625" style="1"/>
  </cols>
  <sheetData>
    <row r="1" spans="2:6" x14ac:dyDescent="0.25">
      <c r="B1" s="1" t="s">
        <v>0</v>
      </c>
    </row>
    <row r="2" spans="2:6" x14ac:dyDescent="0.25">
      <c r="C2" s="1" t="s">
        <v>7</v>
      </c>
    </row>
    <row r="3" spans="2:6" x14ac:dyDescent="0.25">
      <c r="C3" s="2" t="s">
        <v>8</v>
      </c>
    </row>
    <row r="4" spans="2:6" x14ac:dyDescent="0.25">
      <c r="C4" s="1" t="s">
        <v>1</v>
      </c>
    </row>
    <row r="5" spans="2:6" x14ac:dyDescent="0.25">
      <c r="C5" s="2" t="s">
        <v>2</v>
      </c>
    </row>
    <row r="6" spans="2:6" x14ac:dyDescent="0.25">
      <c r="C6" s="1" t="s">
        <v>3</v>
      </c>
    </row>
    <row r="9" spans="2:6" x14ac:dyDescent="0.25">
      <c r="F9" s="3" t="s">
        <v>17</v>
      </c>
    </row>
    <row r="10" spans="2:6" x14ac:dyDescent="0.25">
      <c r="F10" s="3" t="s">
        <v>4</v>
      </c>
    </row>
    <row r="11" spans="2:6" x14ac:dyDescent="0.25">
      <c r="F11" s="3" t="s">
        <v>5</v>
      </c>
    </row>
    <row r="12" spans="2:6" x14ac:dyDescent="0.25">
      <c r="F12" s="4" t="s">
        <v>6</v>
      </c>
    </row>
  </sheetData>
  <hyperlinks>
    <hyperlink ref="F1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createChart">
                <anchor moveWithCells="1" sizeWithCells="1">
                  <from>
                    <xdr:col>2</xdr:col>
                    <xdr:colOff>276225</xdr:colOff>
                    <xdr:row>8</xdr:row>
                    <xdr:rowOff>57150</xdr:rowOff>
                  </from>
                  <to>
                    <xdr:col>3</xdr:col>
                    <xdr:colOff>942975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Q384"/>
  <sheetViews>
    <sheetView topLeftCell="A146" workbookViewId="0">
      <selection activeCell="F158" sqref="F158"/>
    </sheetView>
  </sheetViews>
  <sheetFormatPr defaultRowHeight="15" x14ac:dyDescent="0.25"/>
  <sheetData>
    <row r="1" spans="1:5" x14ac:dyDescent="0.25">
      <c r="A1" t="s">
        <v>9</v>
      </c>
      <c r="B1" t="s">
        <v>15</v>
      </c>
      <c r="C1" t="s">
        <v>15</v>
      </c>
    </row>
    <row r="2" spans="1:5" x14ac:dyDescent="0.25">
      <c r="A2" s="5">
        <v>38222</v>
      </c>
      <c r="B2">
        <v>106.15</v>
      </c>
      <c r="C2">
        <v>1107.77</v>
      </c>
    </row>
    <row r="3" spans="1:5" x14ac:dyDescent="0.25">
      <c r="A3" s="5">
        <v>38229</v>
      </c>
      <c r="B3">
        <v>100.01</v>
      </c>
      <c r="C3">
        <v>1113.6300000000001</v>
      </c>
      <c r="D3" s="6">
        <f>B3/B2-1</f>
        <v>-5.784267545925581E-2</v>
      </c>
      <c r="E3" s="6">
        <f>C3/C2-1</f>
        <v>5.2899067495961738E-3</v>
      </c>
    </row>
    <row r="4" spans="1:5" x14ac:dyDescent="0.25">
      <c r="A4" s="5">
        <v>38237</v>
      </c>
      <c r="B4">
        <v>105.33</v>
      </c>
      <c r="C4">
        <v>1123.92</v>
      </c>
      <c r="D4" s="6">
        <f t="shared" ref="D4:D67" si="0">B4/B3-1</f>
        <v>5.3194680531946759E-2</v>
      </c>
      <c r="E4" s="6">
        <f t="shared" ref="E4:E67" si="1">C4/C3-1</f>
        <v>9.2400528003016014E-3</v>
      </c>
    </row>
    <row r="5" spans="1:5" x14ac:dyDescent="0.25">
      <c r="A5" s="5">
        <v>38243</v>
      </c>
      <c r="B5">
        <v>117.49</v>
      </c>
      <c r="C5">
        <v>1128.55</v>
      </c>
      <c r="D5" s="6">
        <f t="shared" si="0"/>
        <v>0.11544669135099217</v>
      </c>
      <c r="E5" s="6">
        <f t="shared" si="1"/>
        <v>4.1195102854294507E-3</v>
      </c>
    </row>
    <row r="6" spans="1:5" x14ac:dyDescent="0.25">
      <c r="A6" s="5">
        <v>38250</v>
      </c>
      <c r="B6">
        <v>119.83</v>
      </c>
      <c r="C6">
        <v>1110.1099999999999</v>
      </c>
      <c r="D6" s="6">
        <f t="shared" si="0"/>
        <v>1.9916588645842337E-2</v>
      </c>
      <c r="E6" s="6">
        <f t="shared" si="1"/>
        <v>-1.6339550750963716E-2</v>
      </c>
    </row>
    <row r="7" spans="1:5" x14ac:dyDescent="0.25">
      <c r="A7" s="5">
        <v>38257</v>
      </c>
      <c r="B7">
        <v>132.58000000000001</v>
      </c>
      <c r="C7">
        <v>1131.5</v>
      </c>
      <c r="D7" s="6">
        <f t="shared" si="0"/>
        <v>0.10640073437369613</v>
      </c>
      <c r="E7" s="6">
        <f t="shared" si="1"/>
        <v>1.926836079307459E-2</v>
      </c>
    </row>
    <row r="8" spans="1:5" x14ac:dyDescent="0.25">
      <c r="A8" s="5">
        <v>38264</v>
      </c>
      <c r="B8">
        <v>137.72999999999999</v>
      </c>
      <c r="C8">
        <v>1122.1400000000001</v>
      </c>
      <c r="D8" s="6">
        <f t="shared" si="0"/>
        <v>3.8844471262633684E-2</v>
      </c>
      <c r="E8" s="6">
        <f t="shared" si="1"/>
        <v>-8.2722050375606537E-3</v>
      </c>
    </row>
    <row r="9" spans="1:5" x14ac:dyDescent="0.25">
      <c r="A9" s="5">
        <v>38271</v>
      </c>
      <c r="B9">
        <v>144.11000000000001</v>
      </c>
      <c r="C9">
        <v>1108.2</v>
      </c>
      <c r="D9" s="6">
        <f t="shared" si="0"/>
        <v>4.6322515065708503E-2</v>
      </c>
      <c r="E9" s="6">
        <f t="shared" si="1"/>
        <v>-1.2422692355677611E-2</v>
      </c>
    </row>
    <row r="10" spans="1:5" x14ac:dyDescent="0.25">
      <c r="A10" s="5">
        <v>38278</v>
      </c>
      <c r="B10">
        <v>172.43</v>
      </c>
      <c r="C10">
        <v>1095.74</v>
      </c>
      <c r="D10" s="6">
        <f t="shared" si="0"/>
        <v>0.19651654985774747</v>
      </c>
      <c r="E10" s="6">
        <f t="shared" si="1"/>
        <v>-1.1243457859592132E-2</v>
      </c>
    </row>
    <row r="11" spans="1:5" x14ac:dyDescent="0.25">
      <c r="A11" s="5">
        <v>38285</v>
      </c>
      <c r="B11">
        <v>190.64</v>
      </c>
      <c r="C11">
        <v>1130.2</v>
      </c>
      <c r="D11" s="6">
        <f t="shared" si="0"/>
        <v>0.10560807284115281</v>
      </c>
      <c r="E11" s="6">
        <f t="shared" si="1"/>
        <v>3.144906638436118E-2</v>
      </c>
    </row>
    <row r="12" spans="1:5" x14ac:dyDescent="0.25">
      <c r="A12" s="5">
        <v>38292</v>
      </c>
      <c r="B12">
        <v>169.35</v>
      </c>
      <c r="C12">
        <v>1166.17</v>
      </c>
      <c r="D12" s="6">
        <f t="shared" si="0"/>
        <v>-0.11167645824590844</v>
      </c>
      <c r="E12" s="6">
        <f t="shared" si="1"/>
        <v>3.1826225446823564E-2</v>
      </c>
    </row>
    <row r="13" spans="1:5" x14ac:dyDescent="0.25">
      <c r="A13" s="5">
        <v>38299</v>
      </c>
      <c r="B13">
        <v>182</v>
      </c>
      <c r="C13">
        <v>1184.17</v>
      </c>
      <c r="D13" s="6">
        <f t="shared" si="0"/>
        <v>7.4697372305875476E-2</v>
      </c>
      <c r="E13" s="6">
        <f t="shared" si="1"/>
        <v>1.5435142389188528E-2</v>
      </c>
    </row>
    <row r="14" spans="1:5" x14ac:dyDescent="0.25">
      <c r="A14" s="5">
        <v>38306</v>
      </c>
      <c r="B14">
        <v>169.4</v>
      </c>
      <c r="C14">
        <v>1170.3399999999999</v>
      </c>
      <c r="D14" s="6">
        <f t="shared" si="0"/>
        <v>-6.9230769230769207E-2</v>
      </c>
      <c r="E14" s="6">
        <f t="shared" si="1"/>
        <v>-1.1679066350270828E-2</v>
      </c>
    </row>
    <row r="15" spans="1:5" x14ac:dyDescent="0.25">
      <c r="A15" s="5">
        <v>38313</v>
      </c>
      <c r="B15">
        <v>179.39</v>
      </c>
      <c r="C15">
        <v>1182.6500000000001</v>
      </c>
      <c r="D15" s="6">
        <f t="shared" si="0"/>
        <v>5.8972845336481505E-2</v>
      </c>
      <c r="E15" s="6">
        <f t="shared" si="1"/>
        <v>1.0518310918194773E-2</v>
      </c>
    </row>
    <row r="16" spans="1:5" x14ac:dyDescent="0.25">
      <c r="A16" s="5">
        <v>38320</v>
      </c>
      <c r="B16">
        <v>180.4</v>
      </c>
      <c r="C16">
        <v>1191.17</v>
      </c>
      <c r="D16" s="6">
        <f t="shared" si="0"/>
        <v>5.6301912035232604E-3</v>
      </c>
      <c r="E16" s="6">
        <f t="shared" si="1"/>
        <v>7.204160148818417E-3</v>
      </c>
    </row>
    <row r="17" spans="1:5" x14ac:dyDescent="0.25">
      <c r="A17" s="5">
        <v>38327</v>
      </c>
      <c r="B17">
        <v>171.65</v>
      </c>
      <c r="C17">
        <v>1188</v>
      </c>
      <c r="D17" s="6">
        <f t="shared" si="0"/>
        <v>-4.8503325942350295E-2</v>
      </c>
      <c r="E17" s="6">
        <f t="shared" si="1"/>
        <v>-2.6612490240688347E-3</v>
      </c>
    </row>
    <row r="18" spans="1:5" x14ac:dyDescent="0.25">
      <c r="A18" s="5">
        <v>38334</v>
      </c>
      <c r="B18">
        <v>180.08</v>
      </c>
      <c r="C18">
        <v>1194.2</v>
      </c>
      <c r="D18" s="6">
        <f t="shared" si="0"/>
        <v>4.9111564229536997E-2</v>
      </c>
      <c r="E18" s="6">
        <f t="shared" si="1"/>
        <v>5.218855218855234E-3</v>
      </c>
    </row>
    <row r="19" spans="1:5" x14ac:dyDescent="0.25">
      <c r="A19" s="5">
        <v>38341</v>
      </c>
      <c r="B19">
        <v>187.9</v>
      </c>
      <c r="C19">
        <v>1210.1300000000001</v>
      </c>
      <c r="D19" s="6">
        <f t="shared" si="0"/>
        <v>4.3425144380275338E-2</v>
      </c>
      <c r="E19" s="6">
        <f t="shared" si="1"/>
        <v>1.3339474124937301E-2</v>
      </c>
    </row>
    <row r="20" spans="1:5" x14ac:dyDescent="0.25">
      <c r="A20" s="5">
        <v>38348</v>
      </c>
      <c r="B20">
        <v>192.79</v>
      </c>
      <c r="C20">
        <v>1211.92</v>
      </c>
      <c r="D20" s="6">
        <f t="shared" si="0"/>
        <v>2.6024481106971642E-2</v>
      </c>
      <c r="E20" s="6">
        <f t="shared" si="1"/>
        <v>1.4791799228182079E-3</v>
      </c>
    </row>
    <row r="21" spans="1:5" x14ac:dyDescent="0.25">
      <c r="A21" s="5">
        <v>38355</v>
      </c>
      <c r="B21">
        <v>193.85</v>
      </c>
      <c r="C21">
        <v>1186.19</v>
      </c>
      <c r="D21" s="6">
        <f t="shared" si="0"/>
        <v>5.4982104880958449E-3</v>
      </c>
      <c r="E21" s="6">
        <f t="shared" si="1"/>
        <v>-2.1230774308535261E-2</v>
      </c>
    </row>
    <row r="22" spans="1:5" x14ac:dyDescent="0.25">
      <c r="A22" s="5">
        <v>38362</v>
      </c>
      <c r="B22">
        <v>199.97</v>
      </c>
      <c r="C22">
        <v>1184.52</v>
      </c>
      <c r="D22" s="6">
        <f t="shared" si="0"/>
        <v>3.1570802166623668E-2</v>
      </c>
      <c r="E22" s="6">
        <f t="shared" si="1"/>
        <v>-1.4078688911557391E-3</v>
      </c>
    </row>
    <row r="23" spans="1:5" x14ac:dyDescent="0.25">
      <c r="A23" s="5">
        <v>38370</v>
      </c>
      <c r="B23">
        <v>188.28</v>
      </c>
      <c r="C23">
        <v>1167.8699999999999</v>
      </c>
      <c r="D23" s="6">
        <f t="shared" si="0"/>
        <v>-5.8458768815322304E-2</v>
      </c>
      <c r="E23" s="6">
        <f t="shared" si="1"/>
        <v>-1.4056326613311798E-2</v>
      </c>
    </row>
    <row r="24" spans="1:5" x14ac:dyDescent="0.25">
      <c r="A24" s="5">
        <v>38376</v>
      </c>
      <c r="B24">
        <v>190.34</v>
      </c>
      <c r="C24">
        <v>1171.3599999999999</v>
      </c>
      <c r="D24" s="6">
        <f t="shared" si="0"/>
        <v>1.0941151476524302E-2</v>
      </c>
      <c r="E24" s="6">
        <f t="shared" si="1"/>
        <v>2.9883463056676884E-3</v>
      </c>
    </row>
    <row r="25" spans="1:5" x14ac:dyDescent="0.25">
      <c r="A25" s="5">
        <v>38383</v>
      </c>
      <c r="B25">
        <v>204.36</v>
      </c>
      <c r="C25">
        <v>1203.03</v>
      </c>
      <c r="D25" s="6">
        <f t="shared" si="0"/>
        <v>7.365766523063999E-2</v>
      </c>
      <c r="E25" s="6">
        <f t="shared" si="1"/>
        <v>2.7036948504302716E-2</v>
      </c>
    </row>
    <row r="26" spans="1:5" x14ac:dyDescent="0.25">
      <c r="A26" s="5">
        <v>38390</v>
      </c>
      <c r="B26">
        <v>187.4</v>
      </c>
      <c r="C26">
        <v>1205.3</v>
      </c>
      <c r="D26" s="6">
        <f t="shared" si="0"/>
        <v>-8.2990800548052523E-2</v>
      </c>
      <c r="E26" s="6">
        <f t="shared" si="1"/>
        <v>1.8869022385143985E-3</v>
      </c>
    </row>
    <row r="27" spans="1:5" x14ac:dyDescent="0.25">
      <c r="A27" s="5">
        <v>38397</v>
      </c>
      <c r="B27">
        <v>197.95</v>
      </c>
      <c r="C27">
        <v>1201.5899999999999</v>
      </c>
      <c r="D27" s="6">
        <f t="shared" si="0"/>
        <v>5.6296691568836543E-2</v>
      </c>
      <c r="E27" s="6">
        <f t="shared" si="1"/>
        <v>-3.0780718493321757E-3</v>
      </c>
    </row>
    <row r="28" spans="1:5" x14ac:dyDescent="0.25">
      <c r="A28" s="5">
        <v>38405</v>
      </c>
      <c r="B28">
        <v>185.87</v>
      </c>
      <c r="C28">
        <v>1211.3699999999999</v>
      </c>
      <c r="D28" s="6">
        <f t="shared" si="0"/>
        <v>-6.102551149280111E-2</v>
      </c>
      <c r="E28" s="6">
        <f t="shared" si="1"/>
        <v>8.1392155394102161E-3</v>
      </c>
    </row>
    <row r="29" spans="1:5" x14ac:dyDescent="0.25">
      <c r="A29" s="5">
        <v>38411</v>
      </c>
      <c r="B29">
        <v>185.9</v>
      </c>
      <c r="C29">
        <v>1222.1199999999999</v>
      </c>
      <c r="D29" s="6">
        <f t="shared" si="0"/>
        <v>1.6140313122070538E-4</v>
      </c>
      <c r="E29" s="6">
        <f t="shared" si="1"/>
        <v>8.874249816323676E-3</v>
      </c>
    </row>
    <row r="30" spans="1:5" x14ac:dyDescent="0.25">
      <c r="A30" s="5">
        <v>38418</v>
      </c>
      <c r="B30">
        <v>177.8</v>
      </c>
      <c r="C30">
        <v>1200.08</v>
      </c>
      <c r="D30" s="6">
        <f t="shared" si="0"/>
        <v>-4.3571812802582044E-2</v>
      </c>
      <c r="E30" s="6">
        <f t="shared" si="1"/>
        <v>-1.8034235590613013E-2</v>
      </c>
    </row>
    <row r="31" spans="1:5" x14ac:dyDescent="0.25">
      <c r="A31" s="5">
        <v>38425</v>
      </c>
      <c r="B31">
        <v>180.04</v>
      </c>
      <c r="C31">
        <v>1189.6500000000001</v>
      </c>
      <c r="D31" s="6">
        <f t="shared" si="0"/>
        <v>1.2598425196850283E-2</v>
      </c>
      <c r="E31" s="6">
        <f t="shared" si="1"/>
        <v>-8.6910872608491063E-3</v>
      </c>
    </row>
    <row r="32" spans="1:5" x14ac:dyDescent="0.25">
      <c r="A32" s="5">
        <v>38432</v>
      </c>
      <c r="B32">
        <v>179.25</v>
      </c>
      <c r="C32">
        <v>1171.42</v>
      </c>
      <c r="D32" s="6">
        <f t="shared" si="0"/>
        <v>-4.3879137969339288E-3</v>
      </c>
      <c r="E32" s="6">
        <f t="shared" si="1"/>
        <v>-1.5323834741310494E-2</v>
      </c>
    </row>
    <row r="33" spans="1:5" x14ac:dyDescent="0.25">
      <c r="A33" s="5">
        <v>38439</v>
      </c>
      <c r="B33">
        <v>180.04</v>
      </c>
      <c r="C33">
        <v>1172.92</v>
      </c>
      <c r="D33" s="6">
        <f t="shared" si="0"/>
        <v>4.4072524407252622E-3</v>
      </c>
      <c r="E33" s="6">
        <f t="shared" si="1"/>
        <v>1.2804971743696214E-3</v>
      </c>
    </row>
    <row r="34" spans="1:5" x14ac:dyDescent="0.25">
      <c r="A34" s="5">
        <v>38446</v>
      </c>
      <c r="B34">
        <v>192.05</v>
      </c>
      <c r="C34">
        <v>1181.2</v>
      </c>
      <c r="D34" s="6">
        <f t="shared" si="0"/>
        <v>6.6707398355920988E-2</v>
      </c>
      <c r="E34" s="6">
        <f t="shared" si="1"/>
        <v>7.0593049824370091E-3</v>
      </c>
    </row>
    <row r="35" spans="1:5" x14ac:dyDescent="0.25">
      <c r="A35" s="5">
        <v>38453</v>
      </c>
      <c r="B35">
        <v>185</v>
      </c>
      <c r="C35">
        <v>1142.6199999999999</v>
      </c>
      <c r="D35" s="6">
        <f t="shared" si="0"/>
        <v>-3.6709190315022178E-2</v>
      </c>
      <c r="E35" s="6">
        <f t="shared" si="1"/>
        <v>-3.2661699966136215E-2</v>
      </c>
    </row>
    <row r="36" spans="1:5" x14ac:dyDescent="0.25">
      <c r="A36" s="5">
        <v>38460</v>
      </c>
      <c r="B36">
        <v>215.81</v>
      </c>
      <c r="C36">
        <v>1152.1199999999999</v>
      </c>
      <c r="D36" s="6">
        <f t="shared" si="0"/>
        <v>0.16654054054054046</v>
      </c>
      <c r="E36" s="6">
        <f t="shared" si="1"/>
        <v>8.3142252017294194E-3</v>
      </c>
    </row>
    <row r="37" spans="1:5" x14ac:dyDescent="0.25">
      <c r="A37" s="5">
        <v>38467</v>
      </c>
      <c r="B37">
        <v>220</v>
      </c>
      <c r="C37">
        <v>1156.8499999999999</v>
      </c>
      <c r="D37" s="6">
        <f t="shared" si="0"/>
        <v>1.9415226356517268E-2</v>
      </c>
      <c r="E37" s="6">
        <f t="shared" si="1"/>
        <v>4.1054751241189624E-3</v>
      </c>
    </row>
    <row r="38" spans="1:5" x14ac:dyDescent="0.25">
      <c r="A38" s="5">
        <v>38474</v>
      </c>
      <c r="B38">
        <v>228.02</v>
      </c>
      <c r="C38">
        <v>1171.3499999999999</v>
      </c>
      <c r="D38" s="6">
        <f t="shared" si="0"/>
        <v>3.6454545454545517E-2</v>
      </c>
      <c r="E38" s="6">
        <f t="shared" si="1"/>
        <v>1.2534036391926406E-2</v>
      </c>
    </row>
    <row r="39" spans="1:5" x14ac:dyDescent="0.25">
      <c r="A39" s="5">
        <v>38481</v>
      </c>
      <c r="B39">
        <v>229.24</v>
      </c>
      <c r="C39">
        <v>1154.05</v>
      </c>
      <c r="D39" s="6">
        <f t="shared" si="0"/>
        <v>5.3504078589596826E-3</v>
      </c>
      <c r="E39" s="6">
        <f t="shared" si="1"/>
        <v>-1.4769283305587577E-2</v>
      </c>
    </row>
    <row r="40" spans="1:5" x14ac:dyDescent="0.25">
      <c r="A40" s="5">
        <v>38488</v>
      </c>
      <c r="B40">
        <v>241.61</v>
      </c>
      <c r="C40">
        <v>1189.28</v>
      </c>
      <c r="D40" s="6">
        <f t="shared" si="0"/>
        <v>5.3960914325597686E-2</v>
      </c>
      <c r="E40" s="6">
        <f t="shared" si="1"/>
        <v>3.0527273515012388E-2</v>
      </c>
    </row>
    <row r="41" spans="1:5" x14ac:dyDescent="0.25">
      <c r="A41" s="5">
        <v>38495</v>
      </c>
      <c r="B41">
        <v>266</v>
      </c>
      <c r="C41">
        <v>1198.78</v>
      </c>
      <c r="D41" s="6">
        <f t="shared" si="0"/>
        <v>0.10094780845163687</v>
      </c>
      <c r="E41" s="6">
        <f t="shared" si="1"/>
        <v>7.9880263688953956E-3</v>
      </c>
    </row>
    <row r="42" spans="1:5" x14ac:dyDescent="0.25">
      <c r="A42" s="5">
        <v>38503</v>
      </c>
      <c r="B42">
        <v>280.26</v>
      </c>
      <c r="C42">
        <v>1196.02</v>
      </c>
      <c r="D42" s="6">
        <f t="shared" si="0"/>
        <v>5.3609022556390995E-2</v>
      </c>
      <c r="E42" s="6">
        <f t="shared" si="1"/>
        <v>-2.3023407130582374E-3</v>
      </c>
    </row>
    <row r="43" spans="1:5" x14ac:dyDescent="0.25">
      <c r="A43" s="5">
        <v>38509</v>
      </c>
      <c r="B43">
        <v>282.5</v>
      </c>
      <c r="C43">
        <v>1198.1099999999999</v>
      </c>
      <c r="D43" s="6">
        <f t="shared" si="0"/>
        <v>7.9925783201313383E-3</v>
      </c>
      <c r="E43" s="6">
        <f t="shared" si="1"/>
        <v>1.7474624170163988E-3</v>
      </c>
    </row>
    <row r="44" spans="1:5" x14ac:dyDescent="0.25">
      <c r="A44" s="5">
        <v>38516</v>
      </c>
      <c r="B44">
        <v>280.3</v>
      </c>
      <c r="C44">
        <v>1216.96</v>
      </c>
      <c r="D44" s="6">
        <f t="shared" si="0"/>
        <v>-7.7876106194689765E-3</v>
      </c>
      <c r="E44" s="6">
        <f t="shared" si="1"/>
        <v>1.5733112986286768E-2</v>
      </c>
    </row>
    <row r="45" spans="1:5" x14ac:dyDescent="0.25">
      <c r="A45" s="5">
        <v>38523</v>
      </c>
      <c r="B45">
        <v>297.25</v>
      </c>
      <c r="C45">
        <v>1191.57</v>
      </c>
      <c r="D45" s="6">
        <f t="shared" si="0"/>
        <v>6.0470924009989213E-2</v>
      </c>
      <c r="E45" s="6">
        <f t="shared" si="1"/>
        <v>-2.086346305548259E-2</v>
      </c>
    </row>
    <row r="46" spans="1:5" x14ac:dyDescent="0.25">
      <c r="A46" s="5">
        <v>38530</v>
      </c>
      <c r="B46">
        <v>291.25</v>
      </c>
      <c r="C46">
        <v>1194.44</v>
      </c>
      <c r="D46" s="6">
        <f t="shared" si="0"/>
        <v>-2.0185029436501245E-2</v>
      </c>
      <c r="E46" s="6">
        <f t="shared" si="1"/>
        <v>2.4085869902734647E-3</v>
      </c>
    </row>
    <row r="47" spans="1:5" x14ac:dyDescent="0.25">
      <c r="A47" s="5">
        <v>38538</v>
      </c>
      <c r="B47">
        <v>296.23</v>
      </c>
      <c r="C47">
        <v>1211.8599999999999</v>
      </c>
      <c r="D47" s="6">
        <f t="shared" si="0"/>
        <v>1.7098712446351971E-2</v>
      </c>
      <c r="E47" s="6">
        <f t="shared" si="1"/>
        <v>1.4584240313452179E-2</v>
      </c>
    </row>
    <row r="48" spans="1:5" x14ac:dyDescent="0.25">
      <c r="A48" s="5">
        <v>38544</v>
      </c>
      <c r="B48">
        <v>301.19</v>
      </c>
      <c r="C48">
        <v>1227.92</v>
      </c>
      <c r="D48" s="6">
        <f t="shared" si="0"/>
        <v>1.6743746413259819E-2</v>
      </c>
      <c r="E48" s="6">
        <f t="shared" si="1"/>
        <v>1.3252355882692912E-2</v>
      </c>
    </row>
    <row r="49" spans="1:5" x14ac:dyDescent="0.25">
      <c r="A49" s="5">
        <v>38551</v>
      </c>
      <c r="B49">
        <v>302.39999999999998</v>
      </c>
      <c r="C49">
        <v>1233.68</v>
      </c>
      <c r="D49" s="6">
        <f t="shared" si="0"/>
        <v>4.0173976559645386E-3</v>
      </c>
      <c r="E49" s="6">
        <f t="shared" si="1"/>
        <v>4.6908593393706344E-3</v>
      </c>
    </row>
    <row r="50" spans="1:5" x14ac:dyDescent="0.25">
      <c r="A50" s="5">
        <v>38558</v>
      </c>
      <c r="B50">
        <v>287.76</v>
      </c>
      <c r="C50">
        <v>1234.18</v>
      </c>
      <c r="D50" s="6">
        <f t="shared" si="0"/>
        <v>-4.8412698412698352E-2</v>
      </c>
      <c r="E50" s="6">
        <f t="shared" si="1"/>
        <v>4.052914856365053E-4</v>
      </c>
    </row>
    <row r="51" spans="1:5" x14ac:dyDescent="0.25">
      <c r="A51" s="5">
        <v>38565</v>
      </c>
      <c r="B51">
        <v>292.35000000000002</v>
      </c>
      <c r="C51">
        <v>1226.42</v>
      </c>
      <c r="D51" s="6">
        <f t="shared" si="0"/>
        <v>1.59507923269393E-2</v>
      </c>
      <c r="E51" s="6">
        <f t="shared" si="1"/>
        <v>-6.2875755562397107E-3</v>
      </c>
    </row>
    <row r="52" spans="1:5" x14ac:dyDescent="0.25">
      <c r="A52" s="5">
        <v>38572</v>
      </c>
      <c r="B52">
        <v>289.72000000000003</v>
      </c>
      <c r="C52">
        <v>1230.3900000000001</v>
      </c>
      <c r="D52" s="6">
        <f t="shared" si="0"/>
        <v>-8.9960663588164458E-3</v>
      </c>
      <c r="E52" s="6">
        <f t="shared" si="1"/>
        <v>3.2370639748211527E-3</v>
      </c>
    </row>
    <row r="53" spans="1:5" x14ac:dyDescent="0.25">
      <c r="A53" s="5">
        <v>38579</v>
      </c>
      <c r="B53">
        <v>280</v>
      </c>
      <c r="C53">
        <v>1219.71</v>
      </c>
      <c r="D53" s="6">
        <f t="shared" si="0"/>
        <v>-3.3549634129504402E-2</v>
      </c>
      <c r="E53" s="6">
        <f t="shared" si="1"/>
        <v>-8.6801745787921103E-3</v>
      </c>
    </row>
    <row r="54" spans="1:5" x14ac:dyDescent="0.25">
      <c r="A54" s="5">
        <v>38586</v>
      </c>
      <c r="B54">
        <v>283.58</v>
      </c>
      <c r="C54">
        <v>1205.0999999999999</v>
      </c>
      <c r="D54" s="6">
        <f t="shared" si="0"/>
        <v>1.2785714285714178E-2</v>
      </c>
      <c r="E54" s="6">
        <f t="shared" si="1"/>
        <v>-1.1978257126694203E-2</v>
      </c>
    </row>
    <row r="55" spans="1:5" x14ac:dyDescent="0.25">
      <c r="A55" s="5">
        <v>38593</v>
      </c>
      <c r="B55">
        <v>288.45</v>
      </c>
      <c r="C55">
        <v>1218.02</v>
      </c>
      <c r="D55" s="6">
        <f t="shared" si="0"/>
        <v>1.7173284434727432E-2</v>
      </c>
      <c r="E55" s="6">
        <f t="shared" si="1"/>
        <v>1.0721101983238057E-2</v>
      </c>
    </row>
    <row r="56" spans="1:5" x14ac:dyDescent="0.25">
      <c r="A56" s="5">
        <v>38601</v>
      </c>
      <c r="B56">
        <v>299.08999999999997</v>
      </c>
      <c r="C56">
        <v>1241.48</v>
      </c>
      <c r="D56" s="6">
        <f t="shared" si="0"/>
        <v>3.6886808805685511E-2</v>
      </c>
      <c r="E56" s="6">
        <f t="shared" si="1"/>
        <v>1.9260767475082652E-2</v>
      </c>
    </row>
    <row r="57" spans="1:5" x14ac:dyDescent="0.25">
      <c r="A57" s="5">
        <v>38607</v>
      </c>
      <c r="B57">
        <v>300.2</v>
      </c>
      <c r="C57">
        <v>1237.9100000000001</v>
      </c>
      <c r="D57" s="6">
        <f t="shared" si="0"/>
        <v>3.7112574810258536E-3</v>
      </c>
      <c r="E57" s="6">
        <f t="shared" si="1"/>
        <v>-2.8756000902148138E-3</v>
      </c>
    </row>
    <row r="58" spans="1:5" x14ac:dyDescent="0.25">
      <c r="A58" s="5">
        <v>38614</v>
      </c>
      <c r="B58">
        <v>315.36</v>
      </c>
      <c r="C58">
        <v>1215.29</v>
      </c>
      <c r="D58" s="6">
        <f t="shared" si="0"/>
        <v>5.0499666888740968E-2</v>
      </c>
      <c r="E58" s="6">
        <f t="shared" si="1"/>
        <v>-1.8272733882107817E-2</v>
      </c>
    </row>
    <row r="59" spans="1:5" x14ac:dyDescent="0.25">
      <c r="A59" s="5">
        <v>38621</v>
      </c>
      <c r="B59">
        <v>316.45999999999998</v>
      </c>
      <c r="C59">
        <v>1228.81</v>
      </c>
      <c r="D59" s="6">
        <f t="shared" si="0"/>
        <v>3.4880771182139725E-3</v>
      </c>
      <c r="E59" s="6">
        <f t="shared" si="1"/>
        <v>1.1124916686552133E-2</v>
      </c>
    </row>
    <row r="60" spans="1:5" x14ac:dyDescent="0.25">
      <c r="A60" s="5">
        <v>38628</v>
      </c>
      <c r="B60">
        <v>312.99</v>
      </c>
      <c r="C60">
        <v>1195.9000000000001</v>
      </c>
      <c r="D60" s="6">
        <f t="shared" si="0"/>
        <v>-1.0965050875307969E-2</v>
      </c>
      <c r="E60" s="6">
        <f t="shared" si="1"/>
        <v>-2.6782008609955832E-2</v>
      </c>
    </row>
    <row r="61" spans="1:5" x14ac:dyDescent="0.25">
      <c r="A61" s="5">
        <v>38635</v>
      </c>
      <c r="B61">
        <v>296.14</v>
      </c>
      <c r="C61">
        <v>1186.57</v>
      </c>
      <c r="D61" s="6">
        <f t="shared" si="0"/>
        <v>-5.3835585801463415E-2</v>
      </c>
      <c r="E61" s="6">
        <f t="shared" si="1"/>
        <v>-7.8016556568276663E-3</v>
      </c>
    </row>
    <row r="62" spans="1:5" x14ac:dyDescent="0.25">
      <c r="A62" s="5">
        <v>38642</v>
      </c>
      <c r="B62">
        <v>339.9</v>
      </c>
      <c r="C62">
        <v>1179.5899999999999</v>
      </c>
      <c r="D62" s="6">
        <f t="shared" si="0"/>
        <v>0.14776794759235501</v>
      </c>
      <c r="E62" s="6">
        <f t="shared" si="1"/>
        <v>-5.8825016644614703E-3</v>
      </c>
    </row>
    <row r="63" spans="1:5" x14ac:dyDescent="0.25">
      <c r="A63" s="5">
        <v>38649</v>
      </c>
      <c r="B63">
        <v>358.17</v>
      </c>
      <c r="C63">
        <v>1198.4100000000001</v>
      </c>
      <c r="D63" s="6">
        <f t="shared" si="0"/>
        <v>5.3751103265666567E-2</v>
      </c>
      <c r="E63" s="6">
        <f t="shared" si="1"/>
        <v>1.5954696123229306E-2</v>
      </c>
    </row>
    <row r="64" spans="1:5" x14ac:dyDescent="0.25">
      <c r="A64" s="5">
        <v>38656</v>
      </c>
      <c r="B64">
        <v>390.43</v>
      </c>
      <c r="C64">
        <v>1220.1400000000001</v>
      </c>
      <c r="D64" s="6">
        <f t="shared" si="0"/>
        <v>9.0068961666247782E-2</v>
      </c>
      <c r="E64" s="6">
        <f t="shared" si="1"/>
        <v>1.8132358708622176E-2</v>
      </c>
    </row>
    <row r="65" spans="1:5" x14ac:dyDescent="0.25">
      <c r="A65" s="5">
        <v>38663</v>
      </c>
      <c r="B65">
        <v>390.4</v>
      </c>
      <c r="C65">
        <v>1234.72</v>
      </c>
      <c r="D65" s="6">
        <f t="shared" si="0"/>
        <v>-7.6838357708219895E-5</v>
      </c>
      <c r="E65" s="6">
        <f t="shared" si="1"/>
        <v>1.1949448423951292E-2</v>
      </c>
    </row>
    <row r="66" spans="1:5" x14ac:dyDescent="0.25">
      <c r="A66" s="5">
        <v>38670</v>
      </c>
      <c r="B66">
        <v>400.21</v>
      </c>
      <c r="C66">
        <v>1248.27</v>
      </c>
      <c r="D66" s="6">
        <f t="shared" si="0"/>
        <v>2.5128073770491755E-2</v>
      </c>
      <c r="E66" s="6">
        <f t="shared" si="1"/>
        <v>1.0974147984968319E-2</v>
      </c>
    </row>
    <row r="67" spans="1:5" x14ac:dyDescent="0.25">
      <c r="A67" s="5">
        <v>38677</v>
      </c>
      <c r="B67">
        <v>428.62</v>
      </c>
      <c r="C67">
        <v>1268.25</v>
      </c>
      <c r="D67" s="6">
        <f t="shared" si="0"/>
        <v>7.0987731440993462E-2</v>
      </c>
      <c r="E67" s="6">
        <f t="shared" si="1"/>
        <v>1.6006152515080974E-2</v>
      </c>
    </row>
    <row r="68" spans="1:5" x14ac:dyDescent="0.25">
      <c r="A68" s="5">
        <v>38684</v>
      </c>
      <c r="B68">
        <v>417.7</v>
      </c>
      <c r="C68">
        <v>1265.08</v>
      </c>
      <c r="D68" s="6">
        <f t="shared" ref="D68:D131" si="2">B68/B67-1</f>
        <v>-2.5477112593906059E-2</v>
      </c>
      <c r="E68" s="6">
        <f t="shared" ref="E68:E131" si="3">C68/C67-1</f>
        <v>-2.4995071949537317E-3</v>
      </c>
    </row>
    <row r="69" spans="1:5" x14ac:dyDescent="0.25">
      <c r="A69" s="5">
        <v>38691</v>
      </c>
      <c r="B69">
        <v>409.2</v>
      </c>
      <c r="C69">
        <v>1259.3699999999999</v>
      </c>
      <c r="D69" s="6">
        <f t="shared" si="2"/>
        <v>-2.0349533157768773E-2</v>
      </c>
      <c r="E69" s="6">
        <f t="shared" si="3"/>
        <v>-4.5135485502892925E-3</v>
      </c>
    </row>
    <row r="70" spans="1:5" x14ac:dyDescent="0.25">
      <c r="A70" s="5">
        <v>38698</v>
      </c>
      <c r="B70">
        <v>430.15</v>
      </c>
      <c r="C70">
        <v>1267.32</v>
      </c>
      <c r="D70" s="6">
        <f t="shared" si="2"/>
        <v>5.1197458455523037E-2</v>
      </c>
      <c r="E70" s="6">
        <f t="shared" si="3"/>
        <v>6.3126801495987372E-3</v>
      </c>
    </row>
    <row r="71" spans="1:5" x14ac:dyDescent="0.25">
      <c r="A71" s="5">
        <v>38705</v>
      </c>
      <c r="B71">
        <v>430.93</v>
      </c>
      <c r="C71">
        <v>1268.6600000000001</v>
      </c>
      <c r="D71" s="6">
        <f t="shared" si="2"/>
        <v>1.8133209345578827E-3</v>
      </c>
      <c r="E71" s="6">
        <f t="shared" si="3"/>
        <v>1.0573493671686141E-3</v>
      </c>
    </row>
    <row r="72" spans="1:5" x14ac:dyDescent="0.25">
      <c r="A72" s="5">
        <v>38713</v>
      </c>
      <c r="B72">
        <v>414.86</v>
      </c>
      <c r="C72">
        <v>1248.29</v>
      </c>
      <c r="D72" s="6">
        <f t="shared" si="2"/>
        <v>-3.7291439444921415E-2</v>
      </c>
      <c r="E72" s="6">
        <f t="shared" si="3"/>
        <v>-1.6056311383664701E-2</v>
      </c>
    </row>
    <row r="73" spans="1:5" x14ac:dyDescent="0.25">
      <c r="A73" s="5">
        <v>38720</v>
      </c>
      <c r="B73">
        <v>465.66</v>
      </c>
      <c r="C73">
        <v>1285.45</v>
      </c>
      <c r="D73" s="6">
        <f t="shared" si="2"/>
        <v>0.12245094730752548</v>
      </c>
      <c r="E73" s="6">
        <f t="shared" si="3"/>
        <v>2.9768723613903925E-2</v>
      </c>
    </row>
    <row r="74" spans="1:5" x14ac:dyDescent="0.25">
      <c r="A74" s="5">
        <v>38726</v>
      </c>
      <c r="B74">
        <v>466.25</v>
      </c>
      <c r="C74">
        <v>1287.6099999999999</v>
      </c>
      <c r="D74" s="6">
        <f t="shared" si="2"/>
        <v>1.2670188549583905E-3</v>
      </c>
      <c r="E74" s="6">
        <f t="shared" si="3"/>
        <v>1.680345404333039E-3</v>
      </c>
    </row>
    <row r="75" spans="1:5" x14ac:dyDescent="0.25">
      <c r="A75" s="5">
        <v>38734</v>
      </c>
      <c r="B75">
        <v>399.46</v>
      </c>
      <c r="C75">
        <v>1261.49</v>
      </c>
      <c r="D75" s="6">
        <f t="shared" si="2"/>
        <v>-0.14324932975871318</v>
      </c>
      <c r="E75" s="6">
        <f t="shared" si="3"/>
        <v>-2.0285645498248628E-2</v>
      </c>
    </row>
    <row r="76" spans="1:5" x14ac:dyDescent="0.25">
      <c r="A76" s="5">
        <v>38740</v>
      </c>
      <c r="B76">
        <v>433.49</v>
      </c>
      <c r="C76">
        <v>1283.72</v>
      </c>
      <c r="D76" s="6">
        <f t="shared" si="2"/>
        <v>8.5190006508786942E-2</v>
      </c>
      <c r="E76" s="6">
        <f t="shared" si="3"/>
        <v>1.7622018406804774E-2</v>
      </c>
    </row>
    <row r="77" spans="1:5" x14ac:dyDescent="0.25">
      <c r="A77" s="5">
        <v>38747</v>
      </c>
      <c r="B77">
        <v>381.55</v>
      </c>
      <c r="C77">
        <v>1264.03</v>
      </c>
      <c r="D77" s="6">
        <f t="shared" si="2"/>
        <v>-0.11981821956677197</v>
      </c>
      <c r="E77" s="6">
        <f t="shared" si="3"/>
        <v>-1.5338235752344831E-2</v>
      </c>
    </row>
    <row r="78" spans="1:5" x14ac:dyDescent="0.25">
      <c r="A78" s="5">
        <v>38754</v>
      </c>
      <c r="B78">
        <v>362.61</v>
      </c>
      <c r="C78">
        <v>1266.99</v>
      </c>
      <c r="D78" s="6">
        <f t="shared" si="2"/>
        <v>-4.9639627833835687E-2</v>
      </c>
      <c r="E78" s="6">
        <f t="shared" si="3"/>
        <v>2.3417165731827172E-3</v>
      </c>
    </row>
    <row r="79" spans="1:5" x14ac:dyDescent="0.25">
      <c r="A79" s="5">
        <v>38761</v>
      </c>
      <c r="B79">
        <v>368.75</v>
      </c>
      <c r="C79">
        <v>1287.24</v>
      </c>
      <c r="D79" s="6">
        <f t="shared" si="2"/>
        <v>1.6932792807699659E-2</v>
      </c>
      <c r="E79" s="6">
        <f t="shared" si="3"/>
        <v>1.598276229488782E-2</v>
      </c>
    </row>
    <row r="80" spans="1:5" x14ac:dyDescent="0.25">
      <c r="A80" s="5">
        <v>38769</v>
      </c>
      <c r="B80">
        <v>377.4</v>
      </c>
      <c r="C80">
        <v>1289.43</v>
      </c>
      <c r="D80" s="6">
        <f t="shared" si="2"/>
        <v>2.3457627118643964E-2</v>
      </c>
      <c r="E80" s="6">
        <f t="shared" si="3"/>
        <v>1.7013144401976099E-3</v>
      </c>
    </row>
    <row r="81" spans="1:5" x14ac:dyDescent="0.25">
      <c r="A81" s="5">
        <v>38775</v>
      </c>
      <c r="B81">
        <v>378.18</v>
      </c>
      <c r="C81">
        <v>1287.23</v>
      </c>
      <c r="D81" s="6">
        <f t="shared" si="2"/>
        <v>2.0667726550080978E-3</v>
      </c>
      <c r="E81" s="6">
        <f t="shared" si="3"/>
        <v>-1.706180250188094E-3</v>
      </c>
    </row>
    <row r="82" spans="1:5" x14ac:dyDescent="0.25">
      <c r="A82" s="5">
        <v>38782</v>
      </c>
      <c r="B82">
        <v>337.5</v>
      </c>
      <c r="C82">
        <v>1281.42</v>
      </c>
      <c r="D82" s="6">
        <f t="shared" si="2"/>
        <v>-0.1075678248453118</v>
      </c>
      <c r="E82" s="6">
        <f t="shared" si="3"/>
        <v>-4.5135678938494905E-3</v>
      </c>
    </row>
    <row r="83" spans="1:5" x14ac:dyDescent="0.25">
      <c r="A83" s="5">
        <v>38789</v>
      </c>
      <c r="B83">
        <v>339.79</v>
      </c>
      <c r="C83">
        <v>1307.25</v>
      </c>
      <c r="D83" s="6">
        <f t="shared" si="2"/>
        <v>6.7851851851852274E-3</v>
      </c>
      <c r="E83" s="6">
        <f t="shared" si="3"/>
        <v>2.015732546705995E-2</v>
      </c>
    </row>
    <row r="84" spans="1:5" x14ac:dyDescent="0.25">
      <c r="A84" s="5">
        <v>38796</v>
      </c>
      <c r="B84">
        <v>365.8</v>
      </c>
      <c r="C84">
        <v>1302.95</v>
      </c>
      <c r="D84" s="6">
        <f t="shared" si="2"/>
        <v>7.6547279201859997E-2</v>
      </c>
      <c r="E84" s="6">
        <f t="shared" si="3"/>
        <v>-3.2893478676611076E-3</v>
      </c>
    </row>
    <row r="85" spans="1:5" x14ac:dyDescent="0.25">
      <c r="A85" s="5">
        <v>38803</v>
      </c>
      <c r="B85">
        <v>390</v>
      </c>
      <c r="C85">
        <v>1294.8699999999999</v>
      </c>
      <c r="D85" s="6">
        <f t="shared" si="2"/>
        <v>6.6156369600874676E-2</v>
      </c>
      <c r="E85" s="6">
        <f t="shared" si="3"/>
        <v>-6.2013124064623781E-3</v>
      </c>
    </row>
    <row r="86" spans="1:5" x14ac:dyDescent="0.25">
      <c r="A86" s="5">
        <v>38810</v>
      </c>
      <c r="B86">
        <v>406.16</v>
      </c>
      <c r="C86">
        <v>1295.5</v>
      </c>
      <c r="D86" s="6">
        <f t="shared" si="2"/>
        <v>4.1435897435897484E-2</v>
      </c>
      <c r="E86" s="6">
        <f t="shared" si="3"/>
        <v>4.8653532787090725E-4</v>
      </c>
    </row>
    <row r="87" spans="1:5" x14ac:dyDescent="0.25">
      <c r="A87" s="5">
        <v>38817</v>
      </c>
      <c r="B87">
        <v>402.16</v>
      </c>
      <c r="C87">
        <v>1289.1199999999999</v>
      </c>
      <c r="D87" s="6">
        <f t="shared" si="2"/>
        <v>-9.8483356312782933E-3</v>
      </c>
      <c r="E87" s="6">
        <f t="shared" si="3"/>
        <v>-4.9247394828252355E-3</v>
      </c>
    </row>
    <row r="88" spans="1:5" x14ac:dyDescent="0.25">
      <c r="A88" s="5">
        <v>38824</v>
      </c>
      <c r="B88">
        <v>437.1</v>
      </c>
      <c r="C88">
        <v>1311.28</v>
      </c>
      <c r="D88" s="6">
        <f t="shared" si="2"/>
        <v>8.6880843445394929E-2</v>
      </c>
      <c r="E88" s="6">
        <f t="shared" si="3"/>
        <v>1.7190021099664943E-2</v>
      </c>
    </row>
    <row r="89" spans="1:5" x14ac:dyDescent="0.25">
      <c r="A89" s="5">
        <v>38831</v>
      </c>
      <c r="B89">
        <v>417.94</v>
      </c>
      <c r="C89">
        <v>1310.6099999999999</v>
      </c>
      <c r="D89" s="6">
        <f t="shared" si="2"/>
        <v>-4.3834362846030706E-2</v>
      </c>
      <c r="E89" s="6">
        <f t="shared" si="3"/>
        <v>-5.1095113171872875E-4</v>
      </c>
    </row>
    <row r="90" spans="1:5" x14ac:dyDescent="0.25">
      <c r="A90" s="5">
        <v>38838</v>
      </c>
      <c r="B90">
        <v>394.3</v>
      </c>
      <c r="C90">
        <v>1325.76</v>
      </c>
      <c r="D90" s="6">
        <f t="shared" si="2"/>
        <v>-5.656314303488541E-2</v>
      </c>
      <c r="E90" s="6">
        <f t="shared" si="3"/>
        <v>1.155950282692797E-2</v>
      </c>
    </row>
    <row r="91" spans="1:5" x14ac:dyDescent="0.25">
      <c r="A91" s="5">
        <v>38845</v>
      </c>
      <c r="B91">
        <v>374.13</v>
      </c>
      <c r="C91">
        <v>1291.24</v>
      </c>
      <c r="D91" s="6">
        <f t="shared" si="2"/>
        <v>-5.1153943697692106E-2</v>
      </c>
      <c r="E91" s="6">
        <f t="shared" si="3"/>
        <v>-2.603789524499156E-2</v>
      </c>
    </row>
    <row r="92" spans="1:5" x14ac:dyDescent="0.25">
      <c r="A92" s="5">
        <v>38852</v>
      </c>
      <c r="B92">
        <v>370.02</v>
      </c>
      <c r="C92">
        <v>1267.03</v>
      </c>
      <c r="D92" s="6">
        <f t="shared" si="2"/>
        <v>-1.0985486328281668E-2</v>
      </c>
      <c r="E92" s="6">
        <f t="shared" si="3"/>
        <v>-1.8749419162975123E-2</v>
      </c>
    </row>
    <row r="93" spans="1:5" x14ac:dyDescent="0.25">
      <c r="A93" s="5">
        <v>38859</v>
      </c>
      <c r="B93">
        <v>381.35</v>
      </c>
      <c r="C93">
        <v>1280.1600000000001</v>
      </c>
      <c r="D93" s="6">
        <f t="shared" si="2"/>
        <v>3.0619966488298012E-2</v>
      </c>
      <c r="E93" s="6">
        <f t="shared" si="3"/>
        <v>1.0362816981444922E-2</v>
      </c>
    </row>
    <row r="94" spans="1:5" x14ac:dyDescent="0.25">
      <c r="A94" s="5">
        <v>38867</v>
      </c>
      <c r="B94">
        <v>379.44</v>
      </c>
      <c r="C94">
        <v>1288.22</v>
      </c>
      <c r="D94" s="6">
        <f t="shared" si="2"/>
        <v>-5.0085223547922109E-3</v>
      </c>
      <c r="E94" s="6">
        <f t="shared" si="3"/>
        <v>6.2960879890012755E-3</v>
      </c>
    </row>
    <row r="95" spans="1:5" x14ac:dyDescent="0.25">
      <c r="A95" s="5">
        <v>38873</v>
      </c>
      <c r="B95">
        <v>386.57</v>
      </c>
      <c r="C95">
        <v>1252.3</v>
      </c>
      <c r="D95" s="6">
        <f t="shared" si="2"/>
        <v>1.8790849673202548E-2</v>
      </c>
      <c r="E95" s="6">
        <f t="shared" si="3"/>
        <v>-2.7883436059058297E-2</v>
      </c>
    </row>
    <row r="96" spans="1:5" x14ac:dyDescent="0.25">
      <c r="A96" s="5">
        <v>38880</v>
      </c>
      <c r="B96">
        <v>390.7</v>
      </c>
      <c r="C96">
        <v>1251.54</v>
      </c>
      <c r="D96" s="6">
        <f t="shared" si="2"/>
        <v>1.06837054091109E-2</v>
      </c>
      <c r="E96" s="6">
        <f t="shared" si="3"/>
        <v>-6.0688333466418776E-4</v>
      </c>
    </row>
    <row r="97" spans="1:5" x14ac:dyDescent="0.25">
      <c r="A97" s="5">
        <v>38887</v>
      </c>
      <c r="B97">
        <v>404.86</v>
      </c>
      <c r="C97">
        <v>1244.5</v>
      </c>
      <c r="D97" s="6">
        <f t="shared" si="2"/>
        <v>3.624264141284872E-2</v>
      </c>
      <c r="E97" s="6">
        <f t="shared" si="3"/>
        <v>-5.625069913866132E-3</v>
      </c>
    </row>
    <row r="98" spans="1:5" x14ac:dyDescent="0.25">
      <c r="A98" s="5">
        <v>38894</v>
      </c>
      <c r="B98">
        <v>419.33</v>
      </c>
      <c r="C98">
        <v>1270.2</v>
      </c>
      <c r="D98" s="6">
        <f t="shared" si="2"/>
        <v>3.5740749888850454E-2</v>
      </c>
      <c r="E98" s="6">
        <f t="shared" si="3"/>
        <v>2.0650863800723229E-2</v>
      </c>
    </row>
    <row r="99" spans="1:5" x14ac:dyDescent="0.25">
      <c r="A99" s="5">
        <v>38901</v>
      </c>
      <c r="B99">
        <v>420.45</v>
      </c>
      <c r="C99">
        <v>1265.48</v>
      </c>
      <c r="D99" s="6">
        <f t="shared" si="2"/>
        <v>2.6709274318554854E-3</v>
      </c>
      <c r="E99" s="6">
        <f t="shared" si="3"/>
        <v>-3.715950244056021E-3</v>
      </c>
    </row>
    <row r="100" spans="1:5" x14ac:dyDescent="0.25">
      <c r="A100" s="5">
        <v>38908</v>
      </c>
      <c r="B100">
        <v>403.5</v>
      </c>
      <c r="C100">
        <v>1236.2</v>
      </c>
      <c r="D100" s="6">
        <f t="shared" si="2"/>
        <v>-4.0313949339992883E-2</v>
      </c>
      <c r="E100" s="6">
        <f t="shared" si="3"/>
        <v>-2.3137465625691411E-2</v>
      </c>
    </row>
    <row r="101" spans="1:5" x14ac:dyDescent="0.25">
      <c r="A101" s="5">
        <v>38915</v>
      </c>
      <c r="B101">
        <v>390.11</v>
      </c>
      <c r="C101">
        <v>1240.29</v>
      </c>
      <c r="D101" s="6">
        <f t="shared" si="2"/>
        <v>-3.318463444857489E-2</v>
      </c>
      <c r="E101" s="6">
        <f t="shared" si="3"/>
        <v>3.3085261284582224E-3</v>
      </c>
    </row>
    <row r="102" spans="1:5" x14ac:dyDescent="0.25">
      <c r="A102" s="5">
        <v>38922</v>
      </c>
      <c r="B102">
        <v>388.12</v>
      </c>
      <c r="C102">
        <v>1278.55</v>
      </c>
      <c r="D102" s="6">
        <f t="shared" si="2"/>
        <v>-5.1011253236267207E-3</v>
      </c>
      <c r="E102" s="6">
        <f t="shared" si="3"/>
        <v>3.0847624345919034E-2</v>
      </c>
    </row>
    <row r="103" spans="1:5" x14ac:dyDescent="0.25">
      <c r="A103" s="5">
        <v>38929</v>
      </c>
      <c r="B103">
        <v>373.85</v>
      </c>
      <c r="C103">
        <v>1279.3599999999999</v>
      </c>
      <c r="D103" s="6">
        <f t="shared" si="2"/>
        <v>-3.6766979284757251E-2</v>
      </c>
      <c r="E103" s="6">
        <f t="shared" si="3"/>
        <v>6.3353017089662345E-4</v>
      </c>
    </row>
    <row r="104" spans="1:5" x14ac:dyDescent="0.25">
      <c r="A104" s="5">
        <v>38936</v>
      </c>
      <c r="B104">
        <v>368.5</v>
      </c>
      <c r="C104">
        <v>1266.74</v>
      </c>
      <c r="D104" s="6">
        <f t="shared" si="2"/>
        <v>-1.4310552360572437E-2</v>
      </c>
      <c r="E104" s="6">
        <f t="shared" si="3"/>
        <v>-9.864307153576668E-3</v>
      </c>
    </row>
    <row r="105" spans="1:5" x14ac:dyDescent="0.25">
      <c r="A105" s="5">
        <v>38943</v>
      </c>
      <c r="B105">
        <v>383.36</v>
      </c>
      <c r="C105">
        <v>1302.3</v>
      </c>
      <c r="D105" s="6">
        <f t="shared" si="2"/>
        <v>4.032564450474907E-2</v>
      </c>
      <c r="E105" s="6">
        <f t="shared" si="3"/>
        <v>2.8072058986058579E-2</v>
      </c>
    </row>
    <row r="106" spans="1:5" x14ac:dyDescent="0.25">
      <c r="A106" s="5">
        <v>38950</v>
      </c>
      <c r="B106">
        <v>373.26</v>
      </c>
      <c r="C106">
        <v>1295.0899999999999</v>
      </c>
      <c r="D106" s="6">
        <f t="shared" si="2"/>
        <v>-2.6345993322203776E-2</v>
      </c>
      <c r="E106" s="6">
        <f t="shared" si="3"/>
        <v>-5.5363587499039912E-3</v>
      </c>
    </row>
    <row r="107" spans="1:5" x14ac:dyDescent="0.25">
      <c r="A107" s="5">
        <v>38957</v>
      </c>
      <c r="B107">
        <v>378.6</v>
      </c>
      <c r="C107">
        <v>1311.01</v>
      </c>
      <c r="D107" s="6">
        <f t="shared" si="2"/>
        <v>1.4306381610673657E-2</v>
      </c>
      <c r="E107" s="6">
        <f t="shared" si="3"/>
        <v>1.2292581982719319E-2</v>
      </c>
    </row>
    <row r="108" spans="1:5" x14ac:dyDescent="0.25">
      <c r="A108" s="5">
        <v>38965</v>
      </c>
      <c r="B108">
        <v>377.85</v>
      </c>
      <c r="C108">
        <v>1298.92</v>
      </c>
      <c r="D108" s="6">
        <f t="shared" si="2"/>
        <v>-1.980982567353462E-3</v>
      </c>
      <c r="E108" s="6">
        <f t="shared" si="3"/>
        <v>-9.2218976209181847E-3</v>
      </c>
    </row>
    <row r="109" spans="1:5" x14ac:dyDescent="0.25">
      <c r="A109" s="5">
        <v>38971</v>
      </c>
      <c r="B109">
        <v>409.88</v>
      </c>
      <c r="C109">
        <v>1319.66</v>
      </c>
      <c r="D109" s="6">
        <f t="shared" si="2"/>
        <v>8.4769088262538039E-2</v>
      </c>
      <c r="E109" s="6">
        <f t="shared" si="3"/>
        <v>1.5967111138484258E-2</v>
      </c>
    </row>
    <row r="110" spans="1:5" x14ac:dyDescent="0.25">
      <c r="A110" s="5">
        <v>38978</v>
      </c>
      <c r="B110">
        <v>403.78</v>
      </c>
      <c r="C110">
        <v>1314.78</v>
      </c>
      <c r="D110" s="6">
        <f t="shared" si="2"/>
        <v>-1.4882404606226252E-2</v>
      </c>
      <c r="E110" s="6">
        <f t="shared" si="3"/>
        <v>-3.6979221920798722E-3</v>
      </c>
    </row>
    <row r="111" spans="1:5" x14ac:dyDescent="0.25">
      <c r="A111" s="5">
        <v>38985</v>
      </c>
      <c r="B111">
        <v>401.9</v>
      </c>
      <c r="C111">
        <v>1335.85</v>
      </c>
      <c r="D111" s="6">
        <f t="shared" si="2"/>
        <v>-4.6560007925107172E-3</v>
      </c>
      <c r="E111" s="6">
        <f t="shared" si="3"/>
        <v>1.6025494759579484E-2</v>
      </c>
    </row>
    <row r="112" spans="1:5" x14ac:dyDescent="0.25">
      <c r="A112" s="5">
        <v>38992</v>
      </c>
      <c r="B112">
        <v>420.5</v>
      </c>
      <c r="C112">
        <v>1349.59</v>
      </c>
      <c r="D112" s="6">
        <f t="shared" si="2"/>
        <v>4.62801691963175E-2</v>
      </c>
      <c r="E112" s="6">
        <f t="shared" si="3"/>
        <v>1.0285585956507193E-2</v>
      </c>
    </row>
    <row r="113" spans="1:5" x14ac:dyDescent="0.25">
      <c r="A113" s="5">
        <v>38999</v>
      </c>
      <c r="B113">
        <v>427.3</v>
      </c>
      <c r="C113">
        <v>1365.62</v>
      </c>
      <c r="D113" s="6">
        <f t="shared" si="2"/>
        <v>1.6171224732461464E-2</v>
      </c>
      <c r="E113" s="6">
        <f t="shared" si="3"/>
        <v>1.187768136989753E-2</v>
      </c>
    </row>
    <row r="114" spans="1:5" x14ac:dyDescent="0.25">
      <c r="A114" s="5">
        <v>39006</v>
      </c>
      <c r="B114">
        <v>459.67</v>
      </c>
      <c r="C114">
        <v>1368.6</v>
      </c>
      <c r="D114" s="6">
        <f t="shared" si="2"/>
        <v>7.5754739059209042E-2</v>
      </c>
      <c r="E114" s="6">
        <f t="shared" si="3"/>
        <v>2.1821590193464857E-3</v>
      </c>
    </row>
    <row r="115" spans="1:5" x14ac:dyDescent="0.25">
      <c r="A115" s="5">
        <v>39013</v>
      </c>
      <c r="B115">
        <v>475.2</v>
      </c>
      <c r="C115">
        <v>1377.34</v>
      </c>
      <c r="D115" s="6">
        <f t="shared" si="2"/>
        <v>3.3785106706985424E-2</v>
      </c>
      <c r="E115" s="6">
        <f t="shared" si="3"/>
        <v>6.386087973111243E-3</v>
      </c>
    </row>
    <row r="116" spans="1:5" x14ac:dyDescent="0.25">
      <c r="A116" s="5">
        <v>39020</v>
      </c>
      <c r="B116">
        <v>471.8</v>
      </c>
      <c r="C116">
        <v>1364.3</v>
      </c>
      <c r="D116" s="6">
        <f t="shared" si="2"/>
        <v>-7.1548821548821362E-3</v>
      </c>
      <c r="E116" s="6">
        <f t="shared" si="3"/>
        <v>-9.4675243585461422E-3</v>
      </c>
    </row>
    <row r="117" spans="1:5" x14ac:dyDescent="0.25">
      <c r="A117" s="5">
        <v>39027</v>
      </c>
      <c r="B117">
        <v>473.55</v>
      </c>
      <c r="C117">
        <v>1380.9</v>
      </c>
      <c r="D117" s="6">
        <f t="shared" si="2"/>
        <v>3.7091988130564246E-3</v>
      </c>
      <c r="E117" s="6">
        <f t="shared" si="3"/>
        <v>1.2167411859561827E-2</v>
      </c>
    </row>
    <row r="118" spans="1:5" x14ac:dyDescent="0.25">
      <c r="A118" s="5">
        <v>39034</v>
      </c>
      <c r="B118">
        <v>498.79</v>
      </c>
      <c r="C118">
        <v>1401.2</v>
      </c>
      <c r="D118" s="6">
        <f t="shared" si="2"/>
        <v>5.3299545982472774E-2</v>
      </c>
      <c r="E118" s="6">
        <f t="shared" si="3"/>
        <v>1.4700557607357556E-2</v>
      </c>
    </row>
    <row r="119" spans="1:5" x14ac:dyDescent="0.25">
      <c r="A119" s="5">
        <v>39041</v>
      </c>
      <c r="B119">
        <v>505</v>
      </c>
      <c r="C119">
        <v>1400.95</v>
      </c>
      <c r="D119" s="6">
        <f t="shared" si="2"/>
        <v>1.2450129312937319E-2</v>
      </c>
      <c r="E119" s="6">
        <f t="shared" si="3"/>
        <v>-1.7841849842992197E-4</v>
      </c>
    </row>
    <row r="120" spans="1:5" x14ac:dyDescent="0.25">
      <c r="A120" s="5">
        <v>39048</v>
      </c>
      <c r="B120">
        <v>480.8</v>
      </c>
      <c r="C120">
        <v>1396.71</v>
      </c>
      <c r="D120" s="6">
        <f t="shared" si="2"/>
        <v>-4.7920792079207852E-2</v>
      </c>
      <c r="E120" s="6">
        <f t="shared" si="3"/>
        <v>-3.0265177201185267E-3</v>
      </c>
    </row>
    <row r="121" spans="1:5" x14ac:dyDescent="0.25">
      <c r="A121" s="5">
        <v>39055</v>
      </c>
      <c r="B121">
        <v>484.11</v>
      </c>
      <c r="C121">
        <v>1409.84</v>
      </c>
      <c r="D121" s="6">
        <f t="shared" si="2"/>
        <v>6.8843594009984077E-3</v>
      </c>
      <c r="E121" s="6">
        <f t="shared" si="3"/>
        <v>9.4006629865899249E-3</v>
      </c>
    </row>
    <row r="122" spans="1:5" x14ac:dyDescent="0.25">
      <c r="A122" s="5">
        <v>39062</v>
      </c>
      <c r="B122">
        <v>480.3</v>
      </c>
      <c r="C122">
        <v>1427.09</v>
      </c>
      <c r="D122" s="6">
        <f t="shared" si="2"/>
        <v>-7.8701121645906591E-3</v>
      </c>
      <c r="E122" s="6">
        <f t="shared" si="3"/>
        <v>1.2235430970890304E-2</v>
      </c>
    </row>
    <row r="123" spans="1:5" x14ac:dyDescent="0.25">
      <c r="A123" s="5">
        <v>39069</v>
      </c>
      <c r="B123">
        <v>455.58</v>
      </c>
      <c r="C123">
        <v>1410.76</v>
      </c>
      <c r="D123" s="6">
        <f t="shared" si="2"/>
        <v>-5.1467832604622177E-2</v>
      </c>
      <c r="E123" s="6">
        <f t="shared" si="3"/>
        <v>-1.1442866252303618E-2</v>
      </c>
    </row>
    <row r="124" spans="1:5" x14ac:dyDescent="0.25">
      <c r="A124" s="5">
        <v>39077</v>
      </c>
      <c r="B124">
        <v>460.48</v>
      </c>
      <c r="C124">
        <v>1418.3</v>
      </c>
      <c r="D124" s="6">
        <f t="shared" si="2"/>
        <v>1.0755520435488997E-2</v>
      </c>
      <c r="E124" s="6">
        <f t="shared" si="3"/>
        <v>5.3446369332841304E-3</v>
      </c>
    </row>
    <row r="125" spans="1:5" x14ac:dyDescent="0.25">
      <c r="A125" s="5">
        <v>39085</v>
      </c>
      <c r="B125">
        <v>487.19</v>
      </c>
      <c r="C125">
        <v>1409.71</v>
      </c>
      <c r="D125" s="6">
        <f t="shared" si="2"/>
        <v>5.8004690757470501E-2</v>
      </c>
      <c r="E125" s="6">
        <f t="shared" si="3"/>
        <v>-6.0565465698371179E-3</v>
      </c>
    </row>
    <row r="126" spans="1:5" x14ac:dyDescent="0.25">
      <c r="A126" s="5">
        <v>39090</v>
      </c>
      <c r="B126">
        <v>505</v>
      </c>
      <c r="C126">
        <v>1430.73</v>
      </c>
      <c r="D126" s="6">
        <f t="shared" si="2"/>
        <v>3.6556579568546077E-2</v>
      </c>
      <c r="E126" s="6">
        <f t="shared" si="3"/>
        <v>1.4910868192748783E-2</v>
      </c>
    </row>
    <row r="127" spans="1:5" x14ac:dyDescent="0.25">
      <c r="A127" s="5">
        <v>39098</v>
      </c>
      <c r="B127">
        <v>489.75</v>
      </c>
      <c r="C127">
        <v>1430.5</v>
      </c>
      <c r="D127" s="6">
        <f t="shared" si="2"/>
        <v>-3.0198019801980225E-2</v>
      </c>
      <c r="E127" s="6">
        <f t="shared" si="3"/>
        <v>-1.6075709602791921E-4</v>
      </c>
    </row>
    <row r="128" spans="1:5" x14ac:dyDescent="0.25">
      <c r="A128" s="5">
        <v>39104</v>
      </c>
      <c r="B128">
        <v>495.84</v>
      </c>
      <c r="C128">
        <v>1422.18</v>
      </c>
      <c r="D128" s="6">
        <f t="shared" si="2"/>
        <v>1.243491577335365E-2</v>
      </c>
      <c r="E128" s="6">
        <f t="shared" si="3"/>
        <v>-5.816148199930038E-3</v>
      </c>
    </row>
    <row r="129" spans="1:5" x14ac:dyDescent="0.25">
      <c r="A129" s="5">
        <v>39111</v>
      </c>
      <c r="B129">
        <v>481.5</v>
      </c>
      <c r="C129">
        <v>1448.39</v>
      </c>
      <c r="D129" s="6">
        <f t="shared" si="2"/>
        <v>-2.8920619554695048E-2</v>
      </c>
      <c r="E129" s="6">
        <f t="shared" si="3"/>
        <v>1.8429453374397164E-2</v>
      </c>
    </row>
    <row r="130" spans="1:5" x14ac:dyDescent="0.25">
      <c r="A130" s="5">
        <v>39118</v>
      </c>
      <c r="B130">
        <v>461.89</v>
      </c>
      <c r="C130">
        <v>1438.06</v>
      </c>
      <c r="D130" s="6">
        <f t="shared" si="2"/>
        <v>-4.0726895119418516E-2</v>
      </c>
      <c r="E130" s="6">
        <f t="shared" si="3"/>
        <v>-7.1320569736053052E-3</v>
      </c>
    </row>
    <row r="131" spans="1:5" x14ac:dyDescent="0.25">
      <c r="A131" s="5">
        <v>39125</v>
      </c>
      <c r="B131">
        <v>469.94</v>
      </c>
      <c r="C131">
        <v>1455.54</v>
      </c>
      <c r="D131" s="6">
        <f t="shared" si="2"/>
        <v>1.7428392041395124E-2</v>
      </c>
      <c r="E131" s="6">
        <f t="shared" si="3"/>
        <v>1.2155264731652293E-2</v>
      </c>
    </row>
    <row r="132" spans="1:5" x14ac:dyDescent="0.25">
      <c r="A132" s="5">
        <v>39133</v>
      </c>
      <c r="B132">
        <v>470.62</v>
      </c>
      <c r="C132">
        <v>1451.19</v>
      </c>
      <c r="D132" s="6">
        <f t="shared" ref="D132:D195" si="4">B132/B131-1</f>
        <v>1.4469932331786506E-3</v>
      </c>
      <c r="E132" s="6">
        <f t="shared" ref="E132:E195" si="5">C132/C131-1</f>
        <v>-2.9885815573600372E-3</v>
      </c>
    </row>
    <row r="133" spans="1:5" x14ac:dyDescent="0.25">
      <c r="A133" s="5">
        <v>39139</v>
      </c>
      <c r="B133">
        <v>438.68</v>
      </c>
      <c r="C133">
        <v>1387.17</v>
      </c>
      <c r="D133" s="6">
        <f t="shared" si="4"/>
        <v>-6.7867918915473169E-2</v>
      </c>
      <c r="E133" s="6">
        <f t="shared" si="5"/>
        <v>-4.4115518987865143E-2</v>
      </c>
    </row>
    <row r="134" spans="1:5" x14ac:dyDescent="0.25">
      <c r="A134" s="5">
        <v>39146</v>
      </c>
      <c r="B134">
        <v>452.96</v>
      </c>
      <c r="C134">
        <v>1402.84</v>
      </c>
      <c r="D134" s="6">
        <f t="shared" si="4"/>
        <v>3.255220206072762E-2</v>
      </c>
      <c r="E134" s="6">
        <f t="shared" si="5"/>
        <v>1.1296380400383388E-2</v>
      </c>
    </row>
    <row r="135" spans="1:5" x14ac:dyDescent="0.25">
      <c r="A135" s="5">
        <v>39153</v>
      </c>
      <c r="B135">
        <v>440.85</v>
      </c>
      <c r="C135">
        <v>1386.95</v>
      </c>
      <c r="D135" s="6">
        <f t="shared" si="4"/>
        <v>-2.6735252560932454E-2</v>
      </c>
      <c r="E135" s="6">
        <f t="shared" si="5"/>
        <v>-1.1327022326138358E-2</v>
      </c>
    </row>
    <row r="136" spans="1:5" x14ac:dyDescent="0.25">
      <c r="A136" s="5">
        <v>39160</v>
      </c>
      <c r="B136">
        <v>461.83</v>
      </c>
      <c r="C136">
        <v>1436.11</v>
      </c>
      <c r="D136" s="6">
        <f t="shared" si="4"/>
        <v>4.758988318021995E-2</v>
      </c>
      <c r="E136" s="6">
        <f t="shared" si="5"/>
        <v>3.5444680774360915E-2</v>
      </c>
    </row>
    <row r="137" spans="1:5" x14ac:dyDescent="0.25">
      <c r="A137" s="5">
        <v>39167</v>
      </c>
      <c r="B137">
        <v>458.16</v>
      </c>
      <c r="C137">
        <v>1420.86</v>
      </c>
      <c r="D137" s="6">
        <f t="shared" si="4"/>
        <v>-7.946647034623E-3</v>
      </c>
      <c r="E137" s="6">
        <f t="shared" si="5"/>
        <v>-1.0618963728405206E-2</v>
      </c>
    </row>
    <row r="138" spans="1:5" x14ac:dyDescent="0.25">
      <c r="A138" s="5">
        <v>39174</v>
      </c>
      <c r="B138">
        <v>471.51</v>
      </c>
      <c r="C138">
        <v>1443.76</v>
      </c>
      <c r="D138" s="6">
        <f t="shared" si="4"/>
        <v>2.9138292299633273E-2</v>
      </c>
      <c r="E138" s="6">
        <f t="shared" si="5"/>
        <v>1.6116999563644541E-2</v>
      </c>
    </row>
    <row r="139" spans="1:5" x14ac:dyDescent="0.25">
      <c r="A139" s="5">
        <v>39181</v>
      </c>
      <c r="B139">
        <v>466.29</v>
      </c>
      <c r="C139">
        <v>1452.85</v>
      </c>
      <c r="D139" s="6">
        <f t="shared" si="4"/>
        <v>-1.1070815041038351E-2</v>
      </c>
      <c r="E139" s="6">
        <f t="shared" si="5"/>
        <v>6.2960602870283378E-3</v>
      </c>
    </row>
    <row r="140" spans="1:5" x14ac:dyDescent="0.25">
      <c r="A140" s="5">
        <v>39188</v>
      </c>
      <c r="B140">
        <v>482.48</v>
      </c>
      <c r="C140">
        <v>1484.35</v>
      </c>
      <c r="D140" s="6">
        <f t="shared" si="4"/>
        <v>3.472088185463984E-2</v>
      </c>
      <c r="E140" s="6">
        <f t="shared" si="5"/>
        <v>2.1681522524692909E-2</v>
      </c>
    </row>
    <row r="141" spans="1:5" x14ac:dyDescent="0.25">
      <c r="A141" s="5">
        <v>39195</v>
      </c>
      <c r="B141">
        <v>479.01</v>
      </c>
      <c r="C141">
        <v>1494.07</v>
      </c>
      <c r="D141" s="6">
        <f t="shared" si="4"/>
        <v>-7.1920079588791985E-3</v>
      </c>
      <c r="E141" s="6">
        <f t="shared" si="5"/>
        <v>6.5483208138241711E-3</v>
      </c>
    </row>
    <row r="142" spans="1:5" x14ac:dyDescent="0.25">
      <c r="A142" s="5">
        <v>39202</v>
      </c>
      <c r="B142">
        <v>471.12</v>
      </c>
      <c r="C142">
        <v>1505.62</v>
      </c>
      <c r="D142" s="6">
        <f t="shared" si="4"/>
        <v>-1.647147241184943E-2</v>
      </c>
      <c r="E142" s="6">
        <f t="shared" si="5"/>
        <v>7.7305614864096039E-3</v>
      </c>
    </row>
    <row r="143" spans="1:5" x14ac:dyDescent="0.25">
      <c r="A143" s="5">
        <v>39209</v>
      </c>
      <c r="B143">
        <v>466.74</v>
      </c>
      <c r="C143">
        <v>1505.85</v>
      </c>
      <c r="D143" s="6">
        <f t="shared" si="4"/>
        <v>-9.2969943963321366E-3</v>
      </c>
      <c r="E143" s="6">
        <f t="shared" si="5"/>
        <v>1.5276098882854861E-4</v>
      </c>
    </row>
    <row r="144" spans="1:5" x14ac:dyDescent="0.25">
      <c r="A144" s="5">
        <v>39216</v>
      </c>
      <c r="B144">
        <v>470.32</v>
      </c>
      <c r="C144">
        <v>1522.75</v>
      </c>
      <c r="D144" s="6">
        <f t="shared" si="4"/>
        <v>7.6702232506320467E-3</v>
      </c>
      <c r="E144" s="6">
        <f t="shared" si="5"/>
        <v>1.1222897366935713E-2</v>
      </c>
    </row>
    <row r="145" spans="1:17" x14ac:dyDescent="0.25">
      <c r="A145" s="5">
        <v>39223</v>
      </c>
      <c r="B145">
        <v>483.52</v>
      </c>
      <c r="C145">
        <v>1515.73</v>
      </c>
      <c r="D145" s="6">
        <f t="shared" si="4"/>
        <v>2.8065997618642591E-2</v>
      </c>
      <c r="E145" s="6">
        <f t="shared" si="5"/>
        <v>-4.6100804465605272E-3</v>
      </c>
    </row>
    <row r="146" spans="1:17" x14ac:dyDescent="0.25">
      <c r="A146" s="5">
        <v>39231</v>
      </c>
      <c r="B146">
        <v>500.4</v>
      </c>
      <c r="C146">
        <v>1536.34</v>
      </c>
      <c r="D146" s="6">
        <f t="shared" si="4"/>
        <v>3.4910655195234952E-2</v>
      </c>
      <c r="E146" s="6">
        <f t="shared" si="5"/>
        <v>1.359740850943103E-2</v>
      </c>
    </row>
    <row r="147" spans="1:17" x14ac:dyDescent="0.25">
      <c r="A147" s="5">
        <v>39237</v>
      </c>
      <c r="B147">
        <v>515.49</v>
      </c>
      <c r="C147">
        <v>1507.67</v>
      </c>
      <c r="D147" s="6">
        <f t="shared" si="4"/>
        <v>3.015587529976016E-2</v>
      </c>
      <c r="E147" s="6">
        <f t="shared" si="5"/>
        <v>-1.8661233841467229E-2</v>
      </c>
    </row>
    <row r="148" spans="1:17" x14ac:dyDescent="0.25">
      <c r="A148" s="5">
        <v>39244</v>
      </c>
      <c r="B148">
        <v>505.89</v>
      </c>
      <c r="C148">
        <v>1532.91</v>
      </c>
      <c r="D148" s="6">
        <f t="shared" si="4"/>
        <v>-1.8623057673281762E-2</v>
      </c>
      <c r="E148" s="6">
        <f t="shared" si="5"/>
        <v>1.6741064025947328E-2</v>
      </c>
    </row>
    <row r="149" spans="1:17" x14ac:dyDescent="0.25">
      <c r="A149" s="5">
        <v>39251</v>
      </c>
      <c r="B149">
        <v>524.98</v>
      </c>
      <c r="C149">
        <v>1502.56</v>
      </c>
      <c r="D149" s="6">
        <f t="shared" si="4"/>
        <v>3.773547609164063E-2</v>
      </c>
      <c r="E149" s="6">
        <f t="shared" si="5"/>
        <v>-1.9798944491196568E-2</v>
      </c>
    </row>
    <row r="150" spans="1:17" x14ac:dyDescent="0.25">
      <c r="A150" s="5">
        <v>39258</v>
      </c>
      <c r="B150">
        <v>522.70000000000005</v>
      </c>
      <c r="C150">
        <v>1503.35</v>
      </c>
      <c r="D150" s="6">
        <f t="shared" si="4"/>
        <v>-4.343022591336787E-3</v>
      </c>
      <c r="E150" s="6">
        <f t="shared" si="5"/>
        <v>5.2576935363646271E-4</v>
      </c>
    </row>
    <row r="151" spans="1:17" x14ac:dyDescent="0.25">
      <c r="A151" s="5">
        <v>39265</v>
      </c>
      <c r="B151">
        <v>539.4</v>
      </c>
      <c r="C151">
        <v>1530.44</v>
      </c>
      <c r="D151" s="6">
        <f t="shared" si="4"/>
        <v>3.1949493017026764E-2</v>
      </c>
      <c r="E151" s="6">
        <f t="shared" si="5"/>
        <v>1.8019755878537991E-2</v>
      </c>
    </row>
    <row r="152" spans="1:17" x14ac:dyDescent="0.25">
      <c r="A152" s="5">
        <v>39272</v>
      </c>
      <c r="B152">
        <v>552.16</v>
      </c>
      <c r="C152">
        <v>1552.5</v>
      </c>
      <c r="D152" s="6">
        <f t="shared" si="4"/>
        <v>2.3655913978494647E-2</v>
      </c>
      <c r="E152" s="6">
        <f t="shared" si="5"/>
        <v>1.4414155406288431E-2</v>
      </c>
    </row>
    <row r="153" spans="1:17" x14ac:dyDescent="0.25">
      <c r="A153" s="5">
        <v>39279</v>
      </c>
      <c r="B153">
        <v>520.12</v>
      </c>
      <c r="C153">
        <v>1534.1</v>
      </c>
      <c r="D153" s="6">
        <f t="shared" si="4"/>
        <v>-5.8026658939437814E-2</v>
      </c>
      <c r="E153" s="6">
        <f t="shared" si="5"/>
        <v>-1.1851851851851891E-2</v>
      </c>
    </row>
    <row r="154" spans="1:17" x14ac:dyDescent="0.25">
      <c r="A154" s="5">
        <v>39286</v>
      </c>
      <c r="B154">
        <v>511.89</v>
      </c>
      <c r="C154">
        <v>1458.95</v>
      </c>
      <c r="D154" s="6">
        <f t="shared" si="4"/>
        <v>-1.5823271552718676E-2</v>
      </c>
      <c r="E154" s="6">
        <f t="shared" si="5"/>
        <v>-4.898637637702874E-2</v>
      </c>
    </row>
    <row r="155" spans="1:17" x14ac:dyDescent="0.25">
      <c r="A155" s="5">
        <v>39293</v>
      </c>
      <c r="B155">
        <v>503</v>
      </c>
      <c r="C155">
        <v>1433.06</v>
      </c>
      <c r="D155" s="6">
        <f t="shared" si="4"/>
        <v>-1.7367012444079788E-2</v>
      </c>
      <c r="E155" s="6">
        <f t="shared" si="5"/>
        <v>-1.7745638986942702E-2</v>
      </c>
    </row>
    <row r="156" spans="1:17" x14ac:dyDescent="0.25">
      <c r="A156" s="5">
        <v>39300</v>
      </c>
      <c r="B156">
        <v>515.75</v>
      </c>
      <c r="C156">
        <v>1453.64</v>
      </c>
      <c r="D156" s="6">
        <f t="shared" si="4"/>
        <v>2.5347912524850802E-2</v>
      </c>
      <c r="E156" s="6">
        <f t="shared" si="5"/>
        <v>1.4360878120944109E-2</v>
      </c>
      <c r="H156" t="s">
        <v>16</v>
      </c>
      <c r="L156" t="s">
        <v>16</v>
      </c>
      <c r="P156" t="s">
        <v>16</v>
      </c>
    </row>
    <row r="157" spans="1:17" x14ac:dyDescent="0.25">
      <c r="A157" s="5">
        <v>39307</v>
      </c>
      <c r="B157">
        <v>500.04</v>
      </c>
      <c r="C157">
        <v>1445.94</v>
      </c>
      <c r="D157" s="6">
        <f t="shared" si="4"/>
        <v>-3.0460494425593732E-2</v>
      </c>
      <c r="E157" s="6">
        <f t="shared" si="5"/>
        <v>-5.2970474120139777E-3</v>
      </c>
      <c r="F157" s="7">
        <f>ROUNDDOWN(MIN(F$158:F$384),1)</f>
        <v>0.9</v>
      </c>
      <c r="G157" s="7">
        <f>ROUNDUP(MAX(F$158:F$384),1)</f>
        <v>1.3</v>
      </c>
      <c r="H157" s="7">
        <v>0.1</v>
      </c>
      <c r="I157" s="7">
        <v>0.9</v>
      </c>
      <c r="J157" s="7">
        <f>ROUNDDOWN(MIN(J$158:J$384),1)</f>
        <v>0.3</v>
      </c>
      <c r="K157" s="7">
        <f>ROUNDUP(MAX(J$158:J$384),1)</f>
        <v>0.79999999999999993</v>
      </c>
      <c r="L157" s="7">
        <v>0.1</v>
      </c>
      <c r="M157" s="7">
        <v>0.9</v>
      </c>
      <c r="N157" s="8">
        <f>ROUNDDOWN(MIN(N$158:N$384),2)</f>
        <v>0.04</v>
      </c>
      <c r="O157" s="8">
        <f>ROUNDUP(MAX(N$158:N$384),2)</f>
        <v>6.0000000000000005E-2</v>
      </c>
      <c r="P157" s="8">
        <v>0.1</v>
      </c>
      <c r="Q157" s="8">
        <v>0.9</v>
      </c>
    </row>
    <row r="158" spans="1:17" x14ac:dyDescent="0.25">
      <c r="A158" s="5">
        <v>39314</v>
      </c>
      <c r="B158">
        <v>515</v>
      </c>
      <c r="C158">
        <v>1479.37</v>
      </c>
      <c r="D158" s="6">
        <f t="shared" si="4"/>
        <v>2.9917606591472579E-2</v>
      </c>
      <c r="E158" s="6">
        <f t="shared" si="5"/>
        <v>2.3119908156631563E-2</v>
      </c>
      <c r="F158" s="7">
        <f>COVAR(D3:D158,E3:E158)/(_xlfn.STDEV.P(E3:E158)^2)</f>
        <v>1.1993502887574727</v>
      </c>
      <c r="G158" s="7">
        <f>COVAR($D$3:$D$384,$E$3:$E$384)/(_xlfn.STDEV.P($E$3:$E$384)^2)</f>
        <v>1.0213028478756274</v>
      </c>
      <c r="H158" s="7">
        <f>_xlfn.PERCENTILE.EXC($F$158:$F$384,H$157)</f>
        <v>0.94871200192423011</v>
      </c>
      <c r="I158" s="7">
        <f>_xlfn.PERCENTILE.EXC($F$158:$F$384,I$157)</f>
        <v>1.1968132126328794</v>
      </c>
      <c r="J158" s="7">
        <f>CORREL(D3:D158,E3:E158)</f>
        <v>0.34439942584432132</v>
      </c>
      <c r="K158" s="7">
        <f>CORREL($D$3:$D$384,$E$3:$E$384)</f>
        <v>0.57169396305317544</v>
      </c>
      <c r="L158" s="7">
        <f>_xlfn.PERCENTILE.EXC($J$158:$J$384,L$157)</f>
        <v>0.40742280858582092</v>
      </c>
      <c r="M158" s="7">
        <f>_xlfn.PERCENTILE.EXC($J$158:$J$384,M$157)</f>
        <v>0.74448623812828751</v>
      </c>
      <c r="N158" s="8">
        <f>_xlfn.STDEV.P(D3:D158)</f>
        <v>5.079480787527936E-2</v>
      </c>
      <c r="O158" s="8">
        <f>_xlfn.STDEV.P($D$3:$D$384)</f>
        <v>4.9947703153828932E-2</v>
      </c>
      <c r="P158" s="8">
        <f>_xlfn.PERCENTILE.EXC($N$158:$N$384,P$157)</f>
        <v>4.5833356037627546E-2</v>
      </c>
      <c r="Q158" s="8">
        <f>_xlfn.PERCENTILE.EXC($N$158:$N$384,Q$157)</f>
        <v>5.0818163313850001E-2</v>
      </c>
    </row>
    <row r="159" spans="1:17" x14ac:dyDescent="0.25">
      <c r="A159" s="5">
        <v>39321</v>
      </c>
      <c r="B159">
        <v>515.25</v>
      </c>
      <c r="C159">
        <v>1473.99</v>
      </c>
      <c r="D159" s="6">
        <f t="shared" si="4"/>
        <v>4.8543689320390548E-4</v>
      </c>
      <c r="E159" s="6">
        <f t="shared" si="5"/>
        <v>-3.6366831827060464E-3</v>
      </c>
      <c r="F159" s="7">
        <f t="shared" ref="F159:F222" si="6">COVAR(D4:D159,E4:E159)/(_xlfn.STDEV.P(E4:E159)^2)</f>
        <v>1.2075267458852539</v>
      </c>
      <c r="G159" s="7">
        <f>G158</f>
        <v>1.0213028478756274</v>
      </c>
      <c r="H159" s="7">
        <f>H158</f>
        <v>0.94871200192423011</v>
      </c>
      <c r="I159" s="7">
        <f>I158</f>
        <v>1.1968132126328794</v>
      </c>
      <c r="J159" s="7">
        <f t="shared" ref="J159:J222" si="7">CORREL(D4:D159,E4:E159)</f>
        <v>0.34889470529204314</v>
      </c>
      <c r="K159" s="7">
        <f>K158</f>
        <v>0.57169396305317544</v>
      </c>
      <c r="L159" s="7">
        <f>L158</f>
        <v>0.40742280858582092</v>
      </c>
      <c r="M159" s="7">
        <f>M158</f>
        <v>0.74448623812828751</v>
      </c>
      <c r="N159" s="8">
        <f t="shared" ref="N159:N222" si="8">_xlfn.STDEV.P(D4:D159)</f>
        <v>5.0497211143485286E-2</v>
      </c>
      <c r="O159" s="8">
        <f>O158</f>
        <v>4.9947703153828932E-2</v>
      </c>
      <c r="P159" s="8">
        <f>P158</f>
        <v>4.5833356037627546E-2</v>
      </c>
      <c r="Q159" s="8">
        <f>Q158</f>
        <v>5.0818163313850001E-2</v>
      </c>
    </row>
    <row r="160" spans="1:17" x14ac:dyDescent="0.25">
      <c r="A160" s="5">
        <v>39329</v>
      </c>
      <c r="B160">
        <v>519.35</v>
      </c>
      <c r="C160">
        <v>1453.55</v>
      </c>
      <c r="D160" s="6">
        <f t="shared" si="4"/>
        <v>7.9573022804464433E-3</v>
      </c>
      <c r="E160" s="6">
        <f t="shared" si="5"/>
        <v>-1.3867122572066348E-2</v>
      </c>
      <c r="F160" s="7">
        <f t="shared" si="6"/>
        <v>1.1931385257556357</v>
      </c>
      <c r="G160" s="7">
        <f t="shared" ref="G160:G223" si="9">G159</f>
        <v>1.0213028478756274</v>
      </c>
      <c r="H160" s="7">
        <f t="shared" ref="H160:H223" si="10">H159</f>
        <v>0.94871200192423011</v>
      </c>
      <c r="I160" s="7">
        <f t="shared" ref="I160:I223" si="11">I159</f>
        <v>1.1968132126328794</v>
      </c>
      <c r="J160" s="7">
        <f t="shared" si="7"/>
        <v>0.34647585058884905</v>
      </c>
      <c r="K160" s="7">
        <f t="shared" ref="K160:K223" si="12">K159</f>
        <v>0.57169396305317544</v>
      </c>
      <c r="L160" s="7">
        <f t="shared" ref="L160:L223" si="13">L159</f>
        <v>0.40742280858582092</v>
      </c>
      <c r="M160" s="7">
        <f t="shared" ref="M160:M223" si="14">M159</f>
        <v>0.74448623812828751</v>
      </c>
      <c r="N160" s="8">
        <f t="shared" si="8"/>
        <v>5.0388548510745021E-2</v>
      </c>
      <c r="O160" s="8">
        <f t="shared" ref="O160:O223" si="15">O159</f>
        <v>4.9947703153828932E-2</v>
      </c>
      <c r="P160" s="8">
        <f t="shared" ref="P160:P223" si="16">P159</f>
        <v>4.5833356037627546E-2</v>
      </c>
      <c r="Q160" s="8">
        <f t="shared" ref="Q160:Q223" si="17">Q159</f>
        <v>5.0818163313850001E-2</v>
      </c>
    </row>
    <row r="161" spans="1:17" x14ac:dyDescent="0.25">
      <c r="A161" s="5">
        <v>39335</v>
      </c>
      <c r="B161">
        <v>528.75</v>
      </c>
      <c r="C161">
        <v>1484.25</v>
      </c>
      <c r="D161" s="6">
        <f t="shared" si="4"/>
        <v>1.8099547511312153E-2</v>
      </c>
      <c r="E161" s="6">
        <f t="shared" si="5"/>
        <v>2.1120704482129993E-2</v>
      </c>
      <c r="F161" s="7">
        <f t="shared" si="6"/>
        <v>1.176965563249307</v>
      </c>
      <c r="G161" s="7">
        <f t="shared" si="9"/>
        <v>1.0213028478756274</v>
      </c>
      <c r="H161" s="7">
        <f t="shared" si="10"/>
        <v>0.94871200192423011</v>
      </c>
      <c r="I161" s="7">
        <f t="shared" si="11"/>
        <v>1.1968132126328794</v>
      </c>
      <c r="J161" s="7">
        <f t="shared" si="7"/>
        <v>0.34844523130065508</v>
      </c>
      <c r="K161" s="7">
        <f t="shared" si="12"/>
        <v>0.57169396305317544</v>
      </c>
      <c r="L161" s="7">
        <f t="shared" si="13"/>
        <v>0.40742280858582092</v>
      </c>
      <c r="M161" s="7">
        <f t="shared" si="14"/>
        <v>0.74448623812828751</v>
      </c>
      <c r="N161" s="8">
        <f t="shared" si="8"/>
        <v>4.9695770027665183E-2</v>
      </c>
      <c r="O161" s="8">
        <f t="shared" si="15"/>
        <v>4.9947703153828932E-2</v>
      </c>
      <c r="P161" s="8">
        <f t="shared" si="16"/>
        <v>4.5833356037627546E-2</v>
      </c>
      <c r="Q161" s="8">
        <f t="shared" si="17"/>
        <v>5.0818163313850001E-2</v>
      </c>
    </row>
    <row r="162" spans="1:17" x14ac:dyDescent="0.25">
      <c r="A162" s="5">
        <v>39342</v>
      </c>
      <c r="B162">
        <v>560.1</v>
      </c>
      <c r="C162">
        <v>1525.75</v>
      </c>
      <c r="D162" s="6">
        <f t="shared" si="4"/>
        <v>5.9290780141844079E-2</v>
      </c>
      <c r="E162" s="6">
        <f t="shared" si="5"/>
        <v>2.7960249284150196E-2</v>
      </c>
      <c r="F162" s="7">
        <f t="shared" si="6"/>
        <v>1.2068435187687214</v>
      </c>
      <c r="G162" s="7">
        <f t="shared" si="9"/>
        <v>1.0213028478756274</v>
      </c>
      <c r="H162" s="7">
        <f t="shared" si="10"/>
        <v>0.94871200192423011</v>
      </c>
      <c r="I162" s="7">
        <f t="shared" si="11"/>
        <v>1.1968132126328794</v>
      </c>
      <c r="J162" s="7">
        <f t="shared" si="7"/>
        <v>0.35802448722878988</v>
      </c>
      <c r="K162" s="7">
        <f t="shared" si="12"/>
        <v>0.57169396305317544</v>
      </c>
      <c r="L162" s="7">
        <f t="shared" si="13"/>
        <v>0.40742280858582092</v>
      </c>
      <c r="M162" s="7">
        <f t="shared" si="14"/>
        <v>0.74448623812828751</v>
      </c>
      <c r="N162" s="8">
        <f t="shared" si="8"/>
        <v>4.9840674876944928E-2</v>
      </c>
      <c r="O162" s="8">
        <f t="shared" si="15"/>
        <v>4.9947703153828932E-2</v>
      </c>
      <c r="P162" s="8">
        <f t="shared" si="16"/>
        <v>4.5833356037627546E-2</v>
      </c>
      <c r="Q162" s="8">
        <f t="shared" si="17"/>
        <v>5.0818163313850001E-2</v>
      </c>
    </row>
    <row r="163" spans="1:17" x14ac:dyDescent="0.25">
      <c r="A163" s="5">
        <v>39349</v>
      </c>
      <c r="B163">
        <v>567.27</v>
      </c>
      <c r="C163">
        <v>1526.75</v>
      </c>
      <c r="D163" s="6">
        <f t="shared" si="4"/>
        <v>1.2801285484734803E-2</v>
      </c>
      <c r="E163" s="6">
        <f t="shared" si="5"/>
        <v>6.5541536949043078E-4</v>
      </c>
      <c r="F163" s="7">
        <f t="shared" si="6"/>
        <v>1.1686797443072303</v>
      </c>
      <c r="G163" s="7">
        <f t="shared" si="9"/>
        <v>1.0213028478756274</v>
      </c>
      <c r="H163" s="7">
        <f t="shared" si="10"/>
        <v>0.94871200192423011</v>
      </c>
      <c r="I163" s="7">
        <f t="shared" si="11"/>
        <v>1.1968132126328794</v>
      </c>
      <c r="J163" s="7">
        <f t="shared" si="7"/>
        <v>0.34934764501433363</v>
      </c>
      <c r="K163" s="7">
        <f t="shared" si="12"/>
        <v>0.57169396305317544</v>
      </c>
      <c r="L163" s="7">
        <f t="shared" si="13"/>
        <v>0.40742280858582092</v>
      </c>
      <c r="M163" s="7">
        <f t="shared" si="14"/>
        <v>0.74448623812828751</v>
      </c>
      <c r="N163" s="8">
        <f t="shared" si="8"/>
        <v>4.9250389708715793E-2</v>
      </c>
      <c r="O163" s="8">
        <f t="shared" si="15"/>
        <v>4.9947703153828932E-2</v>
      </c>
      <c r="P163" s="8">
        <f t="shared" si="16"/>
        <v>4.5833356037627546E-2</v>
      </c>
      <c r="Q163" s="8">
        <f t="shared" si="17"/>
        <v>5.0818163313850001E-2</v>
      </c>
    </row>
    <row r="164" spans="1:17" x14ac:dyDescent="0.25">
      <c r="A164" s="5">
        <v>39356</v>
      </c>
      <c r="B164">
        <v>594.04999999999995</v>
      </c>
      <c r="C164">
        <v>1557.59</v>
      </c>
      <c r="D164" s="6">
        <f t="shared" si="4"/>
        <v>4.7208560297565594E-2</v>
      </c>
      <c r="E164" s="6">
        <f t="shared" si="5"/>
        <v>2.0199770754871338E-2</v>
      </c>
      <c r="F164" s="7">
        <f t="shared" si="6"/>
        <v>1.189254561691756</v>
      </c>
      <c r="G164" s="7">
        <f t="shared" si="9"/>
        <v>1.0213028478756274</v>
      </c>
      <c r="H164" s="7">
        <f t="shared" si="10"/>
        <v>0.94871200192423011</v>
      </c>
      <c r="I164" s="7">
        <f t="shared" si="11"/>
        <v>1.1968132126328794</v>
      </c>
      <c r="J164" s="7">
        <f t="shared" si="7"/>
        <v>0.3563906380464944</v>
      </c>
      <c r="K164" s="7">
        <f t="shared" si="12"/>
        <v>0.57169396305317544</v>
      </c>
      <c r="L164" s="7">
        <f t="shared" si="13"/>
        <v>0.40742280858582092</v>
      </c>
      <c r="M164" s="7">
        <f t="shared" si="14"/>
        <v>0.74448623812828751</v>
      </c>
      <c r="N164" s="8">
        <f t="shared" si="8"/>
        <v>4.9285695052059479E-2</v>
      </c>
      <c r="O164" s="8">
        <f t="shared" si="15"/>
        <v>4.9947703153828932E-2</v>
      </c>
      <c r="P164" s="8">
        <f t="shared" si="16"/>
        <v>4.5833356037627546E-2</v>
      </c>
      <c r="Q164" s="8">
        <f t="shared" si="17"/>
        <v>5.0818163313850001E-2</v>
      </c>
    </row>
    <row r="165" spans="1:17" x14ac:dyDescent="0.25">
      <c r="A165" s="5">
        <v>39363</v>
      </c>
      <c r="B165">
        <v>637.39</v>
      </c>
      <c r="C165">
        <v>1561.8</v>
      </c>
      <c r="D165" s="6">
        <f t="shared" si="4"/>
        <v>7.2956821816345441E-2</v>
      </c>
      <c r="E165" s="6">
        <f t="shared" si="5"/>
        <v>2.7028935727630987E-3</v>
      </c>
      <c r="F165" s="7">
        <f t="shared" si="6"/>
        <v>1.2131145365146059</v>
      </c>
      <c r="G165" s="7">
        <f t="shared" si="9"/>
        <v>1.0213028478756274</v>
      </c>
      <c r="H165" s="7">
        <f t="shared" si="10"/>
        <v>0.94871200192423011</v>
      </c>
      <c r="I165" s="7">
        <f t="shared" si="11"/>
        <v>1.1968132126328794</v>
      </c>
      <c r="J165" s="7">
        <f t="shared" si="7"/>
        <v>0.36114804975383541</v>
      </c>
      <c r="K165" s="7">
        <f t="shared" si="12"/>
        <v>0.57169396305317544</v>
      </c>
      <c r="L165" s="7">
        <f t="shared" si="13"/>
        <v>0.40742280858582092</v>
      </c>
      <c r="M165" s="7">
        <f t="shared" si="14"/>
        <v>0.74448623812828751</v>
      </c>
      <c r="N165" s="8">
        <f t="shared" si="8"/>
        <v>4.9454950994894754E-2</v>
      </c>
      <c r="O165" s="8">
        <f t="shared" si="15"/>
        <v>4.9947703153828932E-2</v>
      </c>
      <c r="P165" s="8">
        <f t="shared" si="16"/>
        <v>4.5833356037627546E-2</v>
      </c>
      <c r="Q165" s="8">
        <f t="shared" si="17"/>
        <v>5.0818163313850001E-2</v>
      </c>
    </row>
    <row r="166" spans="1:17" x14ac:dyDescent="0.25">
      <c r="A166" s="5">
        <v>39370</v>
      </c>
      <c r="B166">
        <v>644.71</v>
      </c>
      <c r="C166">
        <v>1500.63</v>
      </c>
      <c r="D166" s="6">
        <f t="shared" si="4"/>
        <v>1.1484334551844277E-2</v>
      </c>
      <c r="E166" s="6">
        <f t="shared" si="5"/>
        <v>-3.9166346523242357E-2</v>
      </c>
      <c r="F166" s="7">
        <f t="shared" si="6"/>
        <v>1.2300082687280374</v>
      </c>
      <c r="G166" s="7">
        <f t="shared" si="9"/>
        <v>1.0213028478756274</v>
      </c>
      <c r="H166" s="7">
        <f t="shared" si="10"/>
        <v>0.94871200192423011</v>
      </c>
      <c r="I166" s="7">
        <f t="shared" si="11"/>
        <v>1.1968132126328794</v>
      </c>
      <c r="J166" s="7">
        <f t="shared" si="7"/>
        <v>0.39266861531477992</v>
      </c>
      <c r="K166" s="7">
        <f t="shared" si="12"/>
        <v>0.57169396305317544</v>
      </c>
      <c r="L166" s="7">
        <f t="shared" si="13"/>
        <v>0.40742280858582092</v>
      </c>
      <c r="M166" s="7">
        <f t="shared" si="14"/>
        <v>0.74448623812828751</v>
      </c>
      <c r="N166" s="8">
        <f t="shared" si="8"/>
        <v>4.7151365016833695E-2</v>
      </c>
      <c r="O166" s="8">
        <f t="shared" si="15"/>
        <v>4.9947703153828932E-2</v>
      </c>
      <c r="P166" s="8">
        <f t="shared" si="16"/>
        <v>4.5833356037627546E-2</v>
      </c>
      <c r="Q166" s="8">
        <f t="shared" si="17"/>
        <v>5.0818163313850001E-2</v>
      </c>
    </row>
    <row r="167" spans="1:17" x14ac:dyDescent="0.25">
      <c r="A167" s="5">
        <v>39377</v>
      </c>
      <c r="B167">
        <v>674.6</v>
      </c>
      <c r="C167">
        <v>1535.28</v>
      </c>
      <c r="D167" s="6">
        <f t="shared" si="4"/>
        <v>4.6361930170154109E-2</v>
      </c>
      <c r="E167" s="6">
        <f t="shared" si="5"/>
        <v>2.3090302073129232E-2</v>
      </c>
      <c r="F167" s="7">
        <f t="shared" si="6"/>
        <v>1.1862016687490933</v>
      </c>
      <c r="G167" s="7">
        <f t="shared" si="9"/>
        <v>1.0213028478756274</v>
      </c>
      <c r="H167" s="7">
        <f t="shared" si="10"/>
        <v>0.94871200192423011</v>
      </c>
      <c r="I167" s="7">
        <f t="shared" si="11"/>
        <v>1.1968132126328794</v>
      </c>
      <c r="J167" s="7">
        <f t="shared" si="7"/>
        <v>0.38077909173848196</v>
      </c>
      <c r="K167" s="7">
        <f t="shared" si="12"/>
        <v>0.57169396305317544</v>
      </c>
      <c r="L167" s="7">
        <f t="shared" si="13"/>
        <v>0.40742280858582092</v>
      </c>
      <c r="M167" s="7">
        <f t="shared" si="14"/>
        <v>0.74448623812828751</v>
      </c>
      <c r="N167" s="8">
        <f t="shared" si="8"/>
        <v>4.6612014510231399E-2</v>
      </c>
      <c r="O167" s="8">
        <f t="shared" si="15"/>
        <v>4.9947703153828932E-2</v>
      </c>
      <c r="P167" s="8">
        <f t="shared" si="16"/>
        <v>4.5833356037627546E-2</v>
      </c>
      <c r="Q167" s="8">
        <f t="shared" si="17"/>
        <v>5.0818163313850001E-2</v>
      </c>
    </row>
    <row r="168" spans="1:17" x14ac:dyDescent="0.25">
      <c r="A168" s="5">
        <v>39384</v>
      </c>
      <c r="B168">
        <v>711.25</v>
      </c>
      <c r="C168">
        <v>1509.65</v>
      </c>
      <c r="D168" s="6">
        <f t="shared" si="4"/>
        <v>5.4328490957604503E-2</v>
      </c>
      <c r="E168" s="6">
        <f t="shared" si="5"/>
        <v>-1.6694023240060418E-2</v>
      </c>
      <c r="F168" s="7">
        <f t="shared" si="6"/>
        <v>1.2865784509576483</v>
      </c>
      <c r="G168" s="7">
        <f t="shared" si="9"/>
        <v>1.0213028478756274</v>
      </c>
      <c r="H168" s="7">
        <f t="shared" si="10"/>
        <v>0.94871200192423011</v>
      </c>
      <c r="I168" s="7">
        <f t="shared" si="11"/>
        <v>1.1968132126328794</v>
      </c>
      <c r="J168" s="7">
        <f t="shared" si="7"/>
        <v>0.41768531521912428</v>
      </c>
      <c r="K168" s="7">
        <f t="shared" si="12"/>
        <v>0.57169396305317544</v>
      </c>
      <c r="L168" s="7">
        <f t="shared" si="13"/>
        <v>0.40742280858582092</v>
      </c>
      <c r="M168" s="7">
        <f t="shared" si="14"/>
        <v>0.74448623812828751</v>
      </c>
      <c r="N168" s="8">
        <f t="shared" si="8"/>
        <v>4.572644465170686E-2</v>
      </c>
      <c r="O168" s="8">
        <f t="shared" si="15"/>
        <v>4.9947703153828932E-2</v>
      </c>
      <c r="P168" s="8">
        <f t="shared" si="16"/>
        <v>4.5833356037627546E-2</v>
      </c>
      <c r="Q168" s="8">
        <f t="shared" si="17"/>
        <v>5.0818163313850001E-2</v>
      </c>
    </row>
    <row r="169" spans="1:17" x14ac:dyDescent="0.25">
      <c r="A169" s="5">
        <v>39391</v>
      </c>
      <c r="B169">
        <v>663.97</v>
      </c>
      <c r="C169">
        <v>1453.7</v>
      </c>
      <c r="D169" s="6">
        <f t="shared" si="4"/>
        <v>-6.647451669595783E-2</v>
      </c>
      <c r="E169" s="6">
        <f t="shared" si="5"/>
        <v>-3.7061570562713197E-2</v>
      </c>
      <c r="F169" s="7">
        <f t="shared" si="6"/>
        <v>1.2971065624899563</v>
      </c>
      <c r="G169" s="7">
        <f t="shared" si="9"/>
        <v>1.0213028478756274</v>
      </c>
      <c r="H169" s="7">
        <f t="shared" si="10"/>
        <v>0.94871200192423011</v>
      </c>
      <c r="I169" s="7">
        <f t="shared" si="11"/>
        <v>1.1968132126328794</v>
      </c>
      <c r="J169" s="7">
        <f t="shared" si="7"/>
        <v>0.42795280146354697</v>
      </c>
      <c r="K169" s="7">
        <f t="shared" si="12"/>
        <v>0.57169396305317544</v>
      </c>
      <c r="L169" s="7">
        <f t="shared" si="13"/>
        <v>0.40742280858582092</v>
      </c>
      <c r="M169" s="7">
        <f t="shared" si="14"/>
        <v>0.74448623812828751</v>
      </c>
      <c r="N169" s="8">
        <f t="shared" si="8"/>
        <v>4.5839429344094275E-2</v>
      </c>
      <c r="O169" s="8">
        <f t="shared" si="15"/>
        <v>4.9947703153828932E-2</v>
      </c>
      <c r="P169" s="8">
        <f t="shared" si="16"/>
        <v>4.5833356037627546E-2</v>
      </c>
      <c r="Q169" s="8">
        <f t="shared" si="17"/>
        <v>5.0818163313850001E-2</v>
      </c>
    </row>
    <row r="170" spans="1:17" x14ac:dyDescent="0.25">
      <c r="A170" s="5">
        <v>39398</v>
      </c>
      <c r="B170">
        <v>633.63</v>
      </c>
      <c r="C170">
        <v>1458.74</v>
      </c>
      <c r="D170" s="6">
        <f t="shared" si="4"/>
        <v>-4.5694835610042617E-2</v>
      </c>
      <c r="E170" s="6">
        <f t="shared" si="5"/>
        <v>3.4670152025864098E-3</v>
      </c>
      <c r="F170" s="7">
        <f t="shared" si="6"/>
        <v>1.2710458302985477</v>
      </c>
      <c r="G170" s="7">
        <f t="shared" si="9"/>
        <v>1.0213028478756274</v>
      </c>
      <c r="H170" s="7">
        <f t="shared" si="10"/>
        <v>0.94871200192423011</v>
      </c>
      <c r="I170" s="7">
        <f t="shared" si="11"/>
        <v>1.1968132126328794</v>
      </c>
      <c r="J170" s="7">
        <f t="shared" si="7"/>
        <v>0.42038386304718034</v>
      </c>
      <c r="K170" s="7">
        <f t="shared" si="12"/>
        <v>0.57169396305317544</v>
      </c>
      <c r="L170" s="7">
        <f t="shared" si="13"/>
        <v>0.40742280858582092</v>
      </c>
      <c r="M170" s="7">
        <f t="shared" si="14"/>
        <v>0.74448623812828751</v>
      </c>
      <c r="N170" s="8">
        <f t="shared" si="8"/>
        <v>4.5618665953575999E-2</v>
      </c>
      <c r="O170" s="8">
        <f t="shared" si="15"/>
        <v>4.9947703153828932E-2</v>
      </c>
      <c r="P170" s="8">
        <f t="shared" si="16"/>
        <v>4.5833356037627546E-2</v>
      </c>
      <c r="Q170" s="8">
        <f t="shared" si="17"/>
        <v>5.0818163313850001E-2</v>
      </c>
    </row>
    <row r="171" spans="1:17" x14ac:dyDescent="0.25">
      <c r="A171" s="5">
        <v>39405</v>
      </c>
      <c r="B171">
        <v>676.7</v>
      </c>
      <c r="C171">
        <v>1440.7</v>
      </c>
      <c r="D171" s="6">
        <f t="shared" si="4"/>
        <v>6.7973422975553532E-2</v>
      </c>
      <c r="E171" s="6">
        <f t="shared" si="5"/>
        <v>-1.2366837133416464E-2</v>
      </c>
      <c r="F171" s="7">
        <f t="shared" si="6"/>
        <v>1.2319203865005433</v>
      </c>
      <c r="G171" s="7">
        <f t="shared" si="9"/>
        <v>1.0213028478756274</v>
      </c>
      <c r="H171" s="7">
        <f t="shared" si="10"/>
        <v>0.94871200192423011</v>
      </c>
      <c r="I171" s="7">
        <f t="shared" si="11"/>
        <v>1.1968132126328794</v>
      </c>
      <c r="J171" s="7">
        <f t="shared" si="7"/>
        <v>0.40745892028936392</v>
      </c>
      <c r="K171" s="7">
        <f t="shared" si="12"/>
        <v>0.57169396305317544</v>
      </c>
      <c r="L171" s="7">
        <f t="shared" si="13"/>
        <v>0.40742280858582092</v>
      </c>
      <c r="M171" s="7">
        <f t="shared" si="14"/>
        <v>0.74448623812828751</v>
      </c>
      <c r="N171" s="8">
        <f t="shared" si="8"/>
        <v>4.5686808077535508E-2</v>
      </c>
      <c r="O171" s="8">
        <f t="shared" si="15"/>
        <v>4.9947703153828932E-2</v>
      </c>
      <c r="P171" s="8">
        <f t="shared" si="16"/>
        <v>4.5833356037627546E-2</v>
      </c>
      <c r="Q171" s="8">
        <f t="shared" si="17"/>
        <v>5.0818163313850001E-2</v>
      </c>
    </row>
    <row r="172" spans="1:17" x14ac:dyDescent="0.25">
      <c r="A172" s="5">
        <v>39412</v>
      </c>
      <c r="B172">
        <v>693</v>
      </c>
      <c r="C172">
        <v>1481.14</v>
      </c>
      <c r="D172" s="6">
        <f t="shared" si="4"/>
        <v>2.4087483375203167E-2</v>
      </c>
      <c r="E172" s="6">
        <f t="shared" si="5"/>
        <v>2.8069688345943034E-2</v>
      </c>
      <c r="F172" s="7">
        <f t="shared" si="6"/>
        <v>1.2202213667020392</v>
      </c>
      <c r="G172" s="7">
        <f t="shared" si="9"/>
        <v>1.0213028478756274</v>
      </c>
      <c r="H172" s="7">
        <f t="shared" si="10"/>
        <v>0.94871200192423011</v>
      </c>
      <c r="I172" s="7">
        <f t="shared" si="11"/>
        <v>1.1968132126328794</v>
      </c>
      <c r="J172" s="7">
        <f t="shared" si="7"/>
        <v>0.407278361771649</v>
      </c>
      <c r="K172" s="7">
        <f t="shared" si="12"/>
        <v>0.57169396305317544</v>
      </c>
      <c r="L172" s="7">
        <f t="shared" si="13"/>
        <v>0.40742280858582092</v>
      </c>
      <c r="M172" s="7">
        <f t="shared" si="14"/>
        <v>0.74448623812828751</v>
      </c>
      <c r="N172" s="8">
        <f t="shared" si="8"/>
        <v>4.5700314210188574E-2</v>
      </c>
      <c r="O172" s="8">
        <f t="shared" si="15"/>
        <v>4.9947703153828932E-2</v>
      </c>
      <c r="P172" s="8">
        <f t="shared" si="16"/>
        <v>4.5833356037627546E-2</v>
      </c>
      <c r="Q172" s="8">
        <f t="shared" si="17"/>
        <v>5.0818163313850001E-2</v>
      </c>
    </row>
    <row r="173" spans="1:17" x14ac:dyDescent="0.25">
      <c r="A173" s="5">
        <v>39419</v>
      </c>
      <c r="B173">
        <v>714.87</v>
      </c>
      <c r="C173">
        <v>1504.66</v>
      </c>
      <c r="D173" s="6">
        <f t="shared" si="4"/>
        <v>3.1558441558441563E-2</v>
      </c>
      <c r="E173" s="6">
        <f t="shared" si="5"/>
        <v>1.5879660261690409E-2</v>
      </c>
      <c r="F173" s="7">
        <f t="shared" si="6"/>
        <v>1.215659639513617</v>
      </c>
      <c r="G173" s="7">
        <f t="shared" si="9"/>
        <v>1.0213028478756274</v>
      </c>
      <c r="H173" s="7">
        <f t="shared" si="10"/>
        <v>0.94871200192423011</v>
      </c>
      <c r="I173" s="7">
        <f t="shared" si="11"/>
        <v>1.1968132126328794</v>
      </c>
      <c r="J173" s="7">
        <f t="shared" si="7"/>
        <v>0.40865312760029315</v>
      </c>
      <c r="K173" s="7">
        <f t="shared" si="12"/>
        <v>0.57169396305317544</v>
      </c>
      <c r="L173" s="7">
        <f t="shared" si="13"/>
        <v>0.40742280858582092</v>
      </c>
      <c r="M173" s="7">
        <f t="shared" si="14"/>
        <v>0.74448623812828751</v>
      </c>
      <c r="N173" s="8">
        <f t="shared" si="8"/>
        <v>4.549286261734458E-2</v>
      </c>
      <c r="O173" s="8">
        <f t="shared" si="15"/>
        <v>4.9947703153828932E-2</v>
      </c>
      <c r="P173" s="8">
        <f t="shared" si="16"/>
        <v>4.5833356037627546E-2</v>
      </c>
      <c r="Q173" s="8">
        <f t="shared" si="17"/>
        <v>5.0818163313850001E-2</v>
      </c>
    </row>
    <row r="174" spans="1:17" x14ac:dyDescent="0.25">
      <c r="A174" s="5">
        <v>39426</v>
      </c>
      <c r="B174">
        <v>689.96</v>
      </c>
      <c r="C174">
        <v>1467.95</v>
      </c>
      <c r="D174" s="6">
        <f t="shared" si="4"/>
        <v>-3.4845496383957841E-2</v>
      </c>
      <c r="E174" s="6">
        <f t="shared" si="5"/>
        <v>-2.439753831430358E-2</v>
      </c>
      <c r="F174" s="7">
        <f t="shared" si="6"/>
        <v>1.2214828464035821</v>
      </c>
      <c r="G174" s="7">
        <f t="shared" si="9"/>
        <v>1.0213028478756274</v>
      </c>
      <c r="H174" s="7">
        <f t="shared" si="10"/>
        <v>0.94871200192423011</v>
      </c>
      <c r="I174" s="7">
        <f t="shared" si="11"/>
        <v>1.1968132126328794</v>
      </c>
      <c r="J174" s="7">
        <f t="shared" si="7"/>
        <v>0.4140004260128482</v>
      </c>
      <c r="K174" s="7">
        <f t="shared" si="12"/>
        <v>0.57169396305317544</v>
      </c>
      <c r="L174" s="7">
        <f t="shared" si="13"/>
        <v>0.40742280858582092</v>
      </c>
      <c r="M174" s="7">
        <f t="shared" si="14"/>
        <v>0.74448623812828751</v>
      </c>
      <c r="N174" s="8">
        <f t="shared" si="8"/>
        <v>4.5526128882995572E-2</v>
      </c>
      <c r="O174" s="8">
        <f t="shared" si="15"/>
        <v>4.9947703153828932E-2</v>
      </c>
      <c r="P174" s="8">
        <f t="shared" si="16"/>
        <v>4.5833356037627546E-2</v>
      </c>
      <c r="Q174" s="8">
        <f t="shared" si="17"/>
        <v>5.0818163313850001E-2</v>
      </c>
    </row>
    <row r="175" spans="1:17" x14ac:dyDescent="0.25">
      <c r="A175" s="5">
        <v>39433</v>
      </c>
      <c r="B175">
        <v>696.69</v>
      </c>
      <c r="C175">
        <v>1484.46</v>
      </c>
      <c r="D175" s="6">
        <f t="shared" si="4"/>
        <v>9.7541886486174345E-3</v>
      </c>
      <c r="E175" s="6">
        <f t="shared" si="5"/>
        <v>1.1246977076875941E-2</v>
      </c>
      <c r="F175" s="7">
        <f t="shared" si="6"/>
        <v>1.2121649780728752</v>
      </c>
      <c r="G175" s="7">
        <f t="shared" si="9"/>
        <v>1.0213028478756274</v>
      </c>
      <c r="H175" s="7">
        <f t="shared" si="10"/>
        <v>0.94871200192423011</v>
      </c>
      <c r="I175" s="7">
        <f t="shared" si="11"/>
        <v>1.1968132126328794</v>
      </c>
      <c r="J175" s="7">
        <f t="shared" si="7"/>
        <v>0.41132065056979833</v>
      </c>
      <c r="K175" s="7">
        <f t="shared" si="12"/>
        <v>0.57169396305317544</v>
      </c>
      <c r="L175" s="7">
        <f t="shared" si="13"/>
        <v>0.40742280858582092</v>
      </c>
      <c r="M175" s="7">
        <f t="shared" si="14"/>
        <v>0.74448623812828751</v>
      </c>
      <c r="N175" s="8">
        <f t="shared" si="8"/>
        <v>4.544536244343194E-2</v>
      </c>
      <c r="O175" s="8">
        <f t="shared" si="15"/>
        <v>4.9947703153828932E-2</v>
      </c>
      <c r="P175" s="8">
        <f t="shared" si="16"/>
        <v>4.5833356037627546E-2</v>
      </c>
      <c r="Q175" s="8">
        <f t="shared" si="17"/>
        <v>5.0818163313850001E-2</v>
      </c>
    </row>
    <row r="176" spans="1:17" x14ac:dyDescent="0.25">
      <c r="A176" s="5">
        <v>39440</v>
      </c>
      <c r="B176">
        <v>702.53</v>
      </c>
      <c r="C176">
        <v>1478.49</v>
      </c>
      <c r="D176" s="6">
        <f t="shared" si="4"/>
        <v>8.3824943662171858E-3</v>
      </c>
      <c r="E176" s="6">
        <f t="shared" si="5"/>
        <v>-4.0216644436360527E-3</v>
      </c>
      <c r="F176" s="7">
        <f t="shared" si="6"/>
        <v>1.21132072075845</v>
      </c>
      <c r="G176" s="7">
        <f t="shared" si="9"/>
        <v>1.0213028478756274</v>
      </c>
      <c r="H176" s="7">
        <f t="shared" si="10"/>
        <v>0.94871200192423011</v>
      </c>
      <c r="I176" s="7">
        <f t="shared" si="11"/>
        <v>1.1968132126328794</v>
      </c>
      <c r="J176" s="7">
        <f t="shared" si="7"/>
        <v>0.4113734169870053</v>
      </c>
      <c r="K176" s="7">
        <f t="shared" si="12"/>
        <v>0.57169396305317544</v>
      </c>
      <c r="L176" s="7">
        <f t="shared" si="13"/>
        <v>0.40742280858582092</v>
      </c>
      <c r="M176" s="7">
        <f t="shared" si="14"/>
        <v>0.74448623812828751</v>
      </c>
      <c r="N176" s="8">
        <f t="shared" si="8"/>
        <v>4.5425950910404259E-2</v>
      </c>
      <c r="O176" s="8">
        <f t="shared" si="15"/>
        <v>4.9947703153828932E-2</v>
      </c>
      <c r="P176" s="8">
        <f t="shared" si="16"/>
        <v>4.5833356037627546E-2</v>
      </c>
      <c r="Q176" s="8">
        <f t="shared" si="17"/>
        <v>5.0818163313850001E-2</v>
      </c>
    </row>
    <row r="177" spans="1:17" x14ac:dyDescent="0.25">
      <c r="A177" s="5">
        <v>39447</v>
      </c>
      <c r="B177">
        <v>657</v>
      </c>
      <c r="C177">
        <v>1411.63</v>
      </c>
      <c r="D177" s="6">
        <f t="shared" si="4"/>
        <v>-6.4808620272443829E-2</v>
      </c>
      <c r="E177" s="6">
        <f t="shared" si="5"/>
        <v>-4.5221814148218686E-2</v>
      </c>
      <c r="F177" s="7">
        <f t="shared" si="6"/>
        <v>1.2461608421636856</v>
      </c>
      <c r="G177" s="7">
        <f t="shared" si="9"/>
        <v>1.0213028478756274</v>
      </c>
      <c r="H177" s="7">
        <f t="shared" si="10"/>
        <v>0.94871200192423011</v>
      </c>
      <c r="I177" s="7">
        <f t="shared" si="11"/>
        <v>1.1968132126328794</v>
      </c>
      <c r="J177" s="7">
        <f t="shared" si="7"/>
        <v>0.42893159397079167</v>
      </c>
      <c r="K177" s="7">
        <f t="shared" si="12"/>
        <v>0.57169396305317544</v>
      </c>
      <c r="L177" s="7">
        <f t="shared" si="13"/>
        <v>0.40742280858582092</v>
      </c>
      <c r="M177" s="7">
        <f t="shared" si="14"/>
        <v>0.74448623812828751</v>
      </c>
      <c r="N177" s="8">
        <f t="shared" si="8"/>
        <v>4.5809062811760635E-2</v>
      </c>
      <c r="O177" s="8">
        <f t="shared" si="15"/>
        <v>4.9947703153828932E-2</v>
      </c>
      <c r="P177" s="8">
        <f t="shared" si="16"/>
        <v>4.5833356037627546E-2</v>
      </c>
      <c r="Q177" s="8">
        <f t="shared" si="17"/>
        <v>5.0818163313850001E-2</v>
      </c>
    </row>
    <row r="178" spans="1:17" x14ac:dyDescent="0.25">
      <c r="A178" s="5">
        <v>39454</v>
      </c>
      <c r="B178">
        <v>638.25</v>
      </c>
      <c r="C178">
        <v>1401.02</v>
      </c>
      <c r="D178" s="6">
        <f t="shared" si="4"/>
        <v>-2.8538812785388168E-2</v>
      </c>
      <c r="E178" s="6">
        <f t="shared" si="5"/>
        <v>-7.5161338311031667E-3</v>
      </c>
      <c r="F178" s="7">
        <f t="shared" si="6"/>
        <v>1.2538567540967693</v>
      </c>
      <c r="G178" s="7">
        <f t="shared" si="9"/>
        <v>1.0213028478756274</v>
      </c>
      <c r="H178" s="7">
        <f t="shared" si="10"/>
        <v>0.94871200192423011</v>
      </c>
      <c r="I178" s="7">
        <f t="shared" si="11"/>
        <v>1.1968132126328794</v>
      </c>
      <c r="J178" s="7">
        <f t="shared" si="7"/>
        <v>0.43139761939192078</v>
      </c>
      <c r="K178" s="7">
        <f t="shared" si="12"/>
        <v>0.57169396305317544</v>
      </c>
      <c r="L178" s="7">
        <f t="shared" si="13"/>
        <v>0.40742280858582092</v>
      </c>
      <c r="M178" s="7">
        <f t="shared" si="14"/>
        <v>0.74448623812828751</v>
      </c>
      <c r="N178" s="8">
        <f t="shared" si="8"/>
        <v>4.586948991639863E-2</v>
      </c>
      <c r="O178" s="8">
        <f t="shared" si="15"/>
        <v>4.9947703153828932E-2</v>
      </c>
      <c r="P178" s="8">
        <f t="shared" si="16"/>
        <v>4.5833356037627546E-2</v>
      </c>
      <c r="Q178" s="8">
        <f t="shared" si="17"/>
        <v>5.0818163313850001E-2</v>
      </c>
    </row>
    <row r="179" spans="1:17" x14ac:dyDescent="0.25">
      <c r="A179" s="5">
        <v>39461</v>
      </c>
      <c r="B179">
        <v>600.25</v>
      </c>
      <c r="C179">
        <v>1325.19</v>
      </c>
      <c r="D179" s="6">
        <f t="shared" si="4"/>
        <v>-5.9537798668233499E-2</v>
      </c>
      <c r="E179" s="6">
        <f t="shared" si="5"/>
        <v>-5.4124851893620263E-2</v>
      </c>
      <c r="F179" s="7">
        <f t="shared" si="6"/>
        <v>1.234888281120486</v>
      </c>
      <c r="G179" s="7">
        <f t="shared" si="9"/>
        <v>1.0213028478756274</v>
      </c>
      <c r="H179" s="7">
        <f t="shared" si="10"/>
        <v>0.94871200192423011</v>
      </c>
      <c r="I179" s="7">
        <f t="shared" si="11"/>
        <v>1.1968132126328794</v>
      </c>
      <c r="J179" s="7">
        <f t="shared" si="7"/>
        <v>0.43991141648092752</v>
      </c>
      <c r="K179" s="7">
        <f t="shared" si="12"/>
        <v>0.57169396305317544</v>
      </c>
      <c r="L179" s="7">
        <f t="shared" si="13"/>
        <v>0.40742280858582092</v>
      </c>
      <c r="M179" s="7">
        <f t="shared" si="14"/>
        <v>0.74448623812828751</v>
      </c>
      <c r="N179" s="8">
        <f t="shared" si="8"/>
        <v>4.5879668437108646E-2</v>
      </c>
      <c r="O179" s="8">
        <f t="shared" si="15"/>
        <v>4.9947703153828932E-2</v>
      </c>
      <c r="P179" s="8">
        <f t="shared" si="16"/>
        <v>4.5833356037627546E-2</v>
      </c>
      <c r="Q179" s="8">
        <f t="shared" si="17"/>
        <v>5.0818163313850001E-2</v>
      </c>
    </row>
    <row r="180" spans="1:17" x14ac:dyDescent="0.25">
      <c r="A180" s="5">
        <v>39469</v>
      </c>
      <c r="B180">
        <v>566.4</v>
      </c>
      <c r="C180">
        <v>1330.61</v>
      </c>
      <c r="D180" s="6">
        <f t="shared" si="4"/>
        <v>-5.6393169512703123E-2</v>
      </c>
      <c r="E180" s="6">
        <f t="shared" si="5"/>
        <v>4.0899795501021519E-3</v>
      </c>
      <c r="F180" s="7">
        <f t="shared" si="6"/>
        <v>1.2297138362487887</v>
      </c>
      <c r="G180" s="7">
        <f t="shared" si="9"/>
        <v>1.0213028478756274</v>
      </c>
      <c r="H180" s="7">
        <f t="shared" si="10"/>
        <v>0.94871200192423011</v>
      </c>
      <c r="I180" s="7">
        <f t="shared" si="11"/>
        <v>1.1968132126328794</v>
      </c>
      <c r="J180" s="7">
        <f t="shared" si="7"/>
        <v>0.43533815443924484</v>
      </c>
      <c r="K180" s="7">
        <f t="shared" si="12"/>
        <v>0.57169396305317544</v>
      </c>
      <c r="L180" s="7">
        <f t="shared" si="13"/>
        <v>0.40742280858582092</v>
      </c>
      <c r="M180" s="7">
        <f t="shared" si="14"/>
        <v>0.74448623812828751</v>
      </c>
      <c r="N180" s="8">
        <f t="shared" si="8"/>
        <v>4.6170534636522272E-2</v>
      </c>
      <c r="O180" s="8">
        <f t="shared" si="15"/>
        <v>4.9947703153828932E-2</v>
      </c>
      <c r="P180" s="8">
        <f t="shared" si="16"/>
        <v>4.5833356037627546E-2</v>
      </c>
      <c r="Q180" s="8">
        <f t="shared" si="17"/>
        <v>5.0818163313850001E-2</v>
      </c>
    </row>
    <row r="181" spans="1:17" x14ac:dyDescent="0.25">
      <c r="A181" s="5">
        <v>39475</v>
      </c>
      <c r="B181">
        <v>515.9</v>
      </c>
      <c r="C181">
        <v>1395.42</v>
      </c>
      <c r="D181" s="6">
        <f t="shared" si="4"/>
        <v>-8.9159604519774005E-2</v>
      </c>
      <c r="E181" s="6">
        <f t="shared" si="5"/>
        <v>4.8706984014850407E-2</v>
      </c>
      <c r="F181" s="7">
        <f t="shared" si="6"/>
        <v>1.0380190059379963</v>
      </c>
      <c r="G181" s="7">
        <f t="shared" si="9"/>
        <v>1.0213028478756274</v>
      </c>
      <c r="H181" s="7">
        <f t="shared" si="10"/>
        <v>0.94871200192423011</v>
      </c>
      <c r="I181" s="7">
        <f t="shared" si="11"/>
        <v>1.1968132126328794</v>
      </c>
      <c r="J181" s="7">
        <f t="shared" si="7"/>
        <v>0.37167558025143244</v>
      </c>
      <c r="K181" s="7">
        <f t="shared" si="12"/>
        <v>0.57169396305317544</v>
      </c>
      <c r="L181" s="7">
        <f t="shared" si="13"/>
        <v>0.40742280858582092</v>
      </c>
      <c r="M181" s="7">
        <f t="shared" si="14"/>
        <v>0.74448623812828751</v>
      </c>
      <c r="N181" s="8">
        <f t="shared" si="8"/>
        <v>4.651516892737699E-2</v>
      </c>
      <c r="O181" s="8">
        <f t="shared" si="15"/>
        <v>4.9947703153828932E-2</v>
      </c>
      <c r="P181" s="8">
        <f t="shared" si="16"/>
        <v>4.5833356037627546E-2</v>
      </c>
      <c r="Q181" s="8">
        <f t="shared" si="17"/>
        <v>5.0818163313850001E-2</v>
      </c>
    </row>
    <row r="182" spans="1:17" x14ac:dyDescent="0.25">
      <c r="A182" s="5">
        <v>39482</v>
      </c>
      <c r="B182">
        <v>516.69000000000005</v>
      </c>
      <c r="C182">
        <v>1331.29</v>
      </c>
      <c r="D182" s="6">
        <f t="shared" si="4"/>
        <v>1.5313045163793948E-3</v>
      </c>
      <c r="E182" s="6">
        <f t="shared" si="5"/>
        <v>-4.5957489501368798E-2</v>
      </c>
      <c r="F182" s="7">
        <f t="shared" si="6"/>
        <v>0.99567374784872154</v>
      </c>
      <c r="G182" s="7">
        <f t="shared" si="9"/>
        <v>1.0213028478756274</v>
      </c>
      <c r="H182" s="7">
        <f t="shared" si="10"/>
        <v>0.94871200192423011</v>
      </c>
      <c r="I182" s="7">
        <f t="shared" si="11"/>
        <v>1.1968132126328794</v>
      </c>
      <c r="J182" s="7">
        <f t="shared" si="7"/>
        <v>0.36993265181516843</v>
      </c>
      <c r="K182" s="7">
        <f t="shared" si="12"/>
        <v>0.57169396305317544</v>
      </c>
      <c r="L182" s="7">
        <f t="shared" si="13"/>
        <v>0.40742280858582092</v>
      </c>
      <c r="M182" s="7">
        <f t="shared" si="14"/>
        <v>0.74448623812828751</v>
      </c>
      <c r="N182" s="8">
        <f t="shared" si="8"/>
        <v>4.5952305215721009E-2</v>
      </c>
      <c r="O182" s="8">
        <f t="shared" si="15"/>
        <v>4.9947703153828932E-2</v>
      </c>
      <c r="P182" s="8">
        <f t="shared" si="16"/>
        <v>4.5833356037627546E-2</v>
      </c>
      <c r="Q182" s="8">
        <f t="shared" si="17"/>
        <v>5.0818163313850001E-2</v>
      </c>
    </row>
    <row r="183" spans="1:17" x14ac:dyDescent="0.25">
      <c r="A183" s="5">
        <v>39489</v>
      </c>
      <c r="B183">
        <v>529.64</v>
      </c>
      <c r="C183">
        <v>1349.99</v>
      </c>
      <c r="D183" s="6">
        <f t="shared" si="4"/>
        <v>2.5063384234260244E-2</v>
      </c>
      <c r="E183" s="6">
        <f t="shared" si="5"/>
        <v>1.4046526301557227E-2</v>
      </c>
      <c r="F183" s="7">
        <f t="shared" si="6"/>
        <v>1.0014854608090316</v>
      </c>
      <c r="G183" s="7">
        <f t="shared" si="9"/>
        <v>1.0213028478756274</v>
      </c>
      <c r="H183" s="7">
        <f t="shared" si="10"/>
        <v>0.94871200192423011</v>
      </c>
      <c r="I183" s="7">
        <f t="shared" si="11"/>
        <v>1.1968132126328794</v>
      </c>
      <c r="J183" s="7">
        <f t="shared" si="7"/>
        <v>0.3739214878158455</v>
      </c>
      <c r="K183" s="7">
        <f t="shared" si="12"/>
        <v>0.57169396305317544</v>
      </c>
      <c r="L183" s="7">
        <f t="shared" si="13"/>
        <v>0.40742280858582092</v>
      </c>
      <c r="M183" s="7">
        <f t="shared" si="14"/>
        <v>0.74448623812828751</v>
      </c>
      <c r="N183" s="8">
        <f t="shared" si="8"/>
        <v>4.5807387544203382E-2</v>
      </c>
      <c r="O183" s="8">
        <f t="shared" si="15"/>
        <v>4.9947703153828932E-2</v>
      </c>
      <c r="P183" s="8">
        <f t="shared" si="16"/>
        <v>4.5833356037627546E-2</v>
      </c>
      <c r="Q183" s="8">
        <f t="shared" si="17"/>
        <v>5.0818163313850001E-2</v>
      </c>
    </row>
    <row r="184" spans="1:17" x14ac:dyDescent="0.25">
      <c r="A184" s="5">
        <v>39497</v>
      </c>
      <c r="B184">
        <v>507.8</v>
      </c>
      <c r="C184">
        <v>1353.11</v>
      </c>
      <c r="D184" s="6">
        <f t="shared" si="4"/>
        <v>-4.1235556226871029E-2</v>
      </c>
      <c r="E184" s="6">
        <f t="shared" si="5"/>
        <v>2.3111282305794401E-3</v>
      </c>
      <c r="F184" s="7">
        <f t="shared" si="6"/>
        <v>1.0119763275213114</v>
      </c>
      <c r="G184" s="7">
        <f t="shared" si="9"/>
        <v>1.0213028478756274</v>
      </c>
      <c r="H184" s="7">
        <f t="shared" si="10"/>
        <v>0.94871200192423011</v>
      </c>
      <c r="I184" s="7">
        <f t="shared" si="11"/>
        <v>1.1968132126328794</v>
      </c>
      <c r="J184" s="7">
        <f t="shared" si="7"/>
        <v>0.37897267395048057</v>
      </c>
      <c r="K184" s="7">
        <f t="shared" si="12"/>
        <v>0.57169396305317544</v>
      </c>
      <c r="L184" s="7">
        <f t="shared" si="13"/>
        <v>0.40742280858582092</v>
      </c>
      <c r="M184" s="7">
        <f t="shared" si="14"/>
        <v>0.74448623812828751</v>
      </c>
      <c r="N184" s="8">
        <f t="shared" si="8"/>
        <v>4.5644908899332967E-2</v>
      </c>
      <c r="O184" s="8">
        <f t="shared" si="15"/>
        <v>4.9947703153828932E-2</v>
      </c>
      <c r="P184" s="8">
        <f t="shared" si="16"/>
        <v>4.5833356037627546E-2</v>
      </c>
      <c r="Q184" s="8">
        <f t="shared" si="17"/>
        <v>5.0818163313850001E-2</v>
      </c>
    </row>
    <row r="185" spans="1:17" x14ac:dyDescent="0.25">
      <c r="A185" s="5">
        <v>39503</v>
      </c>
      <c r="B185">
        <v>471.18</v>
      </c>
      <c r="C185">
        <v>1330.63</v>
      </c>
      <c r="D185" s="6">
        <f t="shared" si="4"/>
        <v>-7.2115005907837704E-2</v>
      </c>
      <c r="E185" s="6">
        <f t="shared" si="5"/>
        <v>-1.6613579088174513E-2</v>
      </c>
      <c r="F185" s="7">
        <f t="shared" si="6"/>
        <v>1.038129439552798</v>
      </c>
      <c r="G185" s="7">
        <f t="shared" si="9"/>
        <v>1.0213028478756274</v>
      </c>
      <c r="H185" s="7">
        <f t="shared" si="10"/>
        <v>0.94871200192423011</v>
      </c>
      <c r="I185" s="7">
        <f t="shared" si="11"/>
        <v>1.1968132126328794</v>
      </c>
      <c r="J185" s="7">
        <f t="shared" si="7"/>
        <v>0.38608010378300678</v>
      </c>
      <c r="K185" s="7">
        <f t="shared" si="12"/>
        <v>0.57169396305317544</v>
      </c>
      <c r="L185" s="7">
        <f t="shared" si="13"/>
        <v>0.40742280858582092</v>
      </c>
      <c r="M185" s="7">
        <f t="shared" si="14"/>
        <v>0.74448623812828751</v>
      </c>
      <c r="N185" s="8">
        <f t="shared" si="8"/>
        <v>4.608175258275711E-2</v>
      </c>
      <c r="O185" s="8">
        <f t="shared" si="15"/>
        <v>4.9947703153828932E-2</v>
      </c>
      <c r="P185" s="8">
        <f t="shared" si="16"/>
        <v>4.5833356037627546E-2</v>
      </c>
      <c r="Q185" s="8">
        <f t="shared" si="17"/>
        <v>5.0818163313850001E-2</v>
      </c>
    </row>
    <row r="186" spans="1:17" x14ac:dyDescent="0.25">
      <c r="A186" s="5">
        <v>39510</v>
      </c>
      <c r="B186">
        <v>433.35</v>
      </c>
      <c r="C186">
        <v>1293.3699999999999</v>
      </c>
      <c r="D186" s="6">
        <f t="shared" si="4"/>
        <v>-8.0287788106456093E-2</v>
      </c>
      <c r="E186" s="6">
        <f t="shared" si="5"/>
        <v>-2.8001773595966006E-2</v>
      </c>
      <c r="F186" s="7">
        <f t="shared" si="6"/>
        <v>1.0611495326926996</v>
      </c>
      <c r="G186" s="7">
        <f t="shared" si="9"/>
        <v>1.0213028478756274</v>
      </c>
      <c r="H186" s="7">
        <f t="shared" si="10"/>
        <v>0.94871200192423011</v>
      </c>
      <c r="I186" s="7">
        <f t="shared" si="11"/>
        <v>1.1968132126328794</v>
      </c>
      <c r="J186" s="7">
        <f t="shared" si="7"/>
        <v>0.3936763989743397</v>
      </c>
      <c r="K186" s="7">
        <f t="shared" si="12"/>
        <v>0.57169396305317544</v>
      </c>
      <c r="L186" s="7">
        <f t="shared" si="13"/>
        <v>0.40742280858582092</v>
      </c>
      <c r="M186" s="7">
        <f t="shared" si="14"/>
        <v>0.74448623812828751</v>
      </c>
      <c r="N186" s="8">
        <f t="shared" si="8"/>
        <v>4.6432051874263178E-2</v>
      </c>
      <c r="O186" s="8">
        <f t="shared" si="15"/>
        <v>4.9947703153828932E-2</v>
      </c>
      <c r="P186" s="8">
        <f t="shared" si="16"/>
        <v>4.5833356037627546E-2</v>
      </c>
      <c r="Q186" s="8">
        <f t="shared" si="17"/>
        <v>5.0818163313850001E-2</v>
      </c>
    </row>
    <row r="187" spans="1:17" x14ac:dyDescent="0.25">
      <c r="A187" s="5">
        <v>39517</v>
      </c>
      <c r="B187">
        <v>437.92</v>
      </c>
      <c r="C187">
        <v>1288.1400000000001</v>
      </c>
      <c r="D187" s="6">
        <f t="shared" si="4"/>
        <v>1.0545748240452291E-2</v>
      </c>
      <c r="E187" s="6">
        <f t="shared" si="5"/>
        <v>-4.04369979201602E-3</v>
      </c>
      <c r="F187" s="7">
        <f t="shared" si="6"/>
        <v>1.0634374891625429</v>
      </c>
      <c r="G187" s="7">
        <f t="shared" si="9"/>
        <v>1.0213028478756274</v>
      </c>
      <c r="H187" s="7">
        <f t="shared" si="10"/>
        <v>0.94871200192423011</v>
      </c>
      <c r="I187" s="7">
        <f t="shared" si="11"/>
        <v>1.1968132126328794</v>
      </c>
      <c r="J187" s="7">
        <f t="shared" si="7"/>
        <v>0.39425888361349992</v>
      </c>
      <c r="K187" s="7">
        <f t="shared" si="12"/>
        <v>0.57169396305317544</v>
      </c>
      <c r="L187" s="7">
        <f t="shared" si="13"/>
        <v>0.40742280858582092</v>
      </c>
      <c r="M187" s="7">
        <f t="shared" si="14"/>
        <v>0.74448623812828751</v>
      </c>
      <c r="N187" s="8">
        <f t="shared" si="8"/>
        <v>4.6430697526392034E-2</v>
      </c>
      <c r="O187" s="8">
        <f t="shared" si="15"/>
        <v>4.9947703153828932E-2</v>
      </c>
      <c r="P187" s="8">
        <f t="shared" si="16"/>
        <v>4.5833356037627546E-2</v>
      </c>
      <c r="Q187" s="8">
        <f t="shared" si="17"/>
        <v>5.0818163313850001E-2</v>
      </c>
    </row>
    <row r="188" spans="1:17" x14ac:dyDescent="0.25">
      <c r="A188" s="5">
        <v>39524</v>
      </c>
      <c r="B188">
        <v>433.55</v>
      </c>
      <c r="C188">
        <v>1329.51</v>
      </c>
      <c r="D188" s="6">
        <f t="shared" si="4"/>
        <v>-9.97899159663862E-3</v>
      </c>
      <c r="E188" s="6">
        <f t="shared" si="5"/>
        <v>3.2116074339745504E-2</v>
      </c>
      <c r="F188" s="7">
        <f t="shared" si="6"/>
        <v>1.0321324708207005</v>
      </c>
      <c r="G188" s="7">
        <f t="shared" si="9"/>
        <v>1.0213028478756274</v>
      </c>
      <c r="H188" s="7">
        <f t="shared" si="10"/>
        <v>0.94871200192423011</v>
      </c>
      <c r="I188" s="7">
        <f t="shared" si="11"/>
        <v>1.1968132126328794</v>
      </c>
      <c r="J188" s="7">
        <f t="shared" si="7"/>
        <v>0.3855306266334852</v>
      </c>
      <c r="K188" s="7">
        <f t="shared" si="12"/>
        <v>0.57169396305317544</v>
      </c>
      <c r="L188" s="7">
        <f t="shared" si="13"/>
        <v>0.40742280858582092</v>
      </c>
      <c r="M188" s="7">
        <f t="shared" si="14"/>
        <v>0.74448623812828751</v>
      </c>
      <c r="N188" s="8">
        <f t="shared" si="8"/>
        <v>4.6441465899584436E-2</v>
      </c>
      <c r="O188" s="8">
        <f t="shared" si="15"/>
        <v>4.9947703153828932E-2</v>
      </c>
      <c r="P188" s="8">
        <f t="shared" si="16"/>
        <v>4.5833356037627546E-2</v>
      </c>
      <c r="Q188" s="8">
        <f t="shared" si="17"/>
        <v>5.0818163313850001E-2</v>
      </c>
    </row>
    <row r="189" spans="1:17" x14ac:dyDescent="0.25">
      <c r="A189" s="5">
        <v>39531</v>
      </c>
      <c r="B189">
        <v>438.08</v>
      </c>
      <c r="C189">
        <v>1315.22</v>
      </c>
      <c r="D189" s="6">
        <f t="shared" si="4"/>
        <v>1.0448621842924721E-2</v>
      </c>
      <c r="E189" s="6">
        <f t="shared" si="5"/>
        <v>-1.0748320809922385E-2</v>
      </c>
      <c r="F189" s="7">
        <f t="shared" si="6"/>
        <v>1.0282538279127911</v>
      </c>
      <c r="G189" s="7">
        <f t="shared" si="9"/>
        <v>1.0213028478756274</v>
      </c>
      <c r="H189" s="7">
        <f t="shared" si="10"/>
        <v>0.94871200192423011</v>
      </c>
      <c r="I189" s="7">
        <f t="shared" si="11"/>
        <v>1.1968132126328794</v>
      </c>
      <c r="J189" s="7">
        <f t="shared" si="7"/>
        <v>0.3846337931077814</v>
      </c>
      <c r="K189" s="7">
        <f t="shared" si="12"/>
        <v>0.57169396305317544</v>
      </c>
      <c r="L189" s="7">
        <f t="shared" si="13"/>
        <v>0.40742280858582092</v>
      </c>
      <c r="M189" s="7">
        <f t="shared" si="14"/>
        <v>0.74448623812828751</v>
      </c>
      <c r="N189" s="8">
        <f t="shared" si="8"/>
        <v>4.6442014593120494E-2</v>
      </c>
      <c r="O189" s="8">
        <f t="shared" si="15"/>
        <v>4.9947703153828932E-2</v>
      </c>
      <c r="P189" s="8">
        <f t="shared" si="16"/>
        <v>4.5833356037627546E-2</v>
      </c>
      <c r="Q189" s="8">
        <f t="shared" si="17"/>
        <v>5.0818163313850001E-2</v>
      </c>
    </row>
    <row r="190" spans="1:17" x14ac:dyDescent="0.25">
      <c r="A190" s="5">
        <v>39538</v>
      </c>
      <c r="B190">
        <v>471.09</v>
      </c>
      <c r="C190">
        <v>1370.4</v>
      </c>
      <c r="D190" s="6">
        <f t="shared" si="4"/>
        <v>7.535153396639882E-2</v>
      </c>
      <c r="E190" s="6">
        <f t="shared" si="5"/>
        <v>4.1954958105868245E-2</v>
      </c>
      <c r="F190" s="7">
        <f t="shared" si="6"/>
        <v>1.0437883840743427</v>
      </c>
      <c r="G190" s="7">
        <f t="shared" si="9"/>
        <v>1.0213028478756274</v>
      </c>
      <c r="H190" s="7">
        <f t="shared" si="10"/>
        <v>0.94871200192423011</v>
      </c>
      <c r="I190" s="7">
        <f t="shared" si="11"/>
        <v>1.1968132126328794</v>
      </c>
      <c r="J190" s="7">
        <f t="shared" si="7"/>
        <v>0.39653625990914609</v>
      </c>
      <c r="K190" s="7">
        <f t="shared" si="12"/>
        <v>0.57169396305317544</v>
      </c>
      <c r="L190" s="7">
        <f t="shared" si="13"/>
        <v>0.40742280858582092</v>
      </c>
      <c r="M190" s="7">
        <f t="shared" si="14"/>
        <v>0.74448623812828751</v>
      </c>
      <c r="N190" s="8">
        <f t="shared" si="8"/>
        <v>4.651856499441738E-2</v>
      </c>
      <c r="O190" s="8">
        <f t="shared" si="15"/>
        <v>4.9947703153828932E-2</v>
      </c>
      <c r="P190" s="8">
        <f t="shared" si="16"/>
        <v>4.5833356037627546E-2</v>
      </c>
      <c r="Q190" s="8">
        <f t="shared" si="17"/>
        <v>5.0818163313850001E-2</v>
      </c>
    </row>
    <row r="191" spans="1:17" x14ac:dyDescent="0.25">
      <c r="A191" s="5">
        <v>39545</v>
      </c>
      <c r="B191">
        <v>457.45</v>
      </c>
      <c r="C191">
        <v>1332.83</v>
      </c>
      <c r="D191" s="6">
        <f t="shared" si="4"/>
        <v>-2.8954127661381057E-2</v>
      </c>
      <c r="E191" s="6">
        <f t="shared" si="5"/>
        <v>-2.7415353181552971E-2</v>
      </c>
      <c r="F191" s="7">
        <f t="shared" si="6"/>
        <v>1.0415433119439783</v>
      </c>
      <c r="G191" s="7">
        <f t="shared" si="9"/>
        <v>1.0213028478756274</v>
      </c>
      <c r="H191" s="7">
        <f t="shared" si="10"/>
        <v>0.94871200192423011</v>
      </c>
      <c r="I191" s="7">
        <f t="shared" si="11"/>
        <v>1.1968132126328794</v>
      </c>
      <c r="J191" s="7">
        <f t="shared" si="7"/>
        <v>0.3947134033800504</v>
      </c>
      <c r="K191" s="7">
        <f t="shared" si="12"/>
        <v>0.57169396305317544</v>
      </c>
      <c r="L191" s="7">
        <f t="shared" si="13"/>
        <v>0.40742280858582092</v>
      </c>
      <c r="M191" s="7">
        <f t="shared" si="14"/>
        <v>0.74448623812828751</v>
      </c>
      <c r="N191" s="8">
        <f t="shared" si="8"/>
        <v>4.647611902248288E-2</v>
      </c>
      <c r="O191" s="8">
        <f t="shared" si="15"/>
        <v>4.9947703153828932E-2</v>
      </c>
      <c r="P191" s="8">
        <f t="shared" si="16"/>
        <v>4.5833356037627546E-2</v>
      </c>
      <c r="Q191" s="8">
        <f t="shared" si="17"/>
        <v>5.0818163313850001E-2</v>
      </c>
    </row>
    <row r="192" spans="1:17" x14ac:dyDescent="0.25">
      <c r="A192" s="5">
        <v>39552</v>
      </c>
      <c r="B192">
        <v>539.41</v>
      </c>
      <c r="C192">
        <v>1390.33</v>
      </c>
      <c r="D192" s="6">
        <f t="shared" si="4"/>
        <v>0.17916712208984586</v>
      </c>
      <c r="E192" s="6">
        <f t="shared" si="5"/>
        <v>4.3141285835402776E-2</v>
      </c>
      <c r="F192" s="7">
        <f t="shared" si="6"/>
        <v>1.1276139578577775</v>
      </c>
      <c r="G192" s="7">
        <f t="shared" si="9"/>
        <v>1.0213028478756274</v>
      </c>
      <c r="H192" s="7">
        <f t="shared" si="10"/>
        <v>0.94871200192423011</v>
      </c>
      <c r="I192" s="7">
        <f t="shared" si="11"/>
        <v>1.1968132126328794</v>
      </c>
      <c r="J192" s="7">
        <f t="shared" si="7"/>
        <v>0.43211427435069016</v>
      </c>
      <c r="K192" s="7">
        <f t="shared" si="12"/>
        <v>0.57169396305317544</v>
      </c>
      <c r="L192" s="7">
        <f t="shared" si="13"/>
        <v>0.40742280858582092</v>
      </c>
      <c r="M192" s="7">
        <f t="shared" si="14"/>
        <v>0.74448623812828751</v>
      </c>
      <c r="N192" s="8">
        <f t="shared" si="8"/>
        <v>4.6764179380512715E-2</v>
      </c>
      <c r="O192" s="8">
        <f t="shared" si="15"/>
        <v>4.9947703153828932E-2</v>
      </c>
      <c r="P192" s="8">
        <f t="shared" si="16"/>
        <v>4.5833356037627546E-2</v>
      </c>
      <c r="Q192" s="8">
        <f t="shared" si="17"/>
        <v>5.0818163313850001E-2</v>
      </c>
    </row>
    <row r="193" spans="1:17" x14ac:dyDescent="0.25">
      <c r="A193" s="5">
        <v>39559</v>
      </c>
      <c r="B193">
        <v>544.05999999999995</v>
      </c>
      <c r="C193">
        <v>1397.84</v>
      </c>
      <c r="D193" s="6">
        <f t="shared" si="4"/>
        <v>8.6205298381565321E-3</v>
      </c>
      <c r="E193" s="6">
        <f t="shared" si="5"/>
        <v>5.4015953047117371E-3</v>
      </c>
      <c r="F193" s="7">
        <f t="shared" si="6"/>
        <v>1.1268709668744814</v>
      </c>
      <c r="G193" s="7">
        <f t="shared" si="9"/>
        <v>1.0213028478756274</v>
      </c>
      <c r="H193" s="7">
        <f t="shared" si="10"/>
        <v>0.94871200192423011</v>
      </c>
      <c r="I193" s="7">
        <f t="shared" si="11"/>
        <v>1.1968132126328794</v>
      </c>
      <c r="J193" s="7">
        <f t="shared" si="7"/>
        <v>0.43196408237409173</v>
      </c>
      <c r="K193" s="7">
        <f t="shared" si="12"/>
        <v>0.57169396305317544</v>
      </c>
      <c r="L193" s="7">
        <f t="shared" si="13"/>
        <v>0.40742280858582092</v>
      </c>
      <c r="M193" s="7">
        <f t="shared" si="14"/>
        <v>0.74448623812828751</v>
      </c>
      <c r="N193" s="8">
        <f t="shared" si="8"/>
        <v>4.6753706227330327E-2</v>
      </c>
      <c r="O193" s="8">
        <f t="shared" si="15"/>
        <v>4.9947703153828932E-2</v>
      </c>
      <c r="P193" s="8">
        <f t="shared" si="16"/>
        <v>4.5833356037627546E-2</v>
      </c>
      <c r="Q193" s="8">
        <f t="shared" si="17"/>
        <v>5.0818163313850001E-2</v>
      </c>
    </row>
    <row r="194" spans="1:17" x14ac:dyDescent="0.25">
      <c r="A194" s="5">
        <v>39566</v>
      </c>
      <c r="B194">
        <v>581.29</v>
      </c>
      <c r="C194">
        <v>1413.9</v>
      </c>
      <c r="D194" s="6">
        <f t="shared" si="4"/>
        <v>6.8429952578759723E-2</v>
      </c>
      <c r="E194" s="6">
        <f t="shared" si="5"/>
        <v>1.1489154695816461E-2</v>
      </c>
      <c r="F194" s="7">
        <f t="shared" si="6"/>
        <v>1.1332161003619448</v>
      </c>
      <c r="G194" s="7">
        <f t="shared" si="9"/>
        <v>1.0213028478756274</v>
      </c>
      <c r="H194" s="7">
        <f t="shared" si="10"/>
        <v>0.94871200192423011</v>
      </c>
      <c r="I194" s="7">
        <f t="shared" si="11"/>
        <v>1.1968132126328794</v>
      </c>
      <c r="J194" s="7">
        <f t="shared" si="7"/>
        <v>0.43246148287185598</v>
      </c>
      <c r="K194" s="7">
        <f t="shared" si="12"/>
        <v>0.57169396305317544</v>
      </c>
      <c r="L194" s="7">
        <f t="shared" si="13"/>
        <v>0.40742280858582092</v>
      </c>
      <c r="M194" s="7">
        <f t="shared" si="14"/>
        <v>0.74448623812828751</v>
      </c>
      <c r="N194" s="8">
        <f t="shared" si="8"/>
        <v>4.6952466885590204E-2</v>
      </c>
      <c r="O194" s="8">
        <f t="shared" si="15"/>
        <v>4.9947703153828932E-2</v>
      </c>
      <c r="P194" s="8">
        <f t="shared" si="16"/>
        <v>4.5833356037627546E-2</v>
      </c>
      <c r="Q194" s="8">
        <f t="shared" si="17"/>
        <v>5.0818163313850001E-2</v>
      </c>
    </row>
    <row r="195" spans="1:17" x14ac:dyDescent="0.25">
      <c r="A195" s="5">
        <v>39573</v>
      </c>
      <c r="B195">
        <v>573.20000000000005</v>
      </c>
      <c r="C195">
        <v>1388.28</v>
      </c>
      <c r="D195" s="6">
        <f t="shared" si="4"/>
        <v>-1.3917321818713413E-2</v>
      </c>
      <c r="E195" s="6">
        <f t="shared" si="5"/>
        <v>-1.8120093358794942E-2</v>
      </c>
      <c r="F195" s="7">
        <f t="shared" si="6"/>
        <v>1.1381117906839842</v>
      </c>
      <c r="G195" s="7">
        <f t="shared" si="9"/>
        <v>1.0213028478756274</v>
      </c>
      <c r="H195" s="7">
        <f t="shared" si="10"/>
        <v>0.94871200192423011</v>
      </c>
      <c r="I195" s="7">
        <f t="shared" si="11"/>
        <v>1.1968132126328794</v>
      </c>
      <c r="J195" s="7">
        <f t="shared" si="7"/>
        <v>0.4345709386651086</v>
      </c>
      <c r="K195" s="7">
        <f t="shared" si="12"/>
        <v>0.57169396305317544</v>
      </c>
      <c r="L195" s="7">
        <f t="shared" si="13"/>
        <v>0.40742280858582092</v>
      </c>
      <c r="M195" s="7">
        <f t="shared" si="14"/>
        <v>0.74448623812828751</v>
      </c>
      <c r="N195" s="8">
        <f t="shared" si="8"/>
        <v>4.6982269085548721E-2</v>
      </c>
      <c r="O195" s="8">
        <f t="shared" si="15"/>
        <v>4.9947703153828932E-2</v>
      </c>
      <c r="P195" s="8">
        <f t="shared" si="16"/>
        <v>4.5833356037627546E-2</v>
      </c>
      <c r="Q195" s="8">
        <f t="shared" si="17"/>
        <v>5.0818163313850001E-2</v>
      </c>
    </row>
    <row r="196" spans="1:17" x14ac:dyDescent="0.25">
      <c r="A196" s="5">
        <v>39580</v>
      </c>
      <c r="B196">
        <v>580.07000000000005</v>
      </c>
      <c r="C196">
        <v>1425.35</v>
      </c>
      <c r="D196" s="6">
        <f t="shared" ref="D196:D259" si="18">B196/B195-1</f>
        <v>1.1985345429169625E-2</v>
      </c>
      <c r="E196" s="6">
        <f t="shared" ref="E196:E259" si="19">C196/C195-1</f>
        <v>2.6702106203359444E-2</v>
      </c>
      <c r="F196" s="7">
        <f t="shared" si="6"/>
        <v>1.1179604708736945</v>
      </c>
      <c r="G196" s="7">
        <f t="shared" si="9"/>
        <v>1.0213028478756274</v>
      </c>
      <c r="H196" s="7">
        <f t="shared" si="10"/>
        <v>0.94871200192423011</v>
      </c>
      <c r="I196" s="7">
        <f t="shared" si="11"/>
        <v>1.1968132126328794</v>
      </c>
      <c r="J196" s="7">
        <f t="shared" si="7"/>
        <v>0.42735114257864448</v>
      </c>
      <c r="K196" s="7">
        <f t="shared" si="12"/>
        <v>0.57169396305317544</v>
      </c>
      <c r="L196" s="7">
        <f t="shared" si="13"/>
        <v>0.40742280858582092</v>
      </c>
      <c r="M196" s="7">
        <f t="shared" si="14"/>
        <v>0.74448623812828751</v>
      </c>
      <c r="N196" s="8">
        <f t="shared" si="8"/>
        <v>4.6832436952321421E-2</v>
      </c>
      <c r="O196" s="8">
        <f t="shared" si="15"/>
        <v>4.9947703153828932E-2</v>
      </c>
      <c r="P196" s="8">
        <f t="shared" si="16"/>
        <v>4.5833356037627546E-2</v>
      </c>
      <c r="Q196" s="8">
        <f t="shared" si="17"/>
        <v>5.0818163313850001E-2</v>
      </c>
    </row>
    <row r="197" spans="1:17" x14ac:dyDescent="0.25">
      <c r="A197" s="5">
        <v>39587</v>
      </c>
      <c r="B197">
        <v>544.62</v>
      </c>
      <c r="C197">
        <v>1375.93</v>
      </c>
      <c r="D197" s="6">
        <f t="shared" si="18"/>
        <v>-6.111331391039021E-2</v>
      </c>
      <c r="E197" s="6">
        <f t="shared" si="19"/>
        <v>-3.4672185778931386E-2</v>
      </c>
      <c r="F197" s="7">
        <f t="shared" si="6"/>
        <v>1.1254442331976942</v>
      </c>
      <c r="G197" s="7">
        <f t="shared" si="9"/>
        <v>1.0213028478756274</v>
      </c>
      <c r="H197" s="7">
        <f t="shared" si="10"/>
        <v>0.94871200192423011</v>
      </c>
      <c r="I197" s="7">
        <f t="shared" si="11"/>
        <v>1.1968132126328794</v>
      </c>
      <c r="J197" s="7">
        <f t="shared" si="7"/>
        <v>0.43836986018289098</v>
      </c>
      <c r="K197" s="7">
        <f t="shared" si="12"/>
        <v>0.57169396305317544</v>
      </c>
      <c r="L197" s="7">
        <f t="shared" si="13"/>
        <v>0.40742280858582092</v>
      </c>
      <c r="M197" s="7">
        <f t="shared" si="14"/>
        <v>0.74448623812828751</v>
      </c>
      <c r="N197" s="8">
        <f t="shared" si="8"/>
        <v>4.6527141663108791E-2</v>
      </c>
      <c r="O197" s="8">
        <f t="shared" si="15"/>
        <v>4.9947703153828932E-2</v>
      </c>
      <c r="P197" s="8">
        <f t="shared" si="16"/>
        <v>4.5833356037627546E-2</v>
      </c>
      <c r="Q197" s="8">
        <f t="shared" si="17"/>
        <v>5.0818163313850001E-2</v>
      </c>
    </row>
    <row r="198" spans="1:17" x14ac:dyDescent="0.25">
      <c r="A198" s="5">
        <v>39595</v>
      </c>
      <c r="B198">
        <v>585.79999999999995</v>
      </c>
      <c r="C198">
        <v>1400.38</v>
      </c>
      <c r="D198" s="6">
        <f t="shared" si="18"/>
        <v>7.5612353567624968E-2</v>
      </c>
      <c r="E198" s="6">
        <f t="shared" si="19"/>
        <v>1.7769799335721981E-2</v>
      </c>
      <c r="F198" s="7">
        <f t="shared" si="6"/>
        <v>1.1454051687076792</v>
      </c>
      <c r="G198" s="7">
        <f t="shared" si="9"/>
        <v>1.0213028478756274</v>
      </c>
      <c r="H198" s="7">
        <f t="shared" si="10"/>
        <v>0.94871200192423011</v>
      </c>
      <c r="I198" s="7">
        <f t="shared" si="11"/>
        <v>1.1968132126328794</v>
      </c>
      <c r="J198" s="7">
        <f t="shared" si="7"/>
        <v>0.44559483653461568</v>
      </c>
      <c r="K198" s="7">
        <f t="shared" si="12"/>
        <v>0.57169396305317544</v>
      </c>
      <c r="L198" s="7">
        <f t="shared" si="13"/>
        <v>0.40742280858582092</v>
      </c>
      <c r="M198" s="7">
        <f t="shared" si="14"/>
        <v>0.74448623812828751</v>
      </c>
      <c r="N198" s="8">
        <f t="shared" si="8"/>
        <v>4.6705236276469886E-2</v>
      </c>
      <c r="O198" s="8">
        <f t="shared" si="15"/>
        <v>4.9947703153828932E-2</v>
      </c>
      <c r="P198" s="8">
        <f t="shared" si="16"/>
        <v>4.5833356037627546E-2</v>
      </c>
      <c r="Q198" s="8">
        <f t="shared" si="17"/>
        <v>5.0818163313850001E-2</v>
      </c>
    </row>
    <row r="199" spans="1:17" x14ac:dyDescent="0.25">
      <c r="A199" s="5">
        <v>39601</v>
      </c>
      <c r="B199">
        <v>567</v>
      </c>
      <c r="C199">
        <v>1360.68</v>
      </c>
      <c r="D199" s="6">
        <f t="shared" si="18"/>
        <v>-3.2092864458859616E-2</v>
      </c>
      <c r="E199" s="6">
        <f t="shared" si="19"/>
        <v>-2.8349448006969591E-2</v>
      </c>
      <c r="F199" s="7">
        <f t="shared" si="6"/>
        <v>1.147675920216028</v>
      </c>
      <c r="G199" s="7">
        <f t="shared" si="9"/>
        <v>1.0213028478756274</v>
      </c>
      <c r="H199" s="7">
        <f t="shared" si="10"/>
        <v>0.94871200192423011</v>
      </c>
      <c r="I199" s="7">
        <f t="shared" si="11"/>
        <v>1.1968132126328794</v>
      </c>
      <c r="J199" s="7">
        <f t="shared" si="7"/>
        <v>0.44927712656098706</v>
      </c>
      <c r="K199" s="7">
        <f t="shared" si="12"/>
        <v>0.57169396305317544</v>
      </c>
      <c r="L199" s="7">
        <f t="shared" si="13"/>
        <v>0.40742280858582092</v>
      </c>
      <c r="M199" s="7">
        <f t="shared" si="14"/>
        <v>0.74448623812828751</v>
      </c>
      <c r="N199" s="8">
        <f t="shared" si="8"/>
        <v>4.6802747796234834E-2</v>
      </c>
      <c r="O199" s="8">
        <f t="shared" si="15"/>
        <v>4.9947703153828932E-2</v>
      </c>
      <c r="P199" s="8">
        <f t="shared" si="16"/>
        <v>4.5833356037627546E-2</v>
      </c>
      <c r="Q199" s="8">
        <f t="shared" si="17"/>
        <v>5.0818163313850001E-2</v>
      </c>
    </row>
    <row r="200" spans="1:17" x14ac:dyDescent="0.25">
      <c r="A200" s="5">
        <v>39608</v>
      </c>
      <c r="B200">
        <v>571.51</v>
      </c>
      <c r="C200">
        <v>1360.03</v>
      </c>
      <c r="D200" s="6">
        <f t="shared" si="18"/>
        <v>7.9541446208113431E-3</v>
      </c>
      <c r="E200" s="6">
        <f t="shared" si="19"/>
        <v>-4.7770232530797152E-4</v>
      </c>
      <c r="F200" s="7">
        <f t="shared" si="6"/>
        <v>1.1561931500491163</v>
      </c>
      <c r="G200" s="7">
        <f t="shared" si="9"/>
        <v>1.0213028478756274</v>
      </c>
      <c r="H200" s="7">
        <f t="shared" si="10"/>
        <v>0.94871200192423011</v>
      </c>
      <c r="I200" s="7">
        <f t="shared" si="11"/>
        <v>1.1968132126328794</v>
      </c>
      <c r="J200" s="7">
        <f t="shared" si="7"/>
        <v>0.45178744224862993</v>
      </c>
      <c r="K200" s="7">
        <f t="shared" si="12"/>
        <v>0.57169396305317544</v>
      </c>
      <c r="L200" s="7">
        <f t="shared" si="13"/>
        <v>0.40742280858582092</v>
      </c>
      <c r="M200" s="7">
        <f t="shared" si="14"/>
        <v>0.74448623812828751</v>
      </c>
      <c r="N200" s="8">
        <f t="shared" si="8"/>
        <v>4.6790821268430101E-2</v>
      </c>
      <c r="O200" s="8">
        <f t="shared" si="15"/>
        <v>4.9947703153828932E-2</v>
      </c>
      <c r="P200" s="8">
        <f t="shared" si="16"/>
        <v>4.5833356037627546E-2</v>
      </c>
      <c r="Q200" s="8">
        <f t="shared" si="17"/>
        <v>5.0818163313850001E-2</v>
      </c>
    </row>
    <row r="201" spans="1:17" x14ac:dyDescent="0.25">
      <c r="A201" s="5">
        <v>39615</v>
      </c>
      <c r="B201">
        <v>546.42999999999995</v>
      </c>
      <c r="C201">
        <v>1317.93</v>
      </c>
      <c r="D201" s="6">
        <f t="shared" si="18"/>
        <v>-4.3883746566114379E-2</v>
      </c>
      <c r="E201" s="6">
        <f t="shared" si="19"/>
        <v>-3.0955199517657683E-2</v>
      </c>
      <c r="F201" s="7">
        <f t="shared" si="6"/>
        <v>1.1967695173673873</v>
      </c>
      <c r="G201" s="7">
        <f t="shared" si="9"/>
        <v>1.0213028478756274</v>
      </c>
      <c r="H201" s="7">
        <f t="shared" si="10"/>
        <v>0.94871200192423011</v>
      </c>
      <c r="I201" s="7">
        <f t="shared" si="11"/>
        <v>1.1968132126328794</v>
      </c>
      <c r="J201" s="7">
        <f t="shared" si="7"/>
        <v>0.47048422430664871</v>
      </c>
      <c r="K201" s="7">
        <f t="shared" si="12"/>
        <v>0.57169396305317544</v>
      </c>
      <c r="L201" s="7">
        <f t="shared" si="13"/>
        <v>0.40742280858582092</v>
      </c>
      <c r="M201" s="7">
        <f t="shared" si="14"/>
        <v>0.74448623812828751</v>
      </c>
      <c r="N201" s="8">
        <f t="shared" si="8"/>
        <v>4.6748436623802687E-2</v>
      </c>
      <c r="O201" s="8">
        <f t="shared" si="15"/>
        <v>4.9947703153828932E-2</v>
      </c>
      <c r="P201" s="8">
        <f t="shared" si="16"/>
        <v>4.5833356037627546E-2</v>
      </c>
      <c r="Q201" s="8">
        <f t="shared" si="17"/>
        <v>5.0818163313850001E-2</v>
      </c>
    </row>
    <row r="202" spans="1:17" x14ac:dyDescent="0.25">
      <c r="A202" s="5">
        <v>39622</v>
      </c>
      <c r="B202">
        <v>528.07000000000005</v>
      </c>
      <c r="C202">
        <v>1278.3800000000001</v>
      </c>
      <c r="D202" s="6">
        <f t="shared" si="18"/>
        <v>-3.3599912157092238E-2</v>
      </c>
      <c r="E202" s="6">
        <f t="shared" si="19"/>
        <v>-3.0009181064244661E-2</v>
      </c>
      <c r="F202" s="7">
        <f t="shared" si="6"/>
        <v>1.1986521898779863</v>
      </c>
      <c r="G202" s="7">
        <f t="shared" si="9"/>
        <v>1.0213028478756274</v>
      </c>
      <c r="H202" s="7">
        <f t="shared" si="10"/>
        <v>0.94871200192423011</v>
      </c>
      <c r="I202" s="7">
        <f t="shared" si="11"/>
        <v>1.1968132126328794</v>
      </c>
      <c r="J202" s="7">
        <f t="shared" si="7"/>
        <v>0.47481861745380766</v>
      </c>
      <c r="K202" s="7">
        <f t="shared" si="12"/>
        <v>0.57169396305317544</v>
      </c>
      <c r="L202" s="7">
        <f t="shared" si="13"/>
        <v>0.40742280858582092</v>
      </c>
      <c r="M202" s="7">
        <f t="shared" si="14"/>
        <v>0.74448623812828751</v>
      </c>
      <c r="N202" s="8">
        <f t="shared" si="8"/>
        <v>4.6806978644176205E-2</v>
      </c>
      <c r="O202" s="8">
        <f t="shared" si="15"/>
        <v>4.9947703153828932E-2</v>
      </c>
      <c r="P202" s="8">
        <f t="shared" si="16"/>
        <v>4.5833356037627546E-2</v>
      </c>
      <c r="Q202" s="8">
        <f t="shared" si="17"/>
        <v>5.0818163313850001E-2</v>
      </c>
    </row>
    <row r="203" spans="1:17" x14ac:dyDescent="0.25">
      <c r="A203" s="5">
        <v>39629</v>
      </c>
      <c r="B203">
        <v>537</v>
      </c>
      <c r="C203">
        <v>1262.9000000000001</v>
      </c>
      <c r="D203" s="6">
        <f t="shared" si="18"/>
        <v>1.6910636847387472E-2</v>
      </c>
      <c r="E203" s="6">
        <f t="shared" si="19"/>
        <v>-1.210907554874141E-2</v>
      </c>
      <c r="F203" s="7">
        <f t="shared" si="6"/>
        <v>1.1934788353110832</v>
      </c>
      <c r="G203" s="7">
        <f t="shared" si="9"/>
        <v>1.0213028478756274</v>
      </c>
      <c r="H203" s="7">
        <f t="shared" si="10"/>
        <v>0.94871200192423011</v>
      </c>
      <c r="I203" s="7">
        <f t="shared" si="11"/>
        <v>1.1968132126328794</v>
      </c>
      <c r="J203" s="7">
        <f t="shared" si="7"/>
        <v>0.47260419837397727</v>
      </c>
      <c r="K203" s="7">
        <f t="shared" si="12"/>
        <v>0.57169396305317544</v>
      </c>
      <c r="L203" s="7">
        <f t="shared" si="13"/>
        <v>0.40742280858582092</v>
      </c>
      <c r="M203" s="7">
        <f t="shared" si="14"/>
        <v>0.74448623812828751</v>
      </c>
      <c r="N203" s="8">
        <f t="shared" si="8"/>
        <v>4.6806667097499047E-2</v>
      </c>
      <c r="O203" s="8">
        <f t="shared" si="15"/>
        <v>4.9947703153828932E-2</v>
      </c>
      <c r="P203" s="8">
        <f t="shared" si="16"/>
        <v>4.5833356037627546E-2</v>
      </c>
      <c r="Q203" s="8">
        <f t="shared" si="17"/>
        <v>5.0818163313850001E-2</v>
      </c>
    </row>
    <row r="204" spans="1:17" x14ac:dyDescent="0.25">
      <c r="A204" s="5">
        <v>39636</v>
      </c>
      <c r="B204">
        <v>533.79999999999995</v>
      </c>
      <c r="C204">
        <v>1239.49</v>
      </c>
      <c r="D204" s="6">
        <f t="shared" si="18"/>
        <v>-5.9590316573557844E-3</v>
      </c>
      <c r="E204" s="6">
        <f t="shared" si="19"/>
        <v>-1.8536701243170528E-2</v>
      </c>
      <c r="F204" s="7">
        <f t="shared" si="6"/>
        <v>1.1902060111310437</v>
      </c>
      <c r="G204" s="7">
        <f t="shared" si="9"/>
        <v>1.0213028478756274</v>
      </c>
      <c r="H204" s="7">
        <f t="shared" si="10"/>
        <v>0.94871200192423011</v>
      </c>
      <c r="I204" s="7">
        <f t="shared" si="11"/>
        <v>1.1968132126328794</v>
      </c>
      <c r="J204" s="7">
        <f t="shared" si="7"/>
        <v>0.47215727972030513</v>
      </c>
      <c r="K204" s="7">
        <f t="shared" si="12"/>
        <v>0.57169396305317544</v>
      </c>
      <c r="L204" s="7">
        <f t="shared" si="13"/>
        <v>0.40742280858582092</v>
      </c>
      <c r="M204" s="7">
        <f t="shared" si="14"/>
        <v>0.74448623812828751</v>
      </c>
      <c r="N204" s="8">
        <f t="shared" si="8"/>
        <v>4.6804936592992251E-2</v>
      </c>
      <c r="O204" s="8">
        <f t="shared" si="15"/>
        <v>4.9947703153828932E-2</v>
      </c>
      <c r="P204" s="8">
        <f t="shared" si="16"/>
        <v>4.5833356037627546E-2</v>
      </c>
      <c r="Q204" s="8">
        <f t="shared" si="17"/>
        <v>5.0818163313850001E-2</v>
      </c>
    </row>
    <row r="205" spans="1:17" x14ac:dyDescent="0.25">
      <c r="A205" s="5">
        <v>39643</v>
      </c>
      <c r="B205">
        <v>481.32</v>
      </c>
      <c r="C205">
        <v>1260.68</v>
      </c>
      <c r="D205" s="6">
        <f t="shared" si="18"/>
        <v>-9.8313975271637211E-2</v>
      </c>
      <c r="E205" s="6">
        <f t="shared" si="19"/>
        <v>1.7095740990246133E-2</v>
      </c>
      <c r="F205" s="7">
        <f t="shared" si="6"/>
        <v>1.1524550678080978</v>
      </c>
      <c r="G205" s="7">
        <f t="shared" si="9"/>
        <v>1.0213028478756274</v>
      </c>
      <c r="H205" s="7">
        <f t="shared" si="10"/>
        <v>0.94871200192423011</v>
      </c>
      <c r="I205" s="7">
        <f t="shared" si="11"/>
        <v>1.1968132126328794</v>
      </c>
      <c r="J205" s="7">
        <f t="shared" si="7"/>
        <v>0.451381016563837</v>
      </c>
      <c r="K205" s="7">
        <f t="shared" si="12"/>
        <v>0.57169396305317544</v>
      </c>
      <c r="L205" s="7">
        <f t="shared" si="13"/>
        <v>0.40742280858582092</v>
      </c>
      <c r="M205" s="7">
        <f t="shared" si="14"/>
        <v>0.74448623812828751</v>
      </c>
      <c r="N205" s="8">
        <f t="shared" si="8"/>
        <v>4.7522377421390788E-2</v>
      </c>
      <c r="O205" s="8">
        <f t="shared" si="15"/>
        <v>4.9947703153828932E-2</v>
      </c>
      <c r="P205" s="8">
        <f t="shared" si="16"/>
        <v>4.5833356037627546E-2</v>
      </c>
      <c r="Q205" s="8">
        <f t="shared" si="17"/>
        <v>5.0818163313850001E-2</v>
      </c>
    </row>
    <row r="206" spans="1:17" x14ac:dyDescent="0.25">
      <c r="A206" s="5">
        <v>39650</v>
      </c>
      <c r="B206">
        <v>491.98</v>
      </c>
      <c r="C206">
        <v>1257.76</v>
      </c>
      <c r="D206" s="6">
        <f t="shared" si="18"/>
        <v>2.21474279065903E-2</v>
      </c>
      <c r="E206" s="6">
        <f t="shared" si="19"/>
        <v>-2.3162102992037026E-3</v>
      </c>
      <c r="F206" s="7">
        <f t="shared" si="6"/>
        <v>1.1515440324762303</v>
      </c>
      <c r="G206" s="7">
        <f t="shared" si="9"/>
        <v>1.0213028478756274</v>
      </c>
      <c r="H206" s="7">
        <f t="shared" si="10"/>
        <v>0.94871200192423011</v>
      </c>
      <c r="I206" s="7">
        <f t="shared" si="11"/>
        <v>1.1968132126328794</v>
      </c>
      <c r="J206" s="7">
        <f t="shared" si="7"/>
        <v>0.45263893830585794</v>
      </c>
      <c r="K206" s="7">
        <f t="shared" si="12"/>
        <v>0.57169396305317544</v>
      </c>
      <c r="L206" s="7">
        <f t="shared" si="13"/>
        <v>0.40742280858582092</v>
      </c>
      <c r="M206" s="7">
        <f t="shared" si="14"/>
        <v>0.74448623812828751</v>
      </c>
      <c r="N206" s="8">
        <f t="shared" si="8"/>
        <v>4.7355849234892597E-2</v>
      </c>
      <c r="O206" s="8">
        <f t="shared" si="15"/>
        <v>4.9947703153828932E-2</v>
      </c>
      <c r="P206" s="8">
        <f t="shared" si="16"/>
        <v>4.5833356037627546E-2</v>
      </c>
      <c r="Q206" s="8">
        <f t="shared" si="17"/>
        <v>5.0818163313850001E-2</v>
      </c>
    </row>
    <row r="207" spans="1:17" x14ac:dyDescent="0.25">
      <c r="A207" s="5">
        <v>39657</v>
      </c>
      <c r="B207">
        <v>467.86</v>
      </c>
      <c r="C207">
        <v>1260.31</v>
      </c>
      <c r="D207" s="6">
        <f t="shared" si="18"/>
        <v>-4.9026383186308364E-2</v>
      </c>
      <c r="E207" s="6">
        <f t="shared" si="19"/>
        <v>2.0274138150362386E-3</v>
      </c>
      <c r="F207" s="7">
        <f t="shared" si="6"/>
        <v>1.1521476027889235</v>
      </c>
      <c r="G207" s="7">
        <f t="shared" si="9"/>
        <v>1.0213028478756274</v>
      </c>
      <c r="H207" s="7">
        <f t="shared" si="10"/>
        <v>0.94871200192423011</v>
      </c>
      <c r="I207" s="7">
        <f t="shared" si="11"/>
        <v>1.1968132126328794</v>
      </c>
      <c r="J207" s="7">
        <f t="shared" si="7"/>
        <v>0.45095908960954556</v>
      </c>
      <c r="K207" s="7">
        <f t="shared" si="12"/>
        <v>0.57169396305317544</v>
      </c>
      <c r="L207" s="7">
        <f t="shared" si="13"/>
        <v>0.40742280858582092</v>
      </c>
      <c r="M207" s="7">
        <f t="shared" si="14"/>
        <v>0.74448623812828751</v>
      </c>
      <c r="N207" s="8">
        <f t="shared" si="8"/>
        <v>4.75392233740543E-2</v>
      </c>
      <c r="O207" s="8">
        <f t="shared" si="15"/>
        <v>4.9947703153828932E-2</v>
      </c>
      <c r="P207" s="8">
        <f t="shared" si="16"/>
        <v>4.5833356037627546E-2</v>
      </c>
      <c r="Q207" s="8">
        <f t="shared" si="17"/>
        <v>5.0818163313850001E-2</v>
      </c>
    </row>
    <row r="208" spans="1:17" x14ac:dyDescent="0.25">
      <c r="A208" s="5">
        <v>39664</v>
      </c>
      <c r="B208">
        <v>495.01</v>
      </c>
      <c r="C208">
        <v>1296.32</v>
      </c>
      <c r="D208" s="6">
        <f t="shared" si="18"/>
        <v>5.8030179968366458E-2</v>
      </c>
      <c r="E208" s="6">
        <f t="shared" si="19"/>
        <v>2.8572335377803793E-2</v>
      </c>
      <c r="F208" s="7">
        <f t="shared" si="6"/>
        <v>1.1639102682932629</v>
      </c>
      <c r="G208" s="7">
        <f t="shared" si="9"/>
        <v>1.0213028478756274</v>
      </c>
      <c r="H208" s="7">
        <f t="shared" si="10"/>
        <v>0.94871200192423011</v>
      </c>
      <c r="I208" s="7">
        <f t="shared" si="11"/>
        <v>1.1968132126328794</v>
      </c>
      <c r="J208" s="7">
        <f t="shared" si="7"/>
        <v>0.45710942917080016</v>
      </c>
      <c r="K208" s="7">
        <f t="shared" si="12"/>
        <v>0.57169396305317544</v>
      </c>
      <c r="L208" s="7">
        <f t="shared" si="13"/>
        <v>0.40742280858582092</v>
      </c>
      <c r="M208" s="7">
        <f t="shared" si="14"/>
        <v>0.74448623812828751</v>
      </c>
      <c r="N208" s="8">
        <f t="shared" si="8"/>
        <v>4.7721074369177989E-2</v>
      </c>
      <c r="O208" s="8">
        <f t="shared" si="15"/>
        <v>4.9947703153828932E-2</v>
      </c>
      <c r="P208" s="8">
        <f t="shared" si="16"/>
        <v>4.5833356037627546E-2</v>
      </c>
      <c r="Q208" s="8">
        <f t="shared" si="17"/>
        <v>5.0818163313850001E-2</v>
      </c>
    </row>
    <row r="209" spans="1:17" x14ac:dyDescent="0.25">
      <c r="A209" s="5">
        <v>39671</v>
      </c>
      <c r="B209">
        <v>510.15</v>
      </c>
      <c r="C209">
        <v>1298.2</v>
      </c>
      <c r="D209" s="6">
        <f t="shared" si="18"/>
        <v>3.0585240702208027E-2</v>
      </c>
      <c r="E209" s="6">
        <f t="shared" si="19"/>
        <v>1.4502591952605393E-3</v>
      </c>
      <c r="F209" s="7">
        <f t="shared" si="6"/>
        <v>1.1596687408235733</v>
      </c>
      <c r="G209" s="7">
        <f t="shared" si="9"/>
        <v>1.0213028478756274</v>
      </c>
      <c r="H209" s="7">
        <f t="shared" si="10"/>
        <v>0.94871200192423011</v>
      </c>
      <c r="I209" s="7">
        <f t="shared" si="11"/>
        <v>1.1968132126328794</v>
      </c>
      <c r="J209" s="7">
        <f t="shared" si="7"/>
        <v>0.45560854604937934</v>
      </c>
      <c r="K209" s="7">
        <f t="shared" si="12"/>
        <v>0.57169396305317544</v>
      </c>
      <c r="L209" s="7">
        <f t="shared" si="13"/>
        <v>0.40742280858582092</v>
      </c>
      <c r="M209" s="7">
        <f t="shared" si="14"/>
        <v>0.74448623812828751</v>
      </c>
      <c r="N209" s="8">
        <f t="shared" si="8"/>
        <v>4.7667111246978068E-2</v>
      </c>
      <c r="O209" s="8">
        <f t="shared" si="15"/>
        <v>4.9947703153828932E-2</v>
      </c>
      <c r="P209" s="8">
        <f t="shared" si="16"/>
        <v>4.5833356037627546E-2</v>
      </c>
      <c r="Q209" s="8">
        <f t="shared" si="17"/>
        <v>5.0818163313850001E-2</v>
      </c>
    </row>
    <row r="210" spans="1:17" x14ac:dyDescent="0.25">
      <c r="A210" s="5">
        <v>39678</v>
      </c>
      <c r="B210">
        <v>490.59</v>
      </c>
      <c r="C210">
        <v>1292.2</v>
      </c>
      <c r="D210" s="6">
        <f t="shared" si="18"/>
        <v>-3.8341664216406945E-2</v>
      </c>
      <c r="E210" s="6">
        <f t="shared" si="19"/>
        <v>-4.6217840086273387E-3</v>
      </c>
      <c r="F210" s="7">
        <f t="shared" si="6"/>
        <v>1.1684155453093708</v>
      </c>
      <c r="G210" s="7">
        <f t="shared" si="9"/>
        <v>1.0213028478756274</v>
      </c>
      <c r="H210" s="7">
        <f t="shared" si="10"/>
        <v>0.94871200192423011</v>
      </c>
      <c r="I210" s="7">
        <f t="shared" si="11"/>
        <v>1.1968132126328794</v>
      </c>
      <c r="J210" s="7">
        <f t="shared" si="7"/>
        <v>0.45733593449990789</v>
      </c>
      <c r="K210" s="7">
        <f t="shared" si="12"/>
        <v>0.57169396305317544</v>
      </c>
      <c r="L210" s="7">
        <f t="shared" si="13"/>
        <v>0.40742280858582092</v>
      </c>
      <c r="M210" s="7">
        <f t="shared" si="14"/>
        <v>0.74448623812828751</v>
      </c>
      <c r="N210" s="8">
        <f t="shared" si="8"/>
        <v>4.7787952840692642E-2</v>
      </c>
      <c r="O210" s="8">
        <f t="shared" si="15"/>
        <v>4.9947703153828932E-2</v>
      </c>
      <c r="P210" s="8">
        <f t="shared" si="16"/>
        <v>4.5833356037627546E-2</v>
      </c>
      <c r="Q210" s="8">
        <f t="shared" si="17"/>
        <v>5.0818163313850001E-2</v>
      </c>
    </row>
    <row r="211" spans="1:17" x14ac:dyDescent="0.25">
      <c r="A211" s="5">
        <v>39685</v>
      </c>
      <c r="B211">
        <v>463.29</v>
      </c>
      <c r="C211">
        <v>1282.83</v>
      </c>
      <c r="D211" s="6">
        <f t="shared" si="18"/>
        <v>-5.5647281844309782E-2</v>
      </c>
      <c r="E211" s="6">
        <f t="shared" si="19"/>
        <v>-7.2511995047207511E-3</v>
      </c>
      <c r="F211" s="7">
        <f t="shared" si="6"/>
        <v>1.1755512970750337</v>
      </c>
      <c r="G211" s="7">
        <f t="shared" si="9"/>
        <v>1.0213028478756274</v>
      </c>
      <c r="H211" s="7">
        <f t="shared" si="10"/>
        <v>0.94871200192423011</v>
      </c>
      <c r="I211" s="7">
        <f t="shared" si="11"/>
        <v>1.1968132126328794</v>
      </c>
      <c r="J211" s="7">
        <f t="shared" si="7"/>
        <v>0.45774339432537109</v>
      </c>
      <c r="K211" s="7">
        <f t="shared" si="12"/>
        <v>0.57169396305317544</v>
      </c>
      <c r="L211" s="7">
        <f t="shared" si="13"/>
        <v>0.40742280858582092</v>
      </c>
      <c r="M211" s="7">
        <f t="shared" si="14"/>
        <v>0.74448623812828751</v>
      </c>
      <c r="N211" s="8">
        <f t="shared" si="8"/>
        <v>4.8018505337572424E-2</v>
      </c>
      <c r="O211" s="8">
        <f t="shared" si="15"/>
        <v>4.9947703153828932E-2</v>
      </c>
      <c r="P211" s="8">
        <f t="shared" si="16"/>
        <v>4.5833356037627546E-2</v>
      </c>
      <c r="Q211" s="8">
        <f t="shared" si="17"/>
        <v>5.0818163313850001E-2</v>
      </c>
    </row>
    <row r="212" spans="1:17" x14ac:dyDescent="0.25">
      <c r="A212" s="5">
        <v>39693</v>
      </c>
      <c r="B212">
        <v>444.25</v>
      </c>
      <c r="C212">
        <v>1242.31</v>
      </c>
      <c r="D212" s="6">
        <f t="shared" si="18"/>
        <v>-4.1097368818666546E-2</v>
      </c>
      <c r="E212" s="6">
        <f t="shared" si="19"/>
        <v>-3.1586414411886254E-2</v>
      </c>
      <c r="F212" s="7">
        <f t="shared" si="6"/>
        <v>1.1762190007966906</v>
      </c>
      <c r="G212" s="7">
        <f t="shared" si="9"/>
        <v>1.0213028478756274</v>
      </c>
      <c r="H212" s="7">
        <f t="shared" si="10"/>
        <v>0.94871200192423011</v>
      </c>
      <c r="I212" s="7">
        <f t="shared" si="11"/>
        <v>1.1968132126328794</v>
      </c>
      <c r="J212" s="7">
        <f t="shared" si="7"/>
        <v>0.46017125405620807</v>
      </c>
      <c r="K212" s="7">
        <f t="shared" si="12"/>
        <v>0.57169396305317544</v>
      </c>
      <c r="L212" s="7">
        <f t="shared" si="13"/>
        <v>0.40742280858582092</v>
      </c>
      <c r="M212" s="7">
        <f t="shared" si="14"/>
        <v>0.74448623812828751</v>
      </c>
      <c r="N212" s="8">
        <f t="shared" si="8"/>
        <v>4.8081389746073344E-2</v>
      </c>
      <c r="O212" s="8">
        <f t="shared" si="15"/>
        <v>4.9947703153828932E-2</v>
      </c>
      <c r="P212" s="8">
        <f t="shared" si="16"/>
        <v>4.5833356037627546E-2</v>
      </c>
      <c r="Q212" s="8">
        <f t="shared" si="17"/>
        <v>5.0818163313850001E-2</v>
      </c>
    </row>
    <row r="213" spans="1:17" x14ac:dyDescent="0.25">
      <c r="A213" s="5">
        <v>39699</v>
      </c>
      <c r="B213">
        <v>437.66</v>
      </c>
      <c r="C213">
        <v>1251.7</v>
      </c>
      <c r="D213" s="6">
        <f t="shared" si="18"/>
        <v>-1.4833989870568276E-2</v>
      </c>
      <c r="E213" s="6">
        <f t="shared" si="19"/>
        <v>7.5584998913316159E-3</v>
      </c>
      <c r="F213" s="7">
        <f t="shared" si="6"/>
        <v>1.1728248183258279</v>
      </c>
      <c r="G213" s="7">
        <f t="shared" si="9"/>
        <v>1.0213028478756274</v>
      </c>
      <c r="H213" s="7">
        <f t="shared" si="10"/>
        <v>0.94871200192423011</v>
      </c>
      <c r="I213" s="7">
        <f t="shared" si="11"/>
        <v>1.1968132126328794</v>
      </c>
      <c r="J213" s="7">
        <f t="shared" si="7"/>
        <v>0.45881090517756462</v>
      </c>
      <c r="K213" s="7">
        <f t="shared" si="12"/>
        <v>0.57169396305317544</v>
      </c>
      <c r="L213" s="7">
        <f t="shared" si="13"/>
        <v>0.40742280858582092</v>
      </c>
      <c r="M213" s="7">
        <f t="shared" si="14"/>
        <v>0.74448623812828751</v>
      </c>
      <c r="N213" s="8">
        <f t="shared" si="8"/>
        <v>4.8104109117075335E-2</v>
      </c>
      <c r="O213" s="8">
        <f t="shared" si="15"/>
        <v>4.9947703153828932E-2</v>
      </c>
      <c r="P213" s="8">
        <f t="shared" si="16"/>
        <v>4.5833356037627546E-2</v>
      </c>
      <c r="Q213" s="8">
        <f t="shared" si="17"/>
        <v>5.0818163313850001E-2</v>
      </c>
    </row>
    <row r="214" spans="1:17" x14ac:dyDescent="0.25">
      <c r="A214" s="5">
        <v>39706</v>
      </c>
      <c r="B214">
        <v>449.15</v>
      </c>
      <c r="C214">
        <v>1255.08</v>
      </c>
      <c r="D214" s="6">
        <f t="shared" si="18"/>
        <v>2.6253255952108923E-2</v>
      </c>
      <c r="E214" s="6">
        <f t="shared" si="19"/>
        <v>2.70032755452565E-3</v>
      </c>
      <c r="F214" s="7">
        <f t="shared" si="6"/>
        <v>1.1969879936948478</v>
      </c>
      <c r="G214" s="7">
        <f t="shared" si="9"/>
        <v>1.0213028478756274</v>
      </c>
      <c r="H214" s="7">
        <f t="shared" si="10"/>
        <v>0.94871200192423011</v>
      </c>
      <c r="I214" s="7">
        <f t="shared" si="11"/>
        <v>1.1968132126328794</v>
      </c>
      <c r="J214" s="7">
        <f t="shared" si="7"/>
        <v>0.46791863574201842</v>
      </c>
      <c r="K214" s="7">
        <f t="shared" si="12"/>
        <v>0.57169396305317544</v>
      </c>
      <c r="L214" s="7">
        <f t="shared" si="13"/>
        <v>0.40742280858582092</v>
      </c>
      <c r="M214" s="7">
        <f t="shared" si="14"/>
        <v>0.74448623812828751</v>
      </c>
      <c r="N214" s="8">
        <f t="shared" si="8"/>
        <v>4.7991266003974506E-2</v>
      </c>
      <c r="O214" s="8">
        <f t="shared" si="15"/>
        <v>4.9947703153828932E-2</v>
      </c>
      <c r="P214" s="8">
        <f t="shared" si="16"/>
        <v>4.5833356037627546E-2</v>
      </c>
      <c r="Q214" s="8">
        <f t="shared" si="17"/>
        <v>5.0818163313850001E-2</v>
      </c>
    </row>
    <row r="215" spans="1:17" x14ac:dyDescent="0.25">
      <c r="A215" s="5">
        <v>39713</v>
      </c>
      <c r="B215">
        <v>431.04</v>
      </c>
      <c r="C215">
        <v>1213.27</v>
      </c>
      <c r="D215" s="6">
        <f t="shared" si="18"/>
        <v>-4.0320605588333391E-2</v>
      </c>
      <c r="E215" s="6">
        <f t="shared" si="19"/>
        <v>-3.331261752238901E-2</v>
      </c>
      <c r="F215" s="7">
        <f t="shared" si="6"/>
        <v>1.2015419636551501</v>
      </c>
      <c r="G215" s="7">
        <f t="shared" si="9"/>
        <v>1.0213028478756274</v>
      </c>
      <c r="H215" s="7">
        <f t="shared" si="10"/>
        <v>0.94871200192423011</v>
      </c>
      <c r="I215" s="7">
        <f t="shared" si="11"/>
        <v>1.1968132126328794</v>
      </c>
      <c r="J215" s="7">
        <f t="shared" si="7"/>
        <v>0.47273959257552395</v>
      </c>
      <c r="K215" s="7">
        <f t="shared" si="12"/>
        <v>0.57169396305317544</v>
      </c>
      <c r="L215" s="7">
        <f t="shared" si="13"/>
        <v>0.40742280858582092</v>
      </c>
      <c r="M215" s="7">
        <f t="shared" si="14"/>
        <v>0.74448623812828751</v>
      </c>
      <c r="N215" s="8">
        <f t="shared" si="8"/>
        <v>4.8118023705584878E-2</v>
      </c>
      <c r="O215" s="8">
        <f t="shared" si="15"/>
        <v>4.9947703153828932E-2</v>
      </c>
      <c r="P215" s="8">
        <f t="shared" si="16"/>
        <v>4.5833356037627546E-2</v>
      </c>
      <c r="Q215" s="8">
        <f t="shared" si="17"/>
        <v>5.0818163313850001E-2</v>
      </c>
    </row>
    <row r="216" spans="1:17" x14ac:dyDescent="0.25">
      <c r="A216" s="5">
        <v>39720</v>
      </c>
      <c r="B216">
        <v>386.91</v>
      </c>
      <c r="C216">
        <v>1099.23</v>
      </c>
      <c r="D216" s="6">
        <f t="shared" si="18"/>
        <v>-0.10238028953229394</v>
      </c>
      <c r="E216" s="6">
        <f t="shared" si="19"/>
        <v>-9.399391726491213E-2</v>
      </c>
      <c r="F216" s="7">
        <f t="shared" si="6"/>
        <v>1.1980269923101299</v>
      </c>
      <c r="G216" s="7">
        <f t="shared" si="9"/>
        <v>1.0213028478756274</v>
      </c>
      <c r="H216" s="7">
        <f t="shared" si="10"/>
        <v>0.94871200192423011</v>
      </c>
      <c r="I216" s="7">
        <f t="shared" si="11"/>
        <v>1.1968132126328794</v>
      </c>
      <c r="J216" s="7">
        <f t="shared" si="7"/>
        <v>0.4969230385586359</v>
      </c>
      <c r="K216" s="7">
        <f t="shared" si="12"/>
        <v>0.57169396305317544</v>
      </c>
      <c r="L216" s="7">
        <f t="shared" si="13"/>
        <v>0.40742280858582092</v>
      </c>
      <c r="M216" s="7">
        <f t="shared" si="14"/>
        <v>0.74448623812828751</v>
      </c>
      <c r="N216" s="8">
        <f t="shared" si="8"/>
        <v>4.8837421196387822E-2</v>
      </c>
      <c r="O216" s="8">
        <f t="shared" si="15"/>
        <v>4.9947703153828932E-2</v>
      </c>
      <c r="P216" s="8">
        <f t="shared" si="16"/>
        <v>4.5833356037627546E-2</v>
      </c>
      <c r="Q216" s="8">
        <f t="shared" si="17"/>
        <v>5.0818163313850001E-2</v>
      </c>
    </row>
    <row r="217" spans="1:17" x14ac:dyDescent="0.25">
      <c r="A217" s="5">
        <v>39727</v>
      </c>
      <c r="B217">
        <v>332</v>
      </c>
      <c r="C217">
        <v>899.22</v>
      </c>
      <c r="D217" s="6">
        <f t="shared" si="18"/>
        <v>-0.14191930940011899</v>
      </c>
      <c r="E217" s="6">
        <f t="shared" si="19"/>
        <v>-0.18195464097595593</v>
      </c>
      <c r="F217" s="7">
        <f t="shared" si="6"/>
        <v>1.0584913316696036</v>
      </c>
      <c r="G217" s="7">
        <f t="shared" si="9"/>
        <v>1.0213028478756274</v>
      </c>
      <c r="H217" s="7">
        <f t="shared" si="10"/>
        <v>0.94871200192423011</v>
      </c>
      <c r="I217" s="7">
        <f t="shared" si="11"/>
        <v>1.1968132126328794</v>
      </c>
      <c r="J217" s="7">
        <f t="shared" si="7"/>
        <v>0.5273991367330827</v>
      </c>
      <c r="K217" s="7">
        <f t="shared" si="12"/>
        <v>0.57169396305317544</v>
      </c>
      <c r="L217" s="7">
        <f t="shared" si="13"/>
        <v>0.40742280858582092</v>
      </c>
      <c r="M217" s="7">
        <f t="shared" si="14"/>
        <v>0.74448623812828751</v>
      </c>
      <c r="N217" s="8">
        <f t="shared" si="8"/>
        <v>4.9981829247064319E-2</v>
      </c>
      <c r="O217" s="8">
        <f t="shared" si="15"/>
        <v>4.9947703153828932E-2</v>
      </c>
      <c r="P217" s="8">
        <f t="shared" si="16"/>
        <v>4.5833356037627546E-2</v>
      </c>
      <c r="Q217" s="8">
        <f t="shared" si="17"/>
        <v>5.0818163313850001E-2</v>
      </c>
    </row>
    <row r="218" spans="1:17" x14ac:dyDescent="0.25">
      <c r="A218" s="5">
        <v>39734</v>
      </c>
      <c r="B218">
        <v>372.54</v>
      </c>
      <c r="C218">
        <v>940.55</v>
      </c>
      <c r="D218" s="6">
        <f t="shared" si="18"/>
        <v>0.12210843373493985</v>
      </c>
      <c r="E218" s="6">
        <f t="shared" si="19"/>
        <v>4.5962056004092311E-2</v>
      </c>
      <c r="F218" s="7">
        <f t="shared" si="6"/>
        <v>1.0990113537602404</v>
      </c>
      <c r="G218" s="7">
        <f t="shared" si="9"/>
        <v>1.0213028478756274</v>
      </c>
      <c r="H218" s="7">
        <f t="shared" si="10"/>
        <v>0.94871200192423011</v>
      </c>
      <c r="I218" s="7">
        <f t="shared" si="11"/>
        <v>1.1968132126328794</v>
      </c>
      <c r="J218" s="7">
        <f t="shared" si="7"/>
        <v>0.55872541866578174</v>
      </c>
      <c r="K218" s="7">
        <f t="shared" si="12"/>
        <v>0.57169396305317544</v>
      </c>
      <c r="L218" s="7">
        <f t="shared" si="13"/>
        <v>0.40742280858582092</v>
      </c>
      <c r="M218" s="7">
        <f t="shared" si="14"/>
        <v>0.74448623812828751</v>
      </c>
      <c r="N218" s="8">
        <f t="shared" si="8"/>
        <v>4.95420863219216E-2</v>
      </c>
      <c r="O218" s="8">
        <f t="shared" si="15"/>
        <v>4.9947703153828932E-2</v>
      </c>
      <c r="P218" s="8">
        <f t="shared" si="16"/>
        <v>4.5833356037627546E-2</v>
      </c>
      <c r="Q218" s="8">
        <f t="shared" si="17"/>
        <v>5.0818163313850001E-2</v>
      </c>
    </row>
    <row r="219" spans="1:17" x14ac:dyDescent="0.25">
      <c r="A219" s="5">
        <v>39741</v>
      </c>
      <c r="B219">
        <v>339.29</v>
      </c>
      <c r="C219">
        <v>876.77</v>
      </c>
      <c r="D219" s="6">
        <f t="shared" si="18"/>
        <v>-8.9252160841788775E-2</v>
      </c>
      <c r="E219" s="6">
        <f t="shared" si="19"/>
        <v>-6.7811386954441555E-2</v>
      </c>
      <c r="F219" s="7">
        <f t="shared" si="6"/>
        <v>1.1047521348162768</v>
      </c>
      <c r="G219" s="7">
        <f t="shared" si="9"/>
        <v>1.0213028478756274</v>
      </c>
      <c r="H219" s="7">
        <f t="shared" si="10"/>
        <v>0.94871200192423011</v>
      </c>
      <c r="I219" s="7">
        <f t="shared" si="11"/>
        <v>1.1968132126328794</v>
      </c>
      <c r="J219" s="7">
        <f t="shared" si="7"/>
        <v>0.56914532658476569</v>
      </c>
      <c r="K219" s="7">
        <f t="shared" si="12"/>
        <v>0.57169396305317544</v>
      </c>
      <c r="L219" s="7">
        <f t="shared" si="13"/>
        <v>0.40742280858582092</v>
      </c>
      <c r="M219" s="7">
        <f t="shared" si="14"/>
        <v>0.74448623812828751</v>
      </c>
      <c r="N219" s="8">
        <f t="shared" si="8"/>
        <v>4.9894450258840463E-2</v>
      </c>
      <c r="O219" s="8">
        <f t="shared" si="15"/>
        <v>4.9947703153828932E-2</v>
      </c>
      <c r="P219" s="8">
        <f t="shared" si="16"/>
        <v>4.5833356037627546E-2</v>
      </c>
      <c r="Q219" s="8">
        <f t="shared" si="17"/>
        <v>5.0818163313850001E-2</v>
      </c>
    </row>
    <row r="220" spans="1:17" x14ac:dyDescent="0.25">
      <c r="A220" s="5">
        <v>39748</v>
      </c>
      <c r="B220">
        <v>359.36</v>
      </c>
      <c r="C220">
        <v>968.75</v>
      </c>
      <c r="D220" s="6">
        <f t="shared" si="18"/>
        <v>5.915293701553237E-2</v>
      </c>
      <c r="E220" s="6">
        <f t="shared" si="19"/>
        <v>0.10490778653466704</v>
      </c>
      <c r="F220" s="7">
        <f t="shared" si="6"/>
        <v>1.0380900964847097</v>
      </c>
      <c r="G220" s="7">
        <f t="shared" si="9"/>
        <v>1.0213028478756274</v>
      </c>
      <c r="H220" s="7">
        <f t="shared" si="10"/>
        <v>0.94871200192423011</v>
      </c>
      <c r="I220" s="7">
        <f t="shared" si="11"/>
        <v>1.1968132126328794</v>
      </c>
      <c r="J220" s="7">
        <f t="shared" si="7"/>
        <v>0.56574187470757065</v>
      </c>
      <c r="K220" s="7">
        <f t="shared" si="12"/>
        <v>0.57169396305317544</v>
      </c>
      <c r="L220" s="7">
        <f t="shared" si="13"/>
        <v>0.40742280858582092</v>
      </c>
      <c r="M220" s="7">
        <f t="shared" si="14"/>
        <v>0.74448623812828751</v>
      </c>
      <c r="N220" s="8">
        <f t="shared" si="8"/>
        <v>4.9600420985057535E-2</v>
      </c>
      <c r="O220" s="8">
        <f t="shared" si="15"/>
        <v>4.9947703153828932E-2</v>
      </c>
      <c r="P220" s="8">
        <f t="shared" si="16"/>
        <v>4.5833356037627546E-2</v>
      </c>
      <c r="Q220" s="8">
        <f t="shared" si="17"/>
        <v>5.0818163313850001E-2</v>
      </c>
    </row>
    <row r="221" spans="1:17" x14ac:dyDescent="0.25">
      <c r="A221" s="5">
        <v>39755</v>
      </c>
      <c r="B221">
        <v>331.14</v>
      </c>
      <c r="C221">
        <v>930.99</v>
      </c>
      <c r="D221" s="6">
        <f t="shared" si="18"/>
        <v>-7.8528495102404339E-2</v>
      </c>
      <c r="E221" s="6">
        <f t="shared" si="19"/>
        <v>-3.8978064516129063E-2</v>
      </c>
      <c r="F221" s="7">
        <f t="shared" si="6"/>
        <v>1.0527582434288343</v>
      </c>
      <c r="G221" s="7">
        <f t="shared" si="9"/>
        <v>1.0213028478756274</v>
      </c>
      <c r="H221" s="7">
        <f t="shared" si="10"/>
        <v>0.94871200192423011</v>
      </c>
      <c r="I221" s="7">
        <f t="shared" si="11"/>
        <v>1.1968132126328794</v>
      </c>
      <c r="J221" s="7">
        <f t="shared" si="7"/>
        <v>0.57223679397167482</v>
      </c>
      <c r="K221" s="7">
        <f t="shared" si="12"/>
        <v>0.57169396305317544</v>
      </c>
      <c r="L221" s="7">
        <f t="shared" si="13"/>
        <v>0.40742280858582092</v>
      </c>
      <c r="M221" s="7">
        <f t="shared" si="14"/>
        <v>0.74448623812828751</v>
      </c>
      <c r="N221" s="8">
        <f t="shared" si="8"/>
        <v>5.0001872451460518E-2</v>
      </c>
      <c r="O221" s="8">
        <f t="shared" si="15"/>
        <v>4.9947703153828932E-2</v>
      </c>
      <c r="P221" s="8">
        <f t="shared" si="16"/>
        <v>4.5833356037627546E-2</v>
      </c>
      <c r="Q221" s="8">
        <f t="shared" si="17"/>
        <v>5.0818163313850001E-2</v>
      </c>
    </row>
    <row r="222" spans="1:17" x14ac:dyDescent="0.25">
      <c r="A222" s="5">
        <v>39762</v>
      </c>
      <c r="B222">
        <v>310.02</v>
      </c>
      <c r="C222">
        <v>873.29</v>
      </c>
      <c r="D222" s="6">
        <f t="shared" si="18"/>
        <v>-6.3779670230114216E-2</v>
      </c>
      <c r="E222" s="6">
        <f t="shared" si="19"/>
        <v>-6.1977035199089148E-2</v>
      </c>
      <c r="F222" s="7">
        <f t="shared" si="6"/>
        <v>1.0515890681912829</v>
      </c>
      <c r="G222" s="7">
        <f t="shared" si="9"/>
        <v>1.0213028478756274</v>
      </c>
      <c r="H222" s="7">
        <f t="shared" si="10"/>
        <v>0.94871200192423011</v>
      </c>
      <c r="I222" s="7">
        <f t="shared" si="11"/>
        <v>1.1968132126328794</v>
      </c>
      <c r="J222" s="7">
        <f t="shared" si="7"/>
        <v>0.57763709694185117</v>
      </c>
      <c r="K222" s="7">
        <f t="shared" si="12"/>
        <v>0.57169396305317544</v>
      </c>
      <c r="L222" s="7">
        <f t="shared" si="13"/>
        <v>0.40742280858582092</v>
      </c>
      <c r="M222" s="7">
        <f t="shared" si="14"/>
        <v>0.74448623812828751</v>
      </c>
      <c r="N222" s="8">
        <f t="shared" si="8"/>
        <v>5.0220713997477955E-2</v>
      </c>
      <c r="O222" s="8">
        <f t="shared" si="15"/>
        <v>4.9947703153828932E-2</v>
      </c>
      <c r="P222" s="8">
        <f t="shared" si="16"/>
        <v>4.5833356037627546E-2</v>
      </c>
      <c r="Q222" s="8">
        <f t="shared" si="17"/>
        <v>5.0818163313850001E-2</v>
      </c>
    </row>
    <row r="223" spans="1:17" x14ac:dyDescent="0.25">
      <c r="A223" s="5">
        <v>39769</v>
      </c>
      <c r="B223">
        <v>262.43</v>
      </c>
      <c r="C223">
        <v>800.03</v>
      </c>
      <c r="D223" s="6">
        <f t="shared" si="18"/>
        <v>-0.15350622540481251</v>
      </c>
      <c r="E223" s="6">
        <f t="shared" si="19"/>
        <v>-8.3889658647184784E-2</v>
      </c>
      <c r="F223" s="7">
        <f t="shared" ref="F223:F286" si="20">COVAR(D68:D223,E68:E223)/(_xlfn.STDEV.P(E68:E223)^2)</f>
        <v>1.0873307063923494</v>
      </c>
      <c r="G223" s="7">
        <f t="shared" si="9"/>
        <v>1.0213028478756274</v>
      </c>
      <c r="H223" s="7">
        <f t="shared" si="10"/>
        <v>0.94871200192423011</v>
      </c>
      <c r="I223" s="7">
        <f t="shared" si="11"/>
        <v>1.1968132126328794</v>
      </c>
      <c r="J223" s="7">
        <f t="shared" ref="J223:J286" si="21">CORREL(D68:D223,E68:E223)</f>
        <v>0.59942454651605193</v>
      </c>
      <c r="K223" s="7">
        <f t="shared" si="12"/>
        <v>0.57169396305317544</v>
      </c>
      <c r="L223" s="7">
        <f t="shared" si="13"/>
        <v>0.40742280858582092</v>
      </c>
      <c r="M223" s="7">
        <f t="shared" si="14"/>
        <v>0.74448623812828751</v>
      </c>
      <c r="N223" s="8">
        <f t="shared" ref="N223:N286" si="22">_xlfn.STDEV.P(D68:D223)</f>
        <v>5.1358906504368987E-2</v>
      </c>
      <c r="O223" s="8">
        <f t="shared" si="15"/>
        <v>4.9947703153828932E-2</v>
      </c>
      <c r="P223" s="8">
        <f t="shared" si="16"/>
        <v>4.5833356037627546E-2</v>
      </c>
      <c r="Q223" s="8">
        <f t="shared" si="17"/>
        <v>5.0818163313850001E-2</v>
      </c>
    </row>
    <row r="224" spans="1:17" x14ac:dyDescent="0.25">
      <c r="A224" s="5">
        <v>39776</v>
      </c>
      <c r="B224">
        <v>292.95999999999998</v>
      </c>
      <c r="C224">
        <v>896.24</v>
      </c>
      <c r="D224" s="6">
        <f t="shared" si="18"/>
        <v>0.11633578478070339</v>
      </c>
      <c r="E224" s="6">
        <f t="shared" si="19"/>
        <v>0.12025799032536288</v>
      </c>
      <c r="F224" s="7">
        <f t="shared" si="20"/>
        <v>1.0738129090772404</v>
      </c>
      <c r="G224" s="7">
        <f t="shared" ref="G224:G287" si="23">G223</f>
        <v>1.0213028478756274</v>
      </c>
      <c r="H224" s="7">
        <f t="shared" ref="H224:H287" si="24">H223</f>
        <v>0.94871200192423011</v>
      </c>
      <c r="I224" s="7">
        <f t="shared" ref="I224:I287" si="25">I223</f>
        <v>1.1968132126328794</v>
      </c>
      <c r="J224" s="7">
        <f t="shared" si="21"/>
        <v>0.61656471381971922</v>
      </c>
      <c r="K224" s="7">
        <f t="shared" ref="K224:K287" si="26">K223</f>
        <v>0.57169396305317544</v>
      </c>
      <c r="L224" s="7">
        <f t="shared" ref="L224:L287" si="27">L223</f>
        <v>0.40742280858582092</v>
      </c>
      <c r="M224" s="7">
        <f t="shared" ref="M224:M287" si="28">M223</f>
        <v>0.74448623812828751</v>
      </c>
      <c r="N224" s="8">
        <f t="shared" si="22"/>
        <v>5.2180393070859546E-2</v>
      </c>
      <c r="O224" s="8">
        <f t="shared" ref="O224:O287" si="29">O223</f>
        <v>4.9947703153828932E-2</v>
      </c>
      <c r="P224" s="8">
        <f t="shared" ref="P224:P287" si="30">P223</f>
        <v>4.5833356037627546E-2</v>
      </c>
      <c r="Q224" s="8">
        <f t="shared" ref="Q224:Q287" si="31">Q223</f>
        <v>5.0818163313850001E-2</v>
      </c>
    </row>
    <row r="225" spans="1:17" x14ac:dyDescent="0.25">
      <c r="A225" s="5">
        <v>39783</v>
      </c>
      <c r="B225">
        <v>283.99</v>
      </c>
      <c r="C225">
        <v>876.07</v>
      </c>
      <c r="D225" s="6">
        <f t="shared" si="18"/>
        <v>-3.0618514472965486E-2</v>
      </c>
      <c r="E225" s="6">
        <f t="shared" si="19"/>
        <v>-2.2505132553780172E-2</v>
      </c>
      <c r="F225" s="7">
        <f t="shared" si="20"/>
        <v>1.0745932456062532</v>
      </c>
      <c r="G225" s="7">
        <f t="shared" si="23"/>
        <v>1.0213028478756274</v>
      </c>
      <c r="H225" s="7">
        <f t="shared" si="24"/>
        <v>0.94871200192423011</v>
      </c>
      <c r="I225" s="7">
        <f t="shared" si="25"/>
        <v>1.1968132126328794</v>
      </c>
      <c r="J225" s="7">
        <f t="shared" si="21"/>
        <v>0.61757365206468551</v>
      </c>
      <c r="K225" s="7">
        <f t="shared" si="26"/>
        <v>0.57169396305317544</v>
      </c>
      <c r="L225" s="7">
        <f t="shared" si="27"/>
        <v>0.40742280858582092</v>
      </c>
      <c r="M225" s="7">
        <f t="shared" si="28"/>
        <v>0.74448623812828751</v>
      </c>
      <c r="N225" s="8">
        <f t="shared" si="22"/>
        <v>5.2211357258952082E-2</v>
      </c>
      <c r="O225" s="8">
        <f t="shared" si="29"/>
        <v>4.9947703153828932E-2</v>
      </c>
      <c r="P225" s="8">
        <f t="shared" si="30"/>
        <v>4.5833356037627546E-2</v>
      </c>
      <c r="Q225" s="8">
        <f t="shared" si="31"/>
        <v>5.0818163313850001E-2</v>
      </c>
    </row>
    <row r="226" spans="1:17" x14ac:dyDescent="0.25">
      <c r="A226" s="5">
        <v>39790</v>
      </c>
      <c r="B226">
        <v>315.76</v>
      </c>
      <c r="C226">
        <v>879.73</v>
      </c>
      <c r="D226" s="6">
        <f t="shared" si="18"/>
        <v>0.11187013627240394</v>
      </c>
      <c r="E226" s="6">
        <f t="shared" si="19"/>
        <v>4.177748353441979E-3</v>
      </c>
      <c r="F226" s="7">
        <f t="shared" si="20"/>
        <v>1.0766471499191692</v>
      </c>
      <c r="G226" s="7">
        <f t="shared" si="23"/>
        <v>1.0213028478756274</v>
      </c>
      <c r="H226" s="7">
        <f t="shared" si="24"/>
        <v>0.94871200192423011</v>
      </c>
      <c r="I226" s="7">
        <f t="shared" si="25"/>
        <v>1.1968132126328794</v>
      </c>
      <c r="J226" s="7">
        <f t="shared" si="21"/>
        <v>0.61154774693195202</v>
      </c>
      <c r="K226" s="7">
        <f t="shared" si="26"/>
        <v>0.57169396305317544</v>
      </c>
      <c r="L226" s="7">
        <f t="shared" si="27"/>
        <v>0.40742280858582092</v>
      </c>
      <c r="M226" s="7">
        <f t="shared" si="28"/>
        <v>0.74448623812828751</v>
      </c>
      <c r="N226" s="8">
        <f t="shared" si="22"/>
        <v>5.2820889127143361E-2</v>
      </c>
      <c r="O226" s="8">
        <f t="shared" si="29"/>
        <v>4.9947703153828932E-2</v>
      </c>
      <c r="P226" s="8">
        <f t="shared" si="30"/>
        <v>4.5833356037627546E-2</v>
      </c>
      <c r="Q226" s="8">
        <f t="shared" si="31"/>
        <v>5.0818163313850001E-2</v>
      </c>
    </row>
    <row r="227" spans="1:17" x14ac:dyDescent="0.25">
      <c r="A227" s="5">
        <v>39797</v>
      </c>
      <c r="B227">
        <v>310.17</v>
      </c>
      <c r="C227">
        <v>887.88</v>
      </c>
      <c r="D227" s="6">
        <f t="shared" si="18"/>
        <v>-1.7703318976437732E-2</v>
      </c>
      <c r="E227" s="6">
        <f t="shared" si="19"/>
        <v>9.2642060632239787E-3</v>
      </c>
      <c r="F227" s="7">
        <f t="shared" si="20"/>
        <v>1.0743660784119509</v>
      </c>
      <c r="G227" s="7">
        <f t="shared" si="23"/>
        <v>1.0213028478756274</v>
      </c>
      <c r="H227" s="7">
        <f t="shared" si="24"/>
        <v>0.94871200192423011</v>
      </c>
      <c r="I227" s="7">
        <f t="shared" si="25"/>
        <v>1.1968132126328794</v>
      </c>
      <c r="J227" s="7">
        <f t="shared" si="21"/>
        <v>0.6103020357848189</v>
      </c>
      <c r="K227" s="7">
        <f t="shared" si="26"/>
        <v>0.57169396305317544</v>
      </c>
      <c r="L227" s="7">
        <f t="shared" si="27"/>
        <v>0.40742280858582092</v>
      </c>
      <c r="M227" s="7">
        <f t="shared" si="28"/>
        <v>0.74448623812828751</v>
      </c>
      <c r="N227" s="8">
        <f t="shared" si="22"/>
        <v>5.2838192475900998E-2</v>
      </c>
      <c r="O227" s="8">
        <f t="shared" si="29"/>
        <v>4.9947703153828932E-2</v>
      </c>
      <c r="P227" s="8">
        <f t="shared" si="30"/>
        <v>4.5833356037627546E-2</v>
      </c>
      <c r="Q227" s="8">
        <f t="shared" si="31"/>
        <v>5.0818163313850001E-2</v>
      </c>
    </row>
    <row r="228" spans="1:17" x14ac:dyDescent="0.25">
      <c r="A228" s="5">
        <v>39804</v>
      </c>
      <c r="B228">
        <v>300.36</v>
      </c>
      <c r="C228">
        <v>872.8</v>
      </c>
      <c r="D228" s="6">
        <f t="shared" si="18"/>
        <v>-3.162781700357864E-2</v>
      </c>
      <c r="E228" s="6">
        <f t="shared" si="19"/>
        <v>-1.6984277154570515E-2</v>
      </c>
      <c r="F228" s="7">
        <f t="shared" si="20"/>
        <v>1.073788468692366</v>
      </c>
      <c r="G228" s="7">
        <f t="shared" si="23"/>
        <v>1.0213028478756274</v>
      </c>
      <c r="H228" s="7">
        <f t="shared" si="24"/>
        <v>0.94871200192423011</v>
      </c>
      <c r="I228" s="7">
        <f t="shared" si="25"/>
        <v>1.1968132126328794</v>
      </c>
      <c r="J228" s="7">
        <f t="shared" si="21"/>
        <v>0.61030123025869842</v>
      </c>
      <c r="K228" s="7">
        <f t="shared" si="26"/>
        <v>0.57169396305317544</v>
      </c>
      <c r="L228" s="7">
        <f t="shared" si="27"/>
        <v>0.40742280858582092</v>
      </c>
      <c r="M228" s="7">
        <f t="shared" si="28"/>
        <v>0.74448623812828751</v>
      </c>
      <c r="N228" s="8">
        <f t="shared" si="22"/>
        <v>5.2814979092347759E-2</v>
      </c>
      <c r="O228" s="8">
        <f t="shared" si="29"/>
        <v>4.9947703153828932E-2</v>
      </c>
      <c r="P228" s="8">
        <f t="shared" si="30"/>
        <v>4.5833356037627546E-2</v>
      </c>
      <c r="Q228" s="8">
        <f t="shared" si="31"/>
        <v>5.0818163313850001E-2</v>
      </c>
    </row>
    <row r="229" spans="1:17" x14ac:dyDescent="0.25">
      <c r="A229" s="5">
        <v>39811</v>
      </c>
      <c r="B229">
        <v>321.32</v>
      </c>
      <c r="C229">
        <v>931.8</v>
      </c>
      <c r="D229" s="6">
        <f t="shared" si="18"/>
        <v>6.9782927154081742E-2</v>
      </c>
      <c r="E229" s="6">
        <f t="shared" si="19"/>
        <v>6.759853345554534E-2</v>
      </c>
      <c r="F229" s="7">
        <f t="shared" si="20"/>
        <v>1.052455739207494</v>
      </c>
      <c r="G229" s="7">
        <f t="shared" si="23"/>
        <v>1.0213028478756274</v>
      </c>
      <c r="H229" s="7">
        <f t="shared" si="24"/>
        <v>0.94871200192423011</v>
      </c>
      <c r="I229" s="7">
        <f t="shared" si="25"/>
        <v>1.1968132126328794</v>
      </c>
      <c r="J229" s="7">
        <f t="shared" si="21"/>
        <v>0.61347538500059839</v>
      </c>
      <c r="K229" s="7">
        <f t="shared" si="26"/>
        <v>0.57169396305317544</v>
      </c>
      <c r="L229" s="7">
        <f t="shared" si="27"/>
        <v>0.40742280858582092</v>
      </c>
      <c r="M229" s="7">
        <f t="shared" si="28"/>
        <v>0.74448623812828751</v>
      </c>
      <c r="N229" s="8">
        <f t="shared" si="22"/>
        <v>5.2191553253859053E-2</v>
      </c>
      <c r="O229" s="8">
        <f t="shared" si="29"/>
        <v>4.9947703153828932E-2</v>
      </c>
      <c r="P229" s="8">
        <f t="shared" si="30"/>
        <v>4.5833356037627546E-2</v>
      </c>
      <c r="Q229" s="8">
        <f t="shared" si="31"/>
        <v>5.0818163313850001E-2</v>
      </c>
    </row>
    <row r="230" spans="1:17" x14ac:dyDescent="0.25">
      <c r="A230" s="5">
        <v>39818</v>
      </c>
      <c r="B230">
        <v>315.07</v>
      </c>
      <c r="C230">
        <v>890.35</v>
      </c>
      <c r="D230" s="6">
        <f t="shared" si="18"/>
        <v>-1.9451014564919711E-2</v>
      </c>
      <c r="E230" s="6">
        <f t="shared" si="19"/>
        <v>-4.4483794805752264E-2</v>
      </c>
      <c r="F230" s="7">
        <f t="shared" si="20"/>
        <v>1.0447033157250061</v>
      </c>
      <c r="G230" s="7">
        <f t="shared" si="23"/>
        <v>1.0213028478756274</v>
      </c>
      <c r="H230" s="7">
        <f t="shared" si="24"/>
        <v>0.94871200192423011</v>
      </c>
      <c r="I230" s="7">
        <f t="shared" si="25"/>
        <v>1.1968132126328794</v>
      </c>
      <c r="J230" s="7">
        <f t="shared" si="21"/>
        <v>0.61253469679330441</v>
      </c>
      <c r="K230" s="7">
        <f t="shared" si="26"/>
        <v>0.57169396305317544</v>
      </c>
      <c r="L230" s="7">
        <f t="shared" si="27"/>
        <v>0.40742280858582092</v>
      </c>
      <c r="M230" s="7">
        <f t="shared" si="28"/>
        <v>0.74448623812828751</v>
      </c>
      <c r="N230" s="8">
        <f t="shared" si="22"/>
        <v>5.2211966107685026E-2</v>
      </c>
      <c r="O230" s="8">
        <f t="shared" si="29"/>
        <v>4.9947703153828932E-2</v>
      </c>
      <c r="P230" s="8">
        <f t="shared" si="30"/>
        <v>4.5833356037627546E-2</v>
      </c>
      <c r="Q230" s="8">
        <f t="shared" si="31"/>
        <v>5.0818163313850001E-2</v>
      </c>
    </row>
    <row r="231" spans="1:17" x14ac:dyDescent="0.25">
      <c r="A231" s="5">
        <v>39825</v>
      </c>
      <c r="B231">
        <v>299.67</v>
      </c>
      <c r="C231">
        <v>850.12</v>
      </c>
      <c r="D231" s="6">
        <f t="shared" si="18"/>
        <v>-4.8878027105087707E-2</v>
      </c>
      <c r="E231" s="6">
        <f t="shared" si="19"/>
        <v>-4.5184478014264062E-2</v>
      </c>
      <c r="F231" s="7">
        <f t="shared" si="20"/>
        <v>1.0302570924176604</v>
      </c>
      <c r="G231" s="7">
        <f t="shared" si="23"/>
        <v>1.0213028478756274</v>
      </c>
      <c r="H231" s="7">
        <f t="shared" si="24"/>
        <v>0.94871200192423011</v>
      </c>
      <c r="I231" s="7">
        <f t="shared" si="25"/>
        <v>1.1968132126328794</v>
      </c>
      <c r="J231" s="7">
        <f t="shared" si="21"/>
        <v>0.62047621875129755</v>
      </c>
      <c r="K231" s="7">
        <f t="shared" si="26"/>
        <v>0.57169396305317544</v>
      </c>
      <c r="L231" s="7">
        <f t="shared" si="27"/>
        <v>0.40742280858582092</v>
      </c>
      <c r="M231" s="7">
        <f t="shared" si="28"/>
        <v>0.74448623812828751</v>
      </c>
      <c r="N231" s="8">
        <f t="shared" si="22"/>
        <v>5.1096674925041295E-2</v>
      </c>
      <c r="O231" s="8">
        <f t="shared" si="29"/>
        <v>4.9947703153828932E-2</v>
      </c>
      <c r="P231" s="8">
        <f t="shared" si="30"/>
        <v>4.5833356037627546E-2</v>
      </c>
      <c r="Q231" s="8">
        <f t="shared" si="31"/>
        <v>5.0818163313850001E-2</v>
      </c>
    </row>
    <row r="232" spans="1:17" x14ac:dyDescent="0.25">
      <c r="A232" s="5">
        <v>39833</v>
      </c>
      <c r="B232">
        <v>324.7</v>
      </c>
      <c r="C232">
        <v>831.95</v>
      </c>
      <c r="D232" s="6">
        <f t="shared" si="18"/>
        <v>8.3525211065505367E-2</v>
      </c>
      <c r="E232" s="6">
        <f t="shared" si="19"/>
        <v>-2.1373453159553857E-2</v>
      </c>
      <c r="F232" s="7">
        <f t="shared" si="20"/>
        <v>1.0079990745136045</v>
      </c>
      <c r="G232" s="7">
        <f t="shared" si="23"/>
        <v>1.0213028478756274</v>
      </c>
      <c r="H232" s="7">
        <f t="shared" si="24"/>
        <v>0.94871200192423011</v>
      </c>
      <c r="I232" s="7">
        <f t="shared" si="25"/>
        <v>1.1968132126328794</v>
      </c>
      <c r="J232" s="7">
        <f t="shared" si="21"/>
        <v>0.60723563174527351</v>
      </c>
      <c r="K232" s="7">
        <f t="shared" si="26"/>
        <v>0.57169396305317544</v>
      </c>
      <c r="L232" s="7">
        <f t="shared" si="27"/>
        <v>0.40742280858582092</v>
      </c>
      <c r="M232" s="7">
        <f t="shared" si="28"/>
        <v>0.74448623812828751</v>
      </c>
      <c r="N232" s="8">
        <f t="shared" si="22"/>
        <v>5.1078941595373219E-2</v>
      </c>
      <c r="O232" s="8">
        <f t="shared" si="29"/>
        <v>4.9947703153828932E-2</v>
      </c>
      <c r="P232" s="8">
        <f t="shared" si="30"/>
        <v>4.5833356037627546E-2</v>
      </c>
      <c r="Q232" s="8">
        <f t="shared" si="31"/>
        <v>5.0818163313850001E-2</v>
      </c>
    </row>
    <row r="233" spans="1:17" x14ac:dyDescent="0.25">
      <c r="A233" s="5">
        <v>39839</v>
      </c>
      <c r="B233">
        <v>338.53</v>
      </c>
      <c r="C233">
        <v>825.88</v>
      </c>
      <c r="D233" s="6">
        <f t="shared" si="18"/>
        <v>4.2593162919618122E-2</v>
      </c>
      <c r="E233" s="6">
        <f t="shared" si="19"/>
        <v>-7.2961115451650738E-3</v>
      </c>
      <c r="F233" s="7">
        <f t="shared" si="20"/>
        <v>0.99692645379541123</v>
      </c>
      <c r="G233" s="7">
        <f t="shared" si="23"/>
        <v>1.0213028478756274</v>
      </c>
      <c r="H233" s="7">
        <f t="shared" si="24"/>
        <v>0.94871200192423011</v>
      </c>
      <c r="I233" s="7">
        <f t="shared" si="25"/>
        <v>1.1968132126328794</v>
      </c>
      <c r="J233" s="7">
        <f t="shared" si="21"/>
        <v>0.60973229967145626</v>
      </c>
      <c r="K233" s="7">
        <f t="shared" si="26"/>
        <v>0.57169396305317544</v>
      </c>
      <c r="L233" s="7">
        <f t="shared" si="27"/>
        <v>0.40742280858582092</v>
      </c>
      <c r="M233" s="7">
        <f t="shared" si="28"/>
        <v>0.74448623812828751</v>
      </c>
      <c r="N233" s="8">
        <f t="shared" si="22"/>
        <v>5.0286192386167709E-2</v>
      </c>
      <c r="O233" s="8">
        <f t="shared" si="29"/>
        <v>4.9947703153828932E-2</v>
      </c>
      <c r="P233" s="8">
        <f t="shared" si="30"/>
        <v>4.5833356037627546E-2</v>
      </c>
      <c r="Q233" s="8">
        <f t="shared" si="31"/>
        <v>5.0818163313850001E-2</v>
      </c>
    </row>
    <row r="234" spans="1:17" x14ac:dyDescent="0.25">
      <c r="A234" s="5">
        <v>39846</v>
      </c>
      <c r="B234">
        <v>371.28</v>
      </c>
      <c r="C234">
        <v>868.6</v>
      </c>
      <c r="D234" s="6">
        <f t="shared" si="18"/>
        <v>9.6741795409564846E-2</v>
      </c>
      <c r="E234" s="6">
        <f t="shared" si="19"/>
        <v>5.1726643095849401E-2</v>
      </c>
      <c r="F234" s="7">
        <f t="shared" si="20"/>
        <v>1.0136124399685351</v>
      </c>
      <c r="G234" s="7">
        <f t="shared" si="23"/>
        <v>1.0213028478756274</v>
      </c>
      <c r="H234" s="7">
        <f t="shared" si="24"/>
        <v>0.94871200192423011</v>
      </c>
      <c r="I234" s="7">
        <f t="shared" si="25"/>
        <v>1.1968132126328794</v>
      </c>
      <c r="J234" s="7">
        <f t="shared" si="21"/>
        <v>0.62076894574562103</v>
      </c>
      <c r="K234" s="7">
        <f t="shared" si="26"/>
        <v>0.57169396305317544</v>
      </c>
      <c r="L234" s="7">
        <f t="shared" si="27"/>
        <v>0.40742280858582092</v>
      </c>
      <c r="M234" s="7">
        <f t="shared" si="28"/>
        <v>0.74448623812828751</v>
      </c>
      <c r="N234" s="8">
        <f t="shared" si="22"/>
        <v>5.0705811907053894E-2</v>
      </c>
      <c r="O234" s="8">
        <f t="shared" si="29"/>
        <v>4.9947703153828932E-2</v>
      </c>
      <c r="P234" s="8">
        <f t="shared" si="30"/>
        <v>4.5833356037627546E-2</v>
      </c>
      <c r="Q234" s="8">
        <f t="shared" si="31"/>
        <v>5.0818163313850001E-2</v>
      </c>
    </row>
    <row r="235" spans="1:17" x14ac:dyDescent="0.25">
      <c r="A235" s="5">
        <v>39853</v>
      </c>
      <c r="B235">
        <v>357.68</v>
      </c>
      <c r="C235">
        <v>826.84</v>
      </c>
      <c r="D235" s="6">
        <f t="shared" si="18"/>
        <v>-3.66300366300365E-2</v>
      </c>
      <c r="E235" s="6">
        <f t="shared" si="19"/>
        <v>-4.8077365876122435E-2</v>
      </c>
      <c r="F235" s="7">
        <f t="shared" si="20"/>
        <v>1.0113128346901294</v>
      </c>
      <c r="G235" s="7">
        <f t="shared" si="23"/>
        <v>1.0213028478756274</v>
      </c>
      <c r="H235" s="7">
        <f t="shared" si="24"/>
        <v>0.94871200192423011</v>
      </c>
      <c r="I235" s="7">
        <f t="shared" si="25"/>
        <v>1.1968132126328794</v>
      </c>
      <c r="J235" s="7">
        <f t="shared" si="21"/>
        <v>0.62209828060800076</v>
      </c>
      <c r="K235" s="7">
        <f t="shared" si="26"/>
        <v>0.57169396305317544</v>
      </c>
      <c r="L235" s="7">
        <f t="shared" si="27"/>
        <v>0.40742280858582092</v>
      </c>
      <c r="M235" s="7">
        <f t="shared" si="28"/>
        <v>0.74448623812828751</v>
      </c>
      <c r="N235" s="8">
        <f t="shared" si="22"/>
        <v>5.0781025969548123E-2</v>
      </c>
      <c r="O235" s="8">
        <f t="shared" si="29"/>
        <v>4.9947703153828932E-2</v>
      </c>
      <c r="P235" s="8">
        <f t="shared" si="30"/>
        <v>4.5833356037627546E-2</v>
      </c>
      <c r="Q235" s="8">
        <f t="shared" si="31"/>
        <v>5.0818163313850001E-2</v>
      </c>
    </row>
    <row r="236" spans="1:17" x14ac:dyDescent="0.25">
      <c r="A236" s="5">
        <v>39861</v>
      </c>
      <c r="B236">
        <v>346.45</v>
      </c>
      <c r="C236">
        <v>770.05</v>
      </c>
      <c r="D236" s="6">
        <f t="shared" si="18"/>
        <v>-3.139677924401707E-2</v>
      </c>
      <c r="E236" s="6">
        <f t="shared" si="19"/>
        <v>-6.8683179333365652E-2</v>
      </c>
      <c r="F236" s="7">
        <f t="shared" si="20"/>
        <v>0.99622287084628469</v>
      </c>
      <c r="G236" s="7">
        <f t="shared" si="23"/>
        <v>1.0213028478756274</v>
      </c>
      <c r="H236" s="7">
        <f t="shared" si="24"/>
        <v>0.94871200192423011</v>
      </c>
      <c r="I236" s="7">
        <f t="shared" si="25"/>
        <v>1.1968132126328794</v>
      </c>
      <c r="J236" s="7">
        <f t="shared" si="21"/>
        <v>0.62110511109678435</v>
      </c>
      <c r="K236" s="7">
        <f t="shared" si="26"/>
        <v>0.57169396305317544</v>
      </c>
      <c r="L236" s="7">
        <f t="shared" si="27"/>
        <v>0.40742280858582092</v>
      </c>
      <c r="M236" s="7">
        <f t="shared" si="28"/>
        <v>0.74448623812828751</v>
      </c>
      <c r="N236" s="8">
        <f t="shared" si="22"/>
        <v>5.0814870008578809E-2</v>
      </c>
      <c r="O236" s="8">
        <f t="shared" si="29"/>
        <v>4.9947703153828932E-2</v>
      </c>
      <c r="P236" s="8">
        <f t="shared" si="30"/>
        <v>4.5833356037627546E-2</v>
      </c>
      <c r="Q236" s="8">
        <f t="shared" si="31"/>
        <v>5.0818163313850001E-2</v>
      </c>
    </row>
    <row r="237" spans="1:17" x14ac:dyDescent="0.25">
      <c r="A237" s="5">
        <v>39867</v>
      </c>
      <c r="B237">
        <v>337.99</v>
      </c>
      <c r="C237">
        <v>735.09</v>
      </c>
      <c r="D237" s="6">
        <f t="shared" si="18"/>
        <v>-2.441910809640635E-2</v>
      </c>
      <c r="E237" s="6">
        <f t="shared" si="19"/>
        <v>-4.5399649373417228E-2</v>
      </c>
      <c r="F237" s="7">
        <f t="shared" si="20"/>
        <v>0.99159841084264932</v>
      </c>
      <c r="G237" s="7">
        <f t="shared" si="23"/>
        <v>1.0213028478756274</v>
      </c>
      <c r="H237" s="7">
        <f t="shared" si="24"/>
        <v>0.94871200192423011</v>
      </c>
      <c r="I237" s="7">
        <f t="shared" si="25"/>
        <v>1.1968132126328794</v>
      </c>
      <c r="J237" s="7">
        <f t="shared" si="21"/>
        <v>0.62128740671546301</v>
      </c>
      <c r="K237" s="7">
        <f t="shared" si="26"/>
        <v>0.57169396305317544</v>
      </c>
      <c r="L237" s="7">
        <f t="shared" si="27"/>
        <v>0.40742280858582092</v>
      </c>
      <c r="M237" s="7">
        <f t="shared" si="28"/>
        <v>0.74448623812828751</v>
      </c>
      <c r="N237" s="8">
        <f t="shared" si="22"/>
        <v>5.0854397843287394E-2</v>
      </c>
      <c r="O237" s="8">
        <f t="shared" si="29"/>
        <v>4.9947703153828932E-2</v>
      </c>
      <c r="P237" s="8">
        <f t="shared" si="30"/>
        <v>4.5833356037627546E-2</v>
      </c>
      <c r="Q237" s="8">
        <f t="shared" si="31"/>
        <v>5.0818163313850001E-2</v>
      </c>
    </row>
    <row r="238" spans="1:17" x14ac:dyDescent="0.25">
      <c r="A238" s="5">
        <v>39874</v>
      </c>
      <c r="B238">
        <v>308.57</v>
      </c>
      <c r="C238">
        <v>683.38</v>
      </c>
      <c r="D238" s="6">
        <f t="shared" si="18"/>
        <v>-8.7043995384478823E-2</v>
      </c>
      <c r="E238" s="6">
        <f t="shared" si="19"/>
        <v>-7.0345127807479368E-2</v>
      </c>
      <c r="F238" s="7">
        <f t="shared" si="20"/>
        <v>0.9995052144362645</v>
      </c>
      <c r="G238" s="7">
        <f t="shared" si="23"/>
        <v>1.0213028478756274</v>
      </c>
      <c r="H238" s="7">
        <f t="shared" si="24"/>
        <v>0.94871200192423011</v>
      </c>
      <c r="I238" s="7">
        <f t="shared" si="25"/>
        <v>1.1968132126328794</v>
      </c>
      <c r="J238" s="7">
        <f t="shared" si="21"/>
        <v>0.63825796767765453</v>
      </c>
      <c r="K238" s="7">
        <f t="shared" si="26"/>
        <v>0.57169396305317544</v>
      </c>
      <c r="L238" s="7">
        <f t="shared" si="27"/>
        <v>0.40742280858582092</v>
      </c>
      <c r="M238" s="7">
        <f t="shared" si="28"/>
        <v>0.74448623812828751</v>
      </c>
      <c r="N238" s="8">
        <f t="shared" si="22"/>
        <v>5.0600372549890776E-2</v>
      </c>
      <c r="O238" s="8">
        <f t="shared" si="29"/>
        <v>4.9947703153828932E-2</v>
      </c>
      <c r="P238" s="8">
        <f t="shared" si="30"/>
        <v>4.5833356037627546E-2</v>
      </c>
      <c r="Q238" s="8">
        <f t="shared" si="31"/>
        <v>5.0818163313850001E-2</v>
      </c>
    </row>
    <row r="239" spans="1:17" x14ac:dyDescent="0.25">
      <c r="A239" s="5">
        <v>39881</v>
      </c>
      <c r="B239">
        <v>324.42</v>
      </c>
      <c r="C239">
        <v>756.55</v>
      </c>
      <c r="D239" s="6">
        <f t="shared" si="18"/>
        <v>5.1365978546197066E-2</v>
      </c>
      <c r="E239" s="6">
        <f t="shared" si="19"/>
        <v>0.10707073663262023</v>
      </c>
      <c r="F239" s="7">
        <f t="shared" si="20"/>
        <v>0.96410313405162484</v>
      </c>
      <c r="G239" s="7">
        <f t="shared" si="23"/>
        <v>1.0213028478756274</v>
      </c>
      <c r="H239" s="7">
        <f t="shared" si="24"/>
        <v>0.94871200192423011</v>
      </c>
      <c r="I239" s="7">
        <f t="shared" si="25"/>
        <v>1.1968132126328794</v>
      </c>
      <c r="J239" s="7">
        <f t="shared" si="21"/>
        <v>0.63522732868867671</v>
      </c>
      <c r="K239" s="7">
        <f t="shared" si="26"/>
        <v>0.57169396305317544</v>
      </c>
      <c r="L239" s="7">
        <f t="shared" si="27"/>
        <v>0.40742280858582092</v>
      </c>
      <c r="M239" s="7">
        <f t="shared" si="28"/>
        <v>0.74448623812828751</v>
      </c>
      <c r="N239" s="8">
        <f t="shared" si="22"/>
        <v>5.0759539416508244E-2</v>
      </c>
      <c r="O239" s="8">
        <f t="shared" si="29"/>
        <v>4.9947703153828932E-2</v>
      </c>
      <c r="P239" s="8">
        <f t="shared" si="30"/>
        <v>4.5833356037627546E-2</v>
      </c>
      <c r="Q239" s="8">
        <f t="shared" si="31"/>
        <v>5.0818163313850001E-2</v>
      </c>
    </row>
    <row r="240" spans="1:17" x14ac:dyDescent="0.25">
      <c r="A240" s="5">
        <v>39888</v>
      </c>
      <c r="B240">
        <v>330.16</v>
      </c>
      <c r="C240">
        <v>768.54</v>
      </c>
      <c r="D240" s="6">
        <f t="shared" si="18"/>
        <v>1.7693113864743371E-2</v>
      </c>
      <c r="E240" s="6">
        <f t="shared" si="19"/>
        <v>1.5848258542066063E-2</v>
      </c>
      <c r="F240" s="7">
        <f t="shared" si="20"/>
        <v>0.96416350377279747</v>
      </c>
      <c r="G240" s="7">
        <f t="shared" si="23"/>
        <v>1.0213028478756274</v>
      </c>
      <c r="H240" s="7">
        <f t="shared" si="24"/>
        <v>0.94871200192423011</v>
      </c>
      <c r="I240" s="7">
        <f t="shared" si="25"/>
        <v>1.1968132126328794</v>
      </c>
      <c r="J240" s="7">
        <f t="shared" si="21"/>
        <v>0.64026119418805005</v>
      </c>
      <c r="K240" s="7">
        <f t="shared" si="26"/>
        <v>0.57169396305317544</v>
      </c>
      <c r="L240" s="7">
        <f t="shared" si="27"/>
        <v>0.40742280858582092</v>
      </c>
      <c r="M240" s="7">
        <f t="shared" si="28"/>
        <v>0.74448623812828751</v>
      </c>
      <c r="N240" s="8">
        <f t="shared" si="22"/>
        <v>5.0414109771729519E-2</v>
      </c>
      <c r="O240" s="8">
        <f t="shared" si="29"/>
        <v>4.9947703153828932E-2</v>
      </c>
      <c r="P240" s="8">
        <f t="shared" si="30"/>
        <v>4.5833356037627546E-2</v>
      </c>
      <c r="Q240" s="8">
        <f t="shared" si="31"/>
        <v>5.0818163313850001E-2</v>
      </c>
    </row>
    <row r="241" spans="1:17" x14ac:dyDescent="0.25">
      <c r="A241" s="5">
        <v>39895</v>
      </c>
      <c r="B241">
        <v>347.7</v>
      </c>
      <c r="C241">
        <v>815.94</v>
      </c>
      <c r="D241" s="6">
        <f t="shared" si="18"/>
        <v>5.3125757208626112E-2</v>
      </c>
      <c r="E241" s="6">
        <f t="shared" si="19"/>
        <v>6.1675384495276875E-2</v>
      </c>
      <c r="F241" s="7">
        <f t="shared" si="20"/>
        <v>0.96217967959789985</v>
      </c>
      <c r="G241" s="7">
        <f t="shared" si="23"/>
        <v>1.0213028478756274</v>
      </c>
      <c r="H241" s="7">
        <f t="shared" si="24"/>
        <v>0.94871200192423011</v>
      </c>
      <c r="I241" s="7">
        <f t="shared" si="25"/>
        <v>1.1968132126328794</v>
      </c>
      <c r="J241" s="7">
        <f t="shared" si="21"/>
        <v>0.6476808829092553</v>
      </c>
      <c r="K241" s="7">
        <f t="shared" si="26"/>
        <v>0.57169396305317544</v>
      </c>
      <c r="L241" s="7">
        <f t="shared" si="27"/>
        <v>0.40742280858582092</v>
      </c>
      <c r="M241" s="7">
        <f t="shared" si="28"/>
        <v>0.74448623812828751</v>
      </c>
      <c r="N241" s="8">
        <f t="shared" si="22"/>
        <v>5.0316145514329565E-2</v>
      </c>
      <c r="O241" s="8">
        <f t="shared" si="29"/>
        <v>4.9947703153828932E-2</v>
      </c>
      <c r="P241" s="8">
        <f t="shared" si="30"/>
        <v>4.5833356037627546E-2</v>
      </c>
      <c r="Q241" s="8">
        <f t="shared" si="31"/>
        <v>5.0818163313850001E-2</v>
      </c>
    </row>
    <row r="242" spans="1:17" x14ac:dyDescent="0.25">
      <c r="A242" s="5">
        <v>39902</v>
      </c>
      <c r="B242">
        <v>369.78</v>
      </c>
      <c r="C242">
        <v>842.5</v>
      </c>
      <c r="D242" s="6">
        <f t="shared" si="18"/>
        <v>6.3503019844693753E-2</v>
      </c>
      <c r="E242" s="6">
        <f t="shared" si="19"/>
        <v>3.2551413094100035E-2</v>
      </c>
      <c r="F242" s="7">
        <f t="shared" si="20"/>
        <v>0.96727775299526597</v>
      </c>
      <c r="G242" s="7">
        <f t="shared" si="23"/>
        <v>1.0213028478756274</v>
      </c>
      <c r="H242" s="7">
        <f t="shared" si="24"/>
        <v>0.94871200192423011</v>
      </c>
      <c r="I242" s="7">
        <f t="shared" si="25"/>
        <v>1.1968132126328794</v>
      </c>
      <c r="J242" s="7">
        <f t="shared" si="21"/>
        <v>0.6514155771382355</v>
      </c>
      <c r="K242" s="7">
        <f t="shared" si="26"/>
        <v>0.57169396305317544</v>
      </c>
      <c r="L242" s="7">
        <f t="shared" si="27"/>
        <v>0.40742280858582092</v>
      </c>
      <c r="M242" s="7">
        <f t="shared" si="28"/>
        <v>0.74448623812828751</v>
      </c>
      <c r="N242" s="8">
        <f t="shared" si="22"/>
        <v>5.0461753887315899E-2</v>
      </c>
      <c r="O242" s="8">
        <f t="shared" si="29"/>
        <v>4.9947703153828932E-2</v>
      </c>
      <c r="P242" s="8">
        <f t="shared" si="30"/>
        <v>4.5833356037627546E-2</v>
      </c>
      <c r="Q242" s="8">
        <f t="shared" si="31"/>
        <v>5.0818163313850001E-2</v>
      </c>
    </row>
    <row r="243" spans="1:17" x14ac:dyDescent="0.25">
      <c r="A243" s="5">
        <v>39909</v>
      </c>
      <c r="B243">
        <v>372.5</v>
      </c>
      <c r="C243">
        <v>856.56</v>
      </c>
      <c r="D243" s="6">
        <f t="shared" si="18"/>
        <v>7.35572502569104E-3</v>
      </c>
      <c r="E243" s="6">
        <f t="shared" si="19"/>
        <v>1.6688427299703212E-2</v>
      </c>
      <c r="F243" s="7">
        <f t="shared" si="20"/>
        <v>0.96595386138020756</v>
      </c>
      <c r="G243" s="7">
        <f t="shared" si="23"/>
        <v>1.0213028478756274</v>
      </c>
      <c r="H243" s="7">
        <f t="shared" si="24"/>
        <v>0.94871200192423011</v>
      </c>
      <c r="I243" s="7">
        <f t="shared" si="25"/>
        <v>1.1968132126328794</v>
      </c>
      <c r="J243" s="7">
        <f t="shared" si="21"/>
        <v>0.65120195721160234</v>
      </c>
      <c r="K243" s="7">
        <f t="shared" si="26"/>
        <v>0.57169396305317544</v>
      </c>
      <c r="L243" s="7">
        <f t="shared" si="27"/>
        <v>0.40742280858582092</v>
      </c>
      <c r="M243" s="7">
        <f t="shared" si="28"/>
        <v>0.74448623812828751</v>
      </c>
      <c r="N243" s="8">
        <f t="shared" si="22"/>
        <v>5.0457440668544788E-2</v>
      </c>
      <c r="O243" s="8">
        <f t="shared" si="29"/>
        <v>4.9947703153828932E-2</v>
      </c>
      <c r="P243" s="8">
        <f t="shared" si="30"/>
        <v>4.5833356037627546E-2</v>
      </c>
      <c r="Q243" s="8">
        <f t="shared" si="31"/>
        <v>5.0818163313850001E-2</v>
      </c>
    </row>
    <row r="244" spans="1:17" x14ac:dyDescent="0.25">
      <c r="A244" s="5">
        <v>39916</v>
      </c>
      <c r="B244">
        <v>392.24</v>
      </c>
      <c r="C244">
        <v>869.6</v>
      </c>
      <c r="D244" s="6">
        <f t="shared" si="18"/>
        <v>5.2993288590604148E-2</v>
      </c>
      <c r="E244" s="6">
        <f t="shared" si="19"/>
        <v>1.5223685439432311E-2</v>
      </c>
      <c r="F244" s="7">
        <f t="shared" si="20"/>
        <v>0.96215742019738626</v>
      </c>
      <c r="G244" s="7">
        <f t="shared" si="23"/>
        <v>1.0213028478756274</v>
      </c>
      <c r="H244" s="7">
        <f t="shared" si="24"/>
        <v>0.94871200192423011</v>
      </c>
      <c r="I244" s="7">
        <f t="shared" si="25"/>
        <v>1.1968132126328794</v>
      </c>
      <c r="J244" s="7">
        <f t="shared" si="21"/>
        <v>0.65238053675950891</v>
      </c>
      <c r="K244" s="7">
        <f t="shared" si="26"/>
        <v>0.57169396305317544</v>
      </c>
      <c r="L244" s="7">
        <f t="shared" si="27"/>
        <v>0.40742280858582092</v>
      </c>
      <c r="M244" s="7">
        <f t="shared" si="28"/>
        <v>0.74448623812828751</v>
      </c>
      <c r="N244" s="8">
        <f t="shared" si="22"/>
        <v>5.0158363794874747E-2</v>
      </c>
      <c r="O244" s="8">
        <f t="shared" si="29"/>
        <v>4.9947703153828932E-2</v>
      </c>
      <c r="P244" s="8">
        <f t="shared" si="30"/>
        <v>4.5833356037627546E-2</v>
      </c>
      <c r="Q244" s="8">
        <f t="shared" si="31"/>
        <v>5.0818163313850001E-2</v>
      </c>
    </row>
    <row r="245" spans="1:17" x14ac:dyDescent="0.25">
      <c r="A245" s="5">
        <v>39923</v>
      </c>
      <c r="B245">
        <v>389.49</v>
      </c>
      <c r="C245">
        <v>866.23</v>
      </c>
      <c r="D245" s="6">
        <f t="shared" si="18"/>
        <v>-7.0110136651030386E-3</v>
      </c>
      <c r="E245" s="6">
        <f t="shared" si="19"/>
        <v>-3.8753449862005684E-3</v>
      </c>
      <c r="F245" s="7">
        <f t="shared" si="20"/>
        <v>0.96260986927460679</v>
      </c>
      <c r="G245" s="7">
        <f t="shared" si="23"/>
        <v>1.0213028478756274</v>
      </c>
      <c r="H245" s="7">
        <f t="shared" si="24"/>
        <v>0.94871200192423011</v>
      </c>
      <c r="I245" s="7">
        <f t="shared" si="25"/>
        <v>1.1968132126328794</v>
      </c>
      <c r="J245" s="7">
        <f t="shared" si="21"/>
        <v>0.65429361180458545</v>
      </c>
      <c r="K245" s="7">
        <f t="shared" si="26"/>
        <v>0.57169396305317544</v>
      </c>
      <c r="L245" s="7">
        <f t="shared" si="27"/>
        <v>0.40742280858582092</v>
      </c>
      <c r="M245" s="7">
        <f t="shared" si="28"/>
        <v>0.74448623812828751</v>
      </c>
      <c r="N245" s="8">
        <f t="shared" si="22"/>
        <v>5.0035357979482366E-2</v>
      </c>
      <c r="O245" s="8">
        <f t="shared" si="29"/>
        <v>4.9947703153828932E-2</v>
      </c>
      <c r="P245" s="8">
        <f t="shared" si="30"/>
        <v>4.5833356037627546E-2</v>
      </c>
      <c r="Q245" s="8">
        <f t="shared" si="31"/>
        <v>5.0818163313850001E-2</v>
      </c>
    </row>
    <row r="246" spans="1:17" x14ac:dyDescent="0.25">
      <c r="A246" s="5">
        <v>39930</v>
      </c>
      <c r="B246">
        <v>393.69</v>
      </c>
      <c r="C246">
        <v>877.52</v>
      </c>
      <c r="D246" s="6">
        <f t="shared" si="18"/>
        <v>1.0783332049603356E-2</v>
      </c>
      <c r="E246" s="6">
        <f t="shared" si="19"/>
        <v>1.3033489950705857E-2</v>
      </c>
      <c r="F246" s="7">
        <f t="shared" si="20"/>
        <v>0.9675447273873069</v>
      </c>
      <c r="G246" s="7">
        <f t="shared" si="23"/>
        <v>1.0213028478756274</v>
      </c>
      <c r="H246" s="7">
        <f t="shared" si="24"/>
        <v>0.94871200192423011</v>
      </c>
      <c r="I246" s="7">
        <f t="shared" si="25"/>
        <v>1.1968132126328794</v>
      </c>
      <c r="J246" s="7">
        <f t="shared" si="21"/>
        <v>0.66045332696422676</v>
      </c>
      <c r="K246" s="7">
        <f t="shared" si="26"/>
        <v>0.57169396305317544</v>
      </c>
      <c r="L246" s="7">
        <f t="shared" si="27"/>
        <v>0.40742280858582092</v>
      </c>
      <c r="M246" s="7">
        <f t="shared" si="28"/>
        <v>0.74448623812828751</v>
      </c>
      <c r="N246" s="8">
        <f t="shared" si="22"/>
        <v>4.9828660630577608E-2</v>
      </c>
      <c r="O246" s="8">
        <f t="shared" si="29"/>
        <v>4.9947703153828932E-2</v>
      </c>
      <c r="P246" s="8">
        <f t="shared" si="30"/>
        <v>4.5833356037627546E-2</v>
      </c>
      <c r="Q246" s="8">
        <f t="shared" si="31"/>
        <v>5.0818163313850001E-2</v>
      </c>
    </row>
    <row r="247" spans="1:17" x14ac:dyDescent="0.25">
      <c r="A247" s="5">
        <v>39937</v>
      </c>
      <c r="B247">
        <v>407.33</v>
      </c>
      <c r="C247">
        <v>929.23</v>
      </c>
      <c r="D247" s="6">
        <f t="shared" si="18"/>
        <v>3.4646549315451303E-2</v>
      </c>
      <c r="E247" s="6">
        <f t="shared" si="19"/>
        <v>5.8927431853404988E-2</v>
      </c>
      <c r="F247" s="7">
        <f t="shared" si="20"/>
        <v>0.9552224292838436</v>
      </c>
      <c r="G247" s="7">
        <f t="shared" si="23"/>
        <v>1.0213028478756274</v>
      </c>
      <c r="H247" s="7">
        <f t="shared" si="24"/>
        <v>0.94871200192423011</v>
      </c>
      <c r="I247" s="7">
        <f t="shared" si="25"/>
        <v>1.1968132126328794</v>
      </c>
      <c r="J247" s="7">
        <f t="shared" si="21"/>
        <v>0.65903900374932545</v>
      </c>
      <c r="K247" s="7">
        <f t="shared" si="26"/>
        <v>0.57169396305317544</v>
      </c>
      <c r="L247" s="7">
        <f t="shared" si="27"/>
        <v>0.40742280858582092</v>
      </c>
      <c r="M247" s="7">
        <f t="shared" si="28"/>
        <v>0.74448623812828751</v>
      </c>
      <c r="N247" s="8">
        <f t="shared" si="22"/>
        <v>4.9720796769882003E-2</v>
      </c>
      <c r="O247" s="8">
        <f t="shared" si="29"/>
        <v>4.9947703153828932E-2</v>
      </c>
      <c r="P247" s="8">
        <f t="shared" si="30"/>
        <v>4.5833356037627546E-2</v>
      </c>
      <c r="Q247" s="8">
        <f t="shared" si="31"/>
        <v>5.0818163313850001E-2</v>
      </c>
    </row>
    <row r="248" spans="1:17" x14ac:dyDescent="0.25">
      <c r="A248" s="5">
        <v>39944</v>
      </c>
      <c r="B248">
        <v>390</v>
      </c>
      <c r="C248">
        <v>882.88</v>
      </c>
      <c r="D248" s="6">
        <f t="shared" si="18"/>
        <v>-4.2545356344978247E-2</v>
      </c>
      <c r="E248" s="6">
        <f t="shared" si="19"/>
        <v>-4.9880008178814772E-2</v>
      </c>
      <c r="F248" s="7">
        <f t="shared" si="20"/>
        <v>0.95507470913811632</v>
      </c>
      <c r="G248" s="7">
        <f t="shared" si="23"/>
        <v>1.0213028478756274</v>
      </c>
      <c r="H248" s="7">
        <f t="shared" si="24"/>
        <v>0.94871200192423011</v>
      </c>
      <c r="I248" s="7">
        <f t="shared" si="25"/>
        <v>1.1968132126328794</v>
      </c>
      <c r="J248" s="7">
        <f t="shared" si="21"/>
        <v>0.66104479412564976</v>
      </c>
      <c r="K248" s="7">
        <f t="shared" si="26"/>
        <v>0.57169396305317544</v>
      </c>
      <c r="L248" s="7">
        <f t="shared" si="27"/>
        <v>0.40742280858582092</v>
      </c>
      <c r="M248" s="7">
        <f t="shared" si="28"/>
        <v>0.74448623812828751</v>
      </c>
      <c r="N248" s="8">
        <f t="shared" si="22"/>
        <v>4.9836409737121869E-2</v>
      </c>
      <c r="O248" s="8">
        <f t="shared" si="29"/>
        <v>4.9947703153828932E-2</v>
      </c>
      <c r="P248" s="8">
        <f t="shared" si="30"/>
        <v>4.5833356037627546E-2</v>
      </c>
      <c r="Q248" s="8">
        <f t="shared" si="31"/>
        <v>5.0818163313850001E-2</v>
      </c>
    </row>
    <row r="249" spans="1:17" x14ac:dyDescent="0.25">
      <c r="A249" s="5">
        <v>39951</v>
      </c>
      <c r="B249">
        <v>393.5</v>
      </c>
      <c r="C249">
        <v>887</v>
      </c>
      <c r="D249" s="6">
        <f t="shared" si="18"/>
        <v>8.9743589743589425E-3</v>
      </c>
      <c r="E249" s="6">
        <f t="shared" si="19"/>
        <v>4.6665458499457468E-3</v>
      </c>
      <c r="F249" s="7">
        <f t="shared" si="20"/>
        <v>0.95397705445759451</v>
      </c>
      <c r="G249" s="7">
        <f t="shared" si="23"/>
        <v>1.0213028478756274</v>
      </c>
      <c r="H249" s="7">
        <f t="shared" si="24"/>
        <v>0.94871200192423011</v>
      </c>
      <c r="I249" s="7">
        <f t="shared" si="25"/>
        <v>1.1968132126328794</v>
      </c>
      <c r="J249" s="7">
        <f t="shared" si="21"/>
        <v>0.6607731893973785</v>
      </c>
      <c r="K249" s="7">
        <f t="shared" si="26"/>
        <v>0.57169396305317544</v>
      </c>
      <c r="L249" s="7">
        <f t="shared" si="27"/>
        <v>0.40742280858582092</v>
      </c>
      <c r="M249" s="7">
        <f t="shared" si="28"/>
        <v>0.74448623812828751</v>
      </c>
      <c r="N249" s="8">
        <f t="shared" si="22"/>
        <v>4.9785472136144912E-2</v>
      </c>
      <c r="O249" s="8">
        <f t="shared" si="29"/>
        <v>4.9947703153828932E-2</v>
      </c>
      <c r="P249" s="8">
        <f t="shared" si="30"/>
        <v>4.5833356037627546E-2</v>
      </c>
      <c r="Q249" s="8">
        <f t="shared" si="31"/>
        <v>5.0818163313850001E-2</v>
      </c>
    </row>
    <row r="250" spans="1:17" x14ac:dyDescent="0.25">
      <c r="A250" s="5">
        <v>39959</v>
      </c>
      <c r="B250">
        <v>417.23</v>
      </c>
      <c r="C250">
        <v>919.14</v>
      </c>
      <c r="D250" s="6">
        <f t="shared" si="18"/>
        <v>6.030495552731896E-2</v>
      </c>
      <c r="E250" s="6">
        <f t="shared" si="19"/>
        <v>3.623449830890646E-2</v>
      </c>
      <c r="F250" s="7">
        <f t="shared" si="20"/>
        <v>0.95914628063800833</v>
      </c>
      <c r="G250" s="7">
        <f t="shared" si="23"/>
        <v>1.0213028478756274</v>
      </c>
      <c r="H250" s="7">
        <f t="shared" si="24"/>
        <v>0.94871200192423011</v>
      </c>
      <c r="I250" s="7">
        <f t="shared" si="25"/>
        <v>1.1968132126328794</v>
      </c>
      <c r="J250" s="7">
        <f t="shared" si="21"/>
        <v>0.66389672137585642</v>
      </c>
      <c r="K250" s="7">
        <f t="shared" si="26"/>
        <v>0.57169396305317544</v>
      </c>
      <c r="L250" s="7">
        <f t="shared" si="27"/>
        <v>0.40742280858582092</v>
      </c>
      <c r="M250" s="7">
        <f t="shared" si="28"/>
        <v>0.74448623812828751</v>
      </c>
      <c r="N250" s="8">
        <f t="shared" si="22"/>
        <v>5.000361924204582E-2</v>
      </c>
      <c r="O250" s="8">
        <f t="shared" si="29"/>
        <v>4.9947703153828932E-2</v>
      </c>
      <c r="P250" s="8">
        <f t="shared" si="30"/>
        <v>4.5833356037627546E-2</v>
      </c>
      <c r="Q250" s="8">
        <f t="shared" si="31"/>
        <v>5.0818163313850001E-2</v>
      </c>
    </row>
    <row r="251" spans="1:17" x14ac:dyDescent="0.25">
      <c r="A251" s="5">
        <v>39965</v>
      </c>
      <c r="B251">
        <v>444.32</v>
      </c>
      <c r="C251">
        <v>940.09</v>
      </c>
      <c r="D251" s="6">
        <f t="shared" si="18"/>
        <v>6.4928217050547632E-2</v>
      </c>
      <c r="E251" s="6">
        <f t="shared" si="19"/>
        <v>2.2793045673129342E-2</v>
      </c>
      <c r="F251" s="7">
        <f t="shared" si="20"/>
        <v>0.97027596996230903</v>
      </c>
      <c r="G251" s="7">
        <f t="shared" si="23"/>
        <v>1.0213028478756274</v>
      </c>
      <c r="H251" s="7">
        <f t="shared" si="24"/>
        <v>0.94871200192423011</v>
      </c>
      <c r="I251" s="7">
        <f t="shared" si="25"/>
        <v>1.1968132126328794</v>
      </c>
      <c r="J251" s="7">
        <f t="shared" si="21"/>
        <v>0.66824716881325485</v>
      </c>
      <c r="K251" s="7">
        <f t="shared" si="26"/>
        <v>0.57169396305317544</v>
      </c>
      <c r="L251" s="7">
        <f t="shared" si="27"/>
        <v>0.40742280858582092</v>
      </c>
      <c r="M251" s="7">
        <f t="shared" si="28"/>
        <v>0.74448623812828751</v>
      </c>
      <c r="N251" s="8">
        <f t="shared" si="22"/>
        <v>5.0238770789764201E-2</v>
      </c>
      <c r="O251" s="8">
        <f t="shared" si="29"/>
        <v>4.9947703153828932E-2</v>
      </c>
      <c r="P251" s="8">
        <f t="shared" si="30"/>
        <v>4.5833356037627546E-2</v>
      </c>
      <c r="Q251" s="8">
        <f t="shared" si="31"/>
        <v>5.0818163313850001E-2</v>
      </c>
    </row>
    <row r="252" spans="1:17" x14ac:dyDescent="0.25">
      <c r="A252" s="5">
        <v>39972</v>
      </c>
      <c r="B252">
        <v>424.84</v>
      </c>
      <c r="C252">
        <v>946.21</v>
      </c>
      <c r="D252" s="6">
        <f t="shared" si="18"/>
        <v>-4.3842275837234435E-2</v>
      </c>
      <c r="E252" s="6">
        <f t="shared" si="19"/>
        <v>6.5100149985639622E-3</v>
      </c>
      <c r="F252" s="7">
        <f t="shared" si="20"/>
        <v>0.96804909098467218</v>
      </c>
      <c r="G252" s="7">
        <f t="shared" si="23"/>
        <v>1.0213028478756274</v>
      </c>
      <c r="H252" s="7">
        <f t="shared" si="24"/>
        <v>0.94871200192423011</v>
      </c>
      <c r="I252" s="7">
        <f t="shared" si="25"/>
        <v>1.1968132126328794</v>
      </c>
      <c r="J252" s="7">
        <f t="shared" si="21"/>
        <v>0.6651116322551347</v>
      </c>
      <c r="K252" s="7">
        <f t="shared" si="26"/>
        <v>0.57169396305317544</v>
      </c>
      <c r="L252" s="7">
        <f t="shared" si="27"/>
        <v>0.40742280858582092</v>
      </c>
      <c r="M252" s="7">
        <f t="shared" si="28"/>
        <v>0.74448623812828751</v>
      </c>
      <c r="N252" s="8">
        <f t="shared" si="22"/>
        <v>5.0367737812509146E-2</v>
      </c>
      <c r="O252" s="8">
        <f t="shared" si="29"/>
        <v>4.9947703153828932E-2</v>
      </c>
      <c r="P252" s="8">
        <f t="shared" si="30"/>
        <v>4.5833356037627546E-2</v>
      </c>
      <c r="Q252" s="8">
        <f t="shared" si="31"/>
        <v>5.0818163313850001E-2</v>
      </c>
    </row>
    <row r="253" spans="1:17" x14ac:dyDescent="0.25">
      <c r="A253" s="5">
        <v>39979</v>
      </c>
      <c r="B253">
        <v>420.09</v>
      </c>
      <c r="C253">
        <v>921.23</v>
      </c>
      <c r="D253" s="6">
        <f t="shared" si="18"/>
        <v>-1.1180679785330994E-2</v>
      </c>
      <c r="E253" s="6">
        <f t="shared" si="19"/>
        <v>-2.6400059183479319E-2</v>
      </c>
      <c r="F253" s="7">
        <f t="shared" si="20"/>
        <v>0.96741084128730914</v>
      </c>
      <c r="G253" s="7">
        <f t="shared" si="23"/>
        <v>1.0213028478756274</v>
      </c>
      <c r="H253" s="7">
        <f t="shared" si="24"/>
        <v>0.94871200192423011</v>
      </c>
      <c r="I253" s="7">
        <f t="shared" si="25"/>
        <v>1.1968132126328794</v>
      </c>
      <c r="J253" s="7">
        <f t="shared" si="21"/>
        <v>0.6666329756257009</v>
      </c>
      <c r="K253" s="7">
        <f t="shared" si="26"/>
        <v>0.57169396305317544</v>
      </c>
      <c r="L253" s="7">
        <f t="shared" si="27"/>
        <v>0.40742280858582092</v>
      </c>
      <c r="M253" s="7">
        <f t="shared" si="28"/>
        <v>0.74448623812828751</v>
      </c>
      <c r="N253" s="8">
        <f t="shared" si="22"/>
        <v>5.0302051049103465E-2</v>
      </c>
      <c r="O253" s="8">
        <f t="shared" si="29"/>
        <v>4.9947703153828932E-2</v>
      </c>
      <c r="P253" s="8">
        <f t="shared" si="30"/>
        <v>4.5833356037627546E-2</v>
      </c>
      <c r="Q253" s="8">
        <f t="shared" si="31"/>
        <v>5.0818163313850001E-2</v>
      </c>
    </row>
    <row r="254" spans="1:17" x14ac:dyDescent="0.25">
      <c r="A254" s="5">
        <v>39986</v>
      </c>
      <c r="B254">
        <v>425.32</v>
      </c>
      <c r="C254">
        <v>918.9</v>
      </c>
      <c r="D254" s="6">
        <f t="shared" si="18"/>
        <v>1.2449713156704512E-2</v>
      </c>
      <c r="E254" s="6">
        <f t="shared" si="19"/>
        <v>-2.5292272288136575E-3</v>
      </c>
      <c r="F254" s="7">
        <f t="shared" si="20"/>
        <v>0.96580522615474773</v>
      </c>
      <c r="G254" s="7">
        <f t="shared" si="23"/>
        <v>1.0213028478756274</v>
      </c>
      <c r="H254" s="7">
        <f t="shared" si="24"/>
        <v>0.94871200192423011</v>
      </c>
      <c r="I254" s="7">
        <f t="shared" si="25"/>
        <v>1.1968132126328794</v>
      </c>
      <c r="J254" s="7">
        <f t="shared" si="21"/>
        <v>0.66555677567126792</v>
      </c>
      <c r="K254" s="7">
        <f t="shared" si="26"/>
        <v>0.57169396305317544</v>
      </c>
      <c r="L254" s="7">
        <f t="shared" si="27"/>
        <v>0.40742280858582092</v>
      </c>
      <c r="M254" s="7">
        <f t="shared" si="28"/>
        <v>0.74448623812828751</v>
      </c>
      <c r="N254" s="8">
        <f t="shared" si="22"/>
        <v>5.0234727595654581E-2</v>
      </c>
      <c r="O254" s="8">
        <f t="shared" si="29"/>
        <v>4.9947703153828932E-2</v>
      </c>
      <c r="P254" s="8">
        <f t="shared" si="30"/>
        <v>4.5833356037627546E-2</v>
      </c>
      <c r="Q254" s="8">
        <f t="shared" si="31"/>
        <v>5.0818163313850001E-2</v>
      </c>
    </row>
    <row r="255" spans="1:17" x14ac:dyDescent="0.25">
      <c r="A255" s="5">
        <v>39993</v>
      </c>
      <c r="B255">
        <v>408.49</v>
      </c>
      <c r="C255">
        <v>896.42</v>
      </c>
      <c r="D255" s="6">
        <f t="shared" si="18"/>
        <v>-3.9570205962569327E-2</v>
      </c>
      <c r="E255" s="6">
        <f t="shared" si="19"/>
        <v>-2.4464033083034131E-2</v>
      </c>
      <c r="F255" s="7">
        <f t="shared" si="20"/>
        <v>0.96812691336545442</v>
      </c>
      <c r="G255" s="7">
        <f t="shared" si="23"/>
        <v>1.0213028478756274</v>
      </c>
      <c r="H255" s="7">
        <f t="shared" si="24"/>
        <v>0.94871200192423011</v>
      </c>
      <c r="I255" s="7">
        <f t="shared" si="25"/>
        <v>1.1968132126328794</v>
      </c>
      <c r="J255" s="7">
        <f t="shared" si="21"/>
        <v>0.66668066598338827</v>
      </c>
      <c r="K255" s="7">
        <f t="shared" si="26"/>
        <v>0.57169396305317544</v>
      </c>
      <c r="L255" s="7">
        <f t="shared" si="27"/>
        <v>0.40742280858582092</v>
      </c>
      <c r="M255" s="7">
        <f t="shared" si="28"/>
        <v>0.74448623812828751</v>
      </c>
      <c r="N255" s="8">
        <f t="shared" si="22"/>
        <v>5.0340629142375311E-2</v>
      </c>
      <c r="O255" s="8">
        <f t="shared" si="29"/>
        <v>4.9947703153828932E-2</v>
      </c>
      <c r="P255" s="8">
        <f t="shared" si="30"/>
        <v>4.5833356037627546E-2</v>
      </c>
      <c r="Q255" s="8">
        <f t="shared" si="31"/>
        <v>5.0818163313850001E-2</v>
      </c>
    </row>
    <row r="256" spans="1:17" x14ac:dyDescent="0.25">
      <c r="A256" s="5">
        <v>40000</v>
      </c>
      <c r="B256">
        <v>414.4</v>
      </c>
      <c r="C256">
        <v>879.13</v>
      </c>
      <c r="D256" s="6">
        <f t="shared" si="18"/>
        <v>1.446791843129569E-2</v>
      </c>
      <c r="E256" s="6">
        <f t="shared" si="19"/>
        <v>-1.9287833827893119E-2</v>
      </c>
      <c r="F256" s="7">
        <f t="shared" si="20"/>
        <v>0.96287583963361878</v>
      </c>
      <c r="G256" s="7">
        <f t="shared" si="23"/>
        <v>1.0213028478756274</v>
      </c>
      <c r="H256" s="7">
        <f t="shared" si="24"/>
        <v>0.94871200192423011</v>
      </c>
      <c r="I256" s="7">
        <f t="shared" si="25"/>
        <v>1.1968132126328794</v>
      </c>
      <c r="J256" s="7">
        <f t="shared" si="21"/>
        <v>0.66410362317160443</v>
      </c>
      <c r="K256" s="7">
        <f t="shared" si="26"/>
        <v>0.57169396305317544</v>
      </c>
      <c r="L256" s="7">
        <f t="shared" si="27"/>
        <v>0.40742280858582092</v>
      </c>
      <c r="M256" s="7">
        <f t="shared" si="28"/>
        <v>0.74448623812828751</v>
      </c>
      <c r="N256" s="8">
        <f t="shared" si="22"/>
        <v>5.0241606343170958E-2</v>
      </c>
      <c r="O256" s="8">
        <f t="shared" si="29"/>
        <v>4.9947703153828932E-2</v>
      </c>
      <c r="P256" s="8">
        <f t="shared" si="30"/>
        <v>4.5833356037627546E-2</v>
      </c>
      <c r="Q256" s="8">
        <f t="shared" si="31"/>
        <v>5.0818163313850001E-2</v>
      </c>
    </row>
    <row r="257" spans="1:17" x14ac:dyDescent="0.25">
      <c r="A257" s="5">
        <v>40007</v>
      </c>
      <c r="B257">
        <v>430.25</v>
      </c>
      <c r="C257">
        <v>940.38</v>
      </c>
      <c r="D257" s="6">
        <f t="shared" si="18"/>
        <v>3.8248069498069581E-2</v>
      </c>
      <c r="E257" s="6">
        <f t="shared" si="19"/>
        <v>6.9671152161796313E-2</v>
      </c>
      <c r="F257" s="7">
        <f t="shared" si="20"/>
        <v>0.95208453122012604</v>
      </c>
      <c r="G257" s="7">
        <f t="shared" si="23"/>
        <v>1.0213028478756274</v>
      </c>
      <c r="H257" s="7">
        <f t="shared" si="24"/>
        <v>0.94871200192423011</v>
      </c>
      <c r="I257" s="7">
        <f t="shared" si="25"/>
        <v>1.1968132126328794</v>
      </c>
      <c r="J257" s="7">
        <f t="shared" si="21"/>
        <v>0.66530249545538589</v>
      </c>
      <c r="K257" s="7">
        <f t="shared" si="26"/>
        <v>0.57169396305317544</v>
      </c>
      <c r="L257" s="7">
        <f t="shared" si="27"/>
        <v>0.40742280858582092</v>
      </c>
      <c r="M257" s="7">
        <f t="shared" si="28"/>
        <v>0.74448623812828751</v>
      </c>
      <c r="N257" s="8">
        <f t="shared" si="22"/>
        <v>5.0249525398542084E-2</v>
      </c>
      <c r="O257" s="8">
        <f t="shared" si="29"/>
        <v>4.9947703153828932E-2</v>
      </c>
      <c r="P257" s="8">
        <f t="shared" si="30"/>
        <v>4.5833356037627546E-2</v>
      </c>
      <c r="Q257" s="8">
        <f t="shared" si="31"/>
        <v>5.0818163313850001E-2</v>
      </c>
    </row>
    <row r="258" spans="1:17" x14ac:dyDescent="0.25">
      <c r="A258" s="5">
        <v>40014</v>
      </c>
      <c r="B258">
        <v>446.72</v>
      </c>
      <c r="C258">
        <v>979.26</v>
      </c>
      <c r="D258" s="6">
        <f t="shared" si="18"/>
        <v>3.828006972690301E-2</v>
      </c>
      <c r="E258" s="6">
        <f t="shared" si="19"/>
        <v>4.134498819626109E-2</v>
      </c>
      <c r="F258" s="7">
        <f t="shared" si="20"/>
        <v>0.9573827387991225</v>
      </c>
      <c r="G258" s="7">
        <f t="shared" si="23"/>
        <v>1.0213028478756274</v>
      </c>
      <c r="H258" s="7">
        <f t="shared" si="24"/>
        <v>0.94871200192423011</v>
      </c>
      <c r="I258" s="7">
        <f t="shared" si="25"/>
        <v>1.1968132126328794</v>
      </c>
      <c r="J258" s="7">
        <f t="shared" si="21"/>
        <v>0.66928968844891501</v>
      </c>
      <c r="K258" s="7">
        <f t="shared" si="26"/>
        <v>0.57169396305317544</v>
      </c>
      <c r="L258" s="7">
        <f t="shared" si="27"/>
        <v>0.40742280858582092</v>
      </c>
      <c r="M258" s="7">
        <f t="shared" si="28"/>
        <v>0.74448623812828751</v>
      </c>
      <c r="N258" s="8">
        <f t="shared" si="22"/>
        <v>5.0330029936976814E-2</v>
      </c>
      <c r="O258" s="8">
        <f t="shared" si="29"/>
        <v>4.9947703153828932E-2</v>
      </c>
      <c r="P258" s="8">
        <f t="shared" si="30"/>
        <v>4.5833356037627546E-2</v>
      </c>
      <c r="Q258" s="8">
        <f t="shared" si="31"/>
        <v>5.0818163313850001E-2</v>
      </c>
    </row>
    <row r="259" spans="1:17" x14ac:dyDescent="0.25">
      <c r="A259" s="5">
        <v>40021</v>
      </c>
      <c r="B259">
        <v>443.05</v>
      </c>
      <c r="C259">
        <v>987.48</v>
      </c>
      <c r="D259" s="6">
        <f t="shared" si="18"/>
        <v>-8.2154369627507329E-3</v>
      </c>
      <c r="E259" s="6">
        <f t="shared" si="19"/>
        <v>8.3940934991728611E-3</v>
      </c>
      <c r="F259" s="7">
        <f t="shared" si="20"/>
        <v>0.95678301431489332</v>
      </c>
      <c r="G259" s="7">
        <f t="shared" si="23"/>
        <v>1.0213028478756274</v>
      </c>
      <c r="H259" s="7">
        <f t="shared" si="24"/>
        <v>0.94871200192423011</v>
      </c>
      <c r="I259" s="7">
        <f t="shared" si="25"/>
        <v>1.1968132126328794</v>
      </c>
      <c r="J259" s="7">
        <f t="shared" si="21"/>
        <v>0.67021975025694203</v>
      </c>
      <c r="K259" s="7">
        <f t="shared" si="26"/>
        <v>0.57169396305317544</v>
      </c>
      <c r="L259" s="7">
        <f t="shared" si="27"/>
        <v>0.40742280858582092</v>
      </c>
      <c r="M259" s="7">
        <f t="shared" si="28"/>
        <v>0.74448623812828751</v>
      </c>
      <c r="N259" s="8">
        <f t="shared" si="22"/>
        <v>5.0239937986561387E-2</v>
      </c>
      <c r="O259" s="8">
        <f t="shared" si="29"/>
        <v>4.9947703153828932E-2</v>
      </c>
      <c r="P259" s="8">
        <f t="shared" si="30"/>
        <v>4.5833356037627546E-2</v>
      </c>
      <c r="Q259" s="8">
        <f t="shared" si="31"/>
        <v>5.0818163313850001E-2</v>
      </c>
    </row>
    <row r="260" spans="1:17" x14ac:dyDescent="0.25">
      <c r="A260" s="5">
        <v>40028</v>
      </c>
      <c r="B260">
        <v>457.1</v>
      </c>
      <c r="C260">
        <v>1010.48</v>
      </c>
      <c r="D260" s="6">
        <f t="shared" ref="D260:D323" si="32">B260/B259-1</f>
        <v>3.1711996388669395E-2</v>
      </c>
      <c r="E260" s="6">
        <f t="shared" ref="E260:E323" si="33">C260/C259-1</f>
        <v>2.3291610969336185E-2</v>
      </c>
      <c r="F260" s="7">
        <f t="shared" si="20"/>
        <v>0.95715748980255366</v>
      </c>
      <c r="G260" s="7">
        <f t="shared" si="23"/>
        <v>1.0213028478756274</v>
      </c>
      <c r="H260" s="7">
        <f t="shared" si="24"/>
        <v>0.94871200192423011</v>
      </c>
      <c r="I260" s="7">
        <f t="shared" si="25"/>
        <v>1.1968132126328794</v>
      </c>
      <c r="J260" s="7">
        <f t="shared" si="21"/>
        <v>0.67087400809105346</v>
      </c>
      <c r="K260" s="7">
        <f t="shared" si="26"/>
        <v>0.57169396305317544</v>
      </c>
      <c r="L260" s="7">
        <f t="shared" si="27"/>
        <v>0.40742280858582092</v>
      </c>
      <c r="M260" s="7">
        <f t="shared" si="28"/>
        <v>0.74448623812828751</v>
      </c>
      <c r="N260" s="8">
        <f t="shared" si="22"/>
        <v>5.0276334442635143E-2</v>
      </c>
      <c r="O260" s="8">
        <f t="shared" si="29"/>
        <v>4.9947703153828932E-2</v>
      </c>
      <c r="P260" s="8">
        <f t="shared" si="30"/>
        <v>4.5833356037627546E-2</v>
      </c>
      <c r="Q260" s="8">
        <f t="shared" si="31"/>
        <v>5.0818163313850001E-2</v>
      </c>
    </row>
    <row r="261" spans="1:17" x14ac:dyDescent="0.25">
      <c r="A261" s="5">
        <v>40035</v>
      </c>
      <c r="B261">
        <v>460</v>
      </c>
      <c r="C261">
        <v>1004.09</v>
      </c>
      <c r="D261" s="6">
        <f t="shared" si="32"/>
        <v>6.3443447823232635E-3</v>
      </c>
      <c r="E261" s="6">
        <f t="shared" si="33"/>
        <v>-6.3237273375029712E-3</v>
      </c>
      <c r="F261" s="7">
        <f t="shared" si="20"/>
        <v>0.95539852792002655</v>
      </c>
      <c r="G261" s="7">
        <f t="shared" si="23"/>
        <v>1.0213028478756274</v>
      </c>
      <c r="H261" s="7">
        <f t="shared" si="24"/>
        <v>0.94871200192423011</v>
      </c>
      <c r="I261" s="7">
        <f t="shared" si="25"/>
        <v>1.1968132126328794</v>
      </c>
      <c r="J261" s="7">
        <f t="shared" si="21"/>
        <v>0.66943745233744989</v>
      </c>
      <c r="K261" s="7">
        <f t="shared" si="26"/>
        <v>0.57169396305317544</v>
      </c>
      <c r="L261" s="7">
        <f t="shared" si="27"/>
        <v>0.40742280858582092</v>
      </c>
      <c r="M261" s="7">
        <f t="shared" si="28"/>
        <v>0.74448623812828751</v>
      </c>
      <c r="N261" s="8">
        <f t="shared" si="22"/>
        <v>5.0186151826786568E-2</v>
      </c>
      <c r="O261" s="8">
        <f t="shared" si="29"/>
        <v>4.9947703153828932E-2</v>
      </c>
      <c r="P261" s="8">
        <f t="shared" si="30"/>
        <v>4.5833356037627546E-2</v>
      </c>
      <c r="Q261" s="8">
        <f t="shared" si="31"/>
        <v>5.0818163313850001E-2</v>
      </c>
    </row>
    <row r="262" spans="1:17" x14ac:dyDescent="0.25">
      <c r="A262" s="5">
        <v>40042</v>
      </c>
      <c r="B262">
        <v>465.24</v>
      </c>
      <c r="C262">
        <v>1026.1300000000001</v>
      </c>
      <c r="D262" s="6">
        <f t="shared" si="32"/>
        <v>1.1391304347826203E-2</v>
      </c>
      <c r="E262" s="6">
        <f t="shared" si="33"/>
        <v>2.1950223585535333E-2</v>
      </c>
      <c r="F262" s="7">
        <f t="shared" si="20"/>
        <v>0.95327353930605352</v>
      </c>
      <c r="G262" s="7">
        <f t="shared" si="23"/>
        <v>1.0213028478756274</v>
      </c>
      <c r="H262" s="7">
        <f t="shared" si="24"/>
        <v>0.94871200192423011</v>
      </c>
      <c r="I262" s="7">
        <f t="shared" si="25"/>
        <v>1.1968132126328794</v>
      </c>
      <c r="J262" s="7">
        <f t="shared" si="21"/>
        <v>0.66946436735765558</v>
      </c>
      <c r="K262" s="7">
        <f t="shared" si="26"/>
        <v>0.57169396305317544</v>
      </c>
      <c r="L262" s="7">
        <f t="shared" si="27"/>
        <v>0.40742280858582092</v>
      </c>
      <c r="M262" s="7">
        <f t="shared" si="28"/>
        <v>0.74448623812828751</v>
      </c>
      <c r="N262" s="8">
        <f t="shared" si="22"/>
        <v>5.0137790406015501E-2</v>
      </c>
      <c r="O262" s="8">
        <f t="shared" si="29"/>
        <v>4.9947703153828932E-2</v>
      </c>
      <c r="P262" s="8">
        <f t="shared" si="30"/>
        <v>4.5833356037627546E-2</v>
      </c>
      <c r="Q262" s="8">
        <f t="shared" si="31"/>
        <v>5.0818163313850001E-2</v>
      </c>
    </row>
    <row r="263" spans="1:17" x14ac:dyDescent="0.25">
      <c r="A263" s="5">
        <v>40049</v>
      </c>
      <c r="B263">
        <v>464.75</v>
      </c>
      <c r="C263">
        <v>1028.93</v>
      </c>
      <c r="D263" s="6">
        <f t="shared" si="32"/>
        <v>-1.0532198435216911E-3</v>
      </c>
      <c r="E263" s="6">
        <f t="shared" si="33"/>
        <v>2.7286990927075649E-3</v>
      </c>
      <c r="F263" s="7">
        <f t="shared" si="20"/>
        <v>0.9532003456628142</v>
      </c>
      <c r="G263" s="7">
        <f t="shared" si="23"/>
        <v>1.0213028478756274</v>
      </c>
      <c r="H263" s="7">
        <f t="shared" si="24"/>
        <v>0.94871200192423011</v>
      </c>
      <c r="I263" s="7">
        <f t="shared" si="25"/>
        <v>1.1968132126328794</v>
      </c>
      <c r="J263" s="7">
        <f t="shared" si="21"/>
        <v>0.66923977116898159</v>
      </c>
      <c r="K263" s="7">
        <f t="shared" si="26"/>
        <v>0.57169396305317544</v>
      </c>
      <c r="L263" s="7">
        <f t="shared" si="27"/>
        <v>0.40742280858582092</v>
      </c>
      <c r="M263" s="7">
        <f t="shared" si="28"/>
        <v>0.74448623812828751</v>
      </c>
      <c r="N263" s="8">
        <f t="shared" si="22"/>
        <v>5.012992706098772E-2</v>
      </c>
      <c r="O263" s="8">
        <f t="shared" si="29"/>
        <v>4.9947703153828932E-2</v>
      </c>
      <c r="P263" s="8">
        <f t="shared" si="30"/>
        <v>4.5833356037627546E-2</v>
      </c>
      <c r="Q263" s="8">
        <f t="shared" si="31"/>
        <v>5.0818163313850001E-2</v>
      </c>
    </row>
    <row r="264" spans="1:17" x14ac:dyDescent="0.25">
      <c r="A264" s="5">
        <v>40056</v>
      </c>
      <c r="B264">
        <v>461.3</v>
      </c>
      <c r="C264">
        <v>1016.4</v>
      </c>
      <c r="D264" s="6">
        <f t="shared" si="32"/>
        <v>-7.4233458848843581E-3</v>
      </c>
      <c r="E264" s="6">
        <f t="shared" si="33"/>
        <v>-1.2177699163208433E-2</v>
      </c>
      <c r="F264" s="7">
        <f t="shared" si="20"/>
        <v>0.95330159690655059</v>
      </c>
      <c r="G264" s="7">
        <f t="shared" si="23"/>
        <v>1.0213028478756274</v>
      </c>
      <c r="H264" s="7">
        <f t="shared" si="24"/>
        <v>0.94871200192423011</v>
      </c>
      <c r="I264" s="7">
        <f t="shared" si="25"/>
        <v>1.1968132126328794</v>
      </c>
      <c r="J264" s="7">
        <f t="shared" si="21"/>
        <v>0.66934342131583879</v>
      </c>
      <c r="K264" s="7">
        <f t="shared" si="26"/>
        <v>0.57169396305317544</v>
      </c>
      <c r="L264" s="7">
        <f t="shared" si="27"/>
        <v>0.40742280858582092</v>
      </c>
      <c r="M264" s="7">
        <f t="shared" si="28"/>
        <v>0.74448623812828751</v>
      </c>
      <c r="N264" s="8">
        <f t="shared" si="22"/>
        <v>5.0134977990454063E-2</v>
      </c>
      <c r="O264" s="8">
        <f t="shared" si="29"/>
        <v>4.9947703153828932E-2</v>
      </c>
      <c r="P264" s="8">
        <f t="shared" si="30"/>
        <v>4.5833356037627546E-2</v>
      </c>
      <c r="Q264" s="8">
        <f t="shared" si="31"/>
        <v>5.0818163313850001E-2</v>
      </c>
    </row>
    <row r="265" spans="1:17" x14ac:dyDescent="0.25">
      <c r="A265" s="5">
        <v>40064</v>
      </c>
      <c r="B265">
        <v>472.14</v>
      </c>
      <c r="C265">
        <v>1042.73</v>
      </c>
      <c r="D265" s="6">
        <f t="shared" si="32"/>
        <v>2.3498807717320602E-2</v>
      </c>
      <c r="E265" s="6">
        <f t="shared" si="33"/>
        <v>2.5905155450610007E-2</v>
      </c>
      <c r="F265" s="7">
        <f t="shared" si="20"/>
        <v>0.94691357038368085</v>
      </c>
      <c r="G265" s="7">
        <f t="shared" si="23"/>
        <v>1.0213028478756274</v>
      </c>
      <c r="H265" s="7">
        <f t="shared" si="24"/>
        <v>0.94871200192423011</v>
      </c>
      <c r="I265" s="7">
        <f t="shared" si="25"/>
        <v>1.1968132126328794</v>
      </c>
      <c r="J265" s="7">
        <f t="shared" si="21"/>
        <v>0.67105739010100751</v>
      </c>
      <c r="K265" s="7">
        <f t="shared" si="26"/>
        <v>0.57169396305317544</v>
      </c>
      <c r="L265" s="7">
        <f t="shared" si="27"/>
        <v>0.40742280858582092</v>
      </c>
      <c r="M265" s="7">
        <f t="shared" si="28"/>
        <v>0.74448623812828751</v>
      </c>
      <c r="N265" s="8">
        <f t="shared" si="22"/>
        <v>4.9727585292588826E-2</v>
      </c>
      <c r="O265" s="8">
        <f t="shared" si="29"/>
        <v>4.9947703153828932E-2</v>
      </c>
      <c r="P265" s="8">
        <f t="shared" si="30"/>
        <v>4.5833356037627546E-2</v>
      </c>
      <c r="Q265" s="8">
        <f t="shared" si="31"/>
        <v>5.0818163313850001E-2</v>
      </c>
    </row>
    <row r="266" spans="1:17" x14ac:dyDescent="0.25">
      <c r="A266" s="5">
        <v>40070</v>
      </c>
      <c r="B266">
        <v>491.46</v>
      </c>
      <c r="C266">
        <v>1068.3</v>
      </c>
      <c r="D266" s="6">
        <f t="shared" si="32"/>
        <v>4.0920066082094309E-2</v>
      </c>
      <c r="E266" s="6">
        <f t="shared" si="33"/>
        <v>2.4522167771139136E-2</v>
      </c>
      <c r="F266" s="7">
        <f t="shared" si="20"/>
        <v>0.94860209617249525</v>
      </c>
      <c r="G266" s="7">
        <f t="shared" si="23"/>
        <v>1.0213028478756274</v>
      </c>
      <c r="H266" s="7">
        <f t="shared" si="24"/>
        <v>0.94871200192423011</v>
      </c>
      <c r="I266" s="7">
        <f t="shared" si="25"/>
        <v>1.1968132126328794</v>
      </c>
      <c r="J266" s="7">
        <f t="shared" si="21"/>
        <v>0.6723104070429986</v>
      </c>
      <c r="K266" s="7">
        <f t="shared" si="26"/>
        <v>0.57169396305317544</v>
      </c>
      <c r="L266" s="7">
        <f t="shared" si="27"/>
        <v>0.40742280858582092</v>
      </c>
      <c r="M266" s="7">
        <f t="shared" si="28"/>
        <v>0.74448623812828751</v>
      </c>
      <c r="N266" s="8">
        <f t="shared" si="22"/>
        <v>4.9804452833806863E-2</v>
      </c>
      <c r="O266" s="8">
        <f t="shared" si="29"/>
        <v>4.9947703153828932E-2</v>
      </c>
      <c r="P266" s="8">
        <f t="shared" si="30"/>
        <v>4.5833356037627546E-2</v>
      </c>
      <c r="Q266" s="8">
        <f t="shared" si="31"/>
        <v>5.0818163313850001E-2</v>
      </c>
    </row>
    <row r="267" spans="1:17" x14ac:dyDescent="0.25">
      <c r="A267" s="5">
        <v>40077</v>
      </c>
      <c r="B267">
        <v>492.48</v>
      </c>
      <c r="C267">
        <v>1044.3800000000001</v>
      </c>
      <c r="D267" s="6">
        <f t="shared" si="32"/>
        <v>2.07544866316689E-3</v>
      </c>
      <c r="E267" s="6">
        <f t="shared" si="33"/>
        <v>-2.2390714218852192E-2</v>
      </c>
      <c r="F267" s="7">
        <f t="shared" si="20"/>
        <v>0.94838811023375624</v>
      </c>
      <c r="G267" s="7">
        <f t="shared" si="23"/>
        <v>1.0213028478756274</v>
      </c>
      <c r="H267" s="7">
        <f t="shared" si="24"/>
        <v>0.94871200192423011</v>
      </c>
      <c r="I267" s="7">
        <f t="shared" si="25"/>
        <v>1.1968132126328794</v>
      </c>
      <c r="J267" s="7">
        <f t="shared" si="21"/>
        <v>0.67251735338233709</v>
      </c>
      <c r="K267" s="7">
        <f t="shared" si="26"/>
        <v>0.57169396305317544</v>
      </c>
      <c r="L267" s="7">
        <f t="shared" si="27"/>
        <v>0.40742280858582092</v>
      </c>
      <c r="M267" s="7">
        <f t="shared" si="28"/>
        <v>0.74448623812828751</v>
      </c>
      <c r="N267" s="8">
        <f t="shared" si="22"/>
        <v>4.9801147110480691E-2</v>
      </c>
      <c r="O267" s="8">
        <f t="shared" si="29"/>
        <v>4.9947703153828932E-2</v>
      </c>
      <c r="P267" s="8">
        <f t="shared" si="30"/>
        <v>4.5833356037627546E-2</v>
      </c>
      <c r="Q267" s="8">
        <f t="shared" si="31"/>
        <v>5.0818163313850001E-2</v>
      </c>
    </row>
    <row r="268" spans="1:17" x14ac:dyDescent="0.25">
      <c r="A268" s="5">
        <v>40084</v>
      </c>
      <c r="B268">
        <v>484.58</v>
      </c>
      <c r="C268">
        <v>1025.21</v>
      </c>
      <c r="D268" s="6">
        <f t="shared" si="32"/>
        <v>-1.6041260558804504E-2</v>
      </c>
      <c r="E268" s="6">
        <f t="shared" si="33"/>
        <v>-1.835538788563551E-2</v>
      </c>
      <c r="F268" s="7">
        <f t="shared" si="20"/>
        <v>0.94663271226096624</v>
      </c>
      <c r="G268" s="7">
        <f t="shared" si="23"/>
        <v>1.0213028478756274</v>
      </c>
      <c r="H268" s="7">
        <f t="shared" si="24"/>
        <v>0.94871200192423011</v>
      </c>
      <c r="I268" s="7">
        <f t="shared" si="25"/>
        <v>1.1968132126328794</v>
      </c>
      <c r="J268" s="7">
        <f t="shared" si="21"/>
        <v>0.67295503788578814</v>
      </c>
      <c r="K268" s="7">
        <f t="shared" si="26"/>
        <v>0.57169396305317544</v>
      </c>
      <c r="L268" s="7">
        <f t="shared" si="27"/>
        <v>0.40742280858582092</v>
      </c>
      <c r="M268" s="7">
        <f t="shared" si="28"/>
        <v>0.74448623812828751</v>
      </c>
      <c r="N268" s="8">
        <f t="shared" si="22"/>
        <v>4.9698582373970138E-2</v>
      </c>
      <c r="O268" s="8">
        <f t="shared" si="29"/>
        <v>4.9947703153828932E-2</v>
      </c>
      <c r="P268" s="8">
        <f t="shared" si="30"/>
        <v>4.5833356037627546E-2</v>
      </c>
      <c r="Q268" s="8">
        <f t="shared" si="31"/>
        <v>5.0818163313850001E-2</v>
      </c>
    </row>
    <row r="269" spans="1:17" x14ac:dyDescent="0.25">
      <c r="A269" s="5">
        <v>40091</v>
      </c>
      <c r="B269">
        <v>516.25</v>
      </c>
      <c r="C269">
        <v>1071.49</v>
      </c>
      <c r="D269" s="6">
        <f t="shared" si="32"/>
        <v>6.5355565644475755E-2</v>
      </c>
      <c r="E269" s="6">
        <f t="shared" si="33"/>
        <v>4.5141970913276319E-2</v>
      </c>
      <c r="F269" s="7">
        <f t="shared" si="20"/>
        <v>0.95106602475318103</v>
      </c>
      <c r="G269" s="7">
        <f t="shared" si="23"/>
        <v>1.0213028478756274</v>
      </c>
      <c r="H269" s="7">
        <f t="shared" si="24"/>
        <v>0.94871200192423011</v>
      </c>
      <c r="I269" s="7">
        <f t="shared" si="25"/>
        <v>1.1968132126328794</v>
      </c>
      <c r="J269" s="7">
        <f t="shared" si="21"/>
        <v>0.6761971135155509</v>
      </c>
      <c r="K269" s="7">
        <f t="shared" si="26"/>
        <v>0.57169396305317544</v>
      </c>
      <c r="L269" s="7">
        <f t="shared" si="27"/>
        <v>0.40742280858582092</v>
      </c>
      <c r="M269" s="7">
        <f t="shared" si="28"/>
        <v>0.74448623812828751</v>
      </c>
      <c r="N269" s="8">
        <f t="shared" si="22"/>
        <v>4.9941964923430185E-2</v>
      </c>
      <c r="O269" s="8">
        <f t="shared" si="29"/>
        <v>4.9947703153828932E-2</v>
      </c>
      <c r="P269" s="8">
        <f t="shared" si="30"/>
        <v>4.5833356037627546E-2</v>
      </c>
      <c r="Q269" s="8">
        <f t="shared" si="31"/>
        <v>5.0818163313850001E-2</v>
      </c>
    </row>
    <row r="270" spans="1:17" x14ac:dyDescent="0.25">
      <c r="A270" s="5">
        <v>40098</v>
      </c>
      <c r="B270">
        <v>549.85</v>
      </c>
      <c r="C270">
        <v>1087.68</v>
      </c>
      <c r="D270" s="6">
        <f t="shared" si="32"/>
        <v>6.5084745762711949E-2</v>
      </c>
      <c r="E270" s="6">
        <f t="shared" si="33"/>
        <v>1.5109800371445381E-2</v>
      </c>
      <c r="F270" s="7">
        <f t="shared" si="20"/>
        <v>0.95382535023555859</v>
      </c>
      <c r="G270" s="7">
        <f t="shared" si="23"/>
        <v>1.0213028478756274</v>
      </c>
      <c r="H270" s="7">
        <f t="shared" si="24"/>
        <v>0.94871200192423011</v>
      </c>
      <c r="I270" s="7">
        <f t="shared" si="25"/>
        <v>1.1968132126328794</v>
      </c>
      <c r="J270" s="7">
        <f t="shared" si="21"/>
        <v>0.67985178550256897</v>
      </c>
      <c r="K270" s="7">
        <f t="shared" si="26"/>
        <v>0.57169396305317544</v>
      </c>
      <c r="L270" s="7">
        <f t="shared" si="27"/>
        <v>0.40742280858582092</v>
      </c>
      <c r="M270" s="7">
        <f t="shared" si="28"/>
        <v>0.74448623812828751</v>
      </c>
      <c r="N270" s="8">
        <f t="shared" si="22"/>
        <v>4.9848761062190591E-2</v>
      </c>
      <c r="O270" s="8">
        <f t="shared" si="29"/>
        <v>4.9947703153828932E-2</v>
      </c>
      <c r="P270" s="8">
        <f t="shared" si="30"/>
        <v>4.5833356037627546E-2</v>
      </c>
      <c r="Q270" s="8">
        <f t="shared" si="31"/>
        <v>5.0818163313850001E-2</v>
      </c>
    </row>
    <row r="271" spans="1:17" x14ac:dyDescent="0.25">
      <c r="A271" s="5">
        <v>40105</v>
      </c>
      <c r="B271">
        <v>553.69000000000005</v>
      </c>
      <c r="C271">
        <v>1079.5999999999999</v>
      </c>
      <c r="D271" s="6">
        <f t="shared" si="32"/>
        <v>6.9837228335001278E-3</v>
      </c>
      <c r="E271" s="6">
        <f t="shared" si="33"/>
        <v>-7.4286554869080756E-3</v>
      </c>
      <c r="F271" s="7">
        <f t="shared" si="20"/>
        <v>0.95255646311967512</v>
      </c>
      <c r="G271" s="7">
        <f t="shared" si="23"/>
        <v>1.0213028478756274</v>
      </c>
      <c r="H271" s="7">
        <f t="shared" si="24"/>
        <v>0.94871200192423011</v>
      </c>
      <c r="I271" s="7">
        <f t="shared" si="25"/>
        <v>1.1968132126328794</v>
      </c>
      <c r="J271" s="7">
        <f t="shared" si="21"/>
        <v>0.67978069562274102</v>
      </c>
      <c r="K271" s="7">
        <f t="shared" si="26"/>
        <v>0.57169396305317544</v>
      </c>
      <c r="L271" s="7">
        <f t="shared" si="27"/>
        <v>0.40742280858582092</v>
      </c>
      <c r="M271" s="7">
        <f t="shared" si="28"/>
        <v>0.74448623812828751</v>
      </c>
      <c r="N271" s="8">
        <f t="shared" si="22"/>
        <v>4.9786422255753075E-2</v>
      </c>
      <c r="O271" s="8">
        <f t="shared" si="29"/>
        <v>4.9947703153828932E-2</v>
      </c>
      <c r="P271" s="8">
        <f t="shared" si="30"/>
        <v>4.5833356037627546E-2</v>
      </c>
      <c r="Q271" s="8">
        <f t="shared" si="31"/>
        <v>5.0818163313850001E-2</v>
      </c>
    </row>
    <row r="272" spans="1:17" x14ac:dyDescent="0.25">
      <c r="A272" s="5">
        <v>40112</v>
      </c>
      <c r="B272">
        <v>536.12</v>
      </c>
      <c r="C272">
        <v>1036.19</v>
      </c>
      <c r="D272" s="6">
        <f t="shared" si="32"/>
        <v>-3.173255792952745E-2</v>
      </c>
      <c r="E272" s="6">
        <f t="shared" si="33"/>
        <v>-4.0209336791404038E-2</v>
      </c>
      <c r="F272" s="7">
        <f t="shared" si="20"/>
        <v>0.95182025657780178</v>
      </c>
      <c r="G272" s="7">
        <f t="shared" si="23"/>
        <v>1.0213028478756274</v>
      </c>
      <c r="H272" s="7">
        <f t="shared" si="24"/>
        <v>0.94871200192423011</v>
      </c>
      <c r="I272" s="7">
        <f t="shared" si="25"/>
        <v>1.1968132126328794</v>
      </c>
      <c r="J272" s="7">
        <f t="shared" si="21"/>
        <v>0.68084310709836315</v>
      </c>
      <c r="K272" s="7">
        <f t="shared" si="26"/>
        <v>0.57169396305317544</v>
      </c>
      <c r="L272" s="7">
        <f t="shared" si="27"/>
        <v>0.40742280858582092</v>
      </c>
      <c r="M272" s="7">
        <f t="shared" si="28"/>
        <v>0.74448623812828751</v>
      </c>
      <c r="N272" s="8">
        <f t="shared" si="22"/>
        <v>4.9854688171698726E-2</v>
      </c>
      <c r="O272" s="8">
        <f t="shared" si="29"/>
        <v>4.9947703153828932E-2</v>
      </c>
      <c r="P272" s="8">
        <f t="shared" si="30"/>
        <v>4.5833356037627546E-2</v>
      </c>
      <c r="Q272" s="8">
        <f t="shared" si="31"/>
        <v>5.0818163313850001E-2</v>
      </c>
    </row>
    <row r="273" spans="1:17" x14ac:dyDescent="0.25">
      <c r="A273" s="5">
        <v>40119</v>
      </c>
      <c r="B273">
        <v>551.1</v>
      </c>
      <c r="C273">
        <v>1069.3</v>
      </c>
      <c r="D273" s="6">
        <f t="shared" si="32"/>
        <v>2.7941505633067187E-2</v>
      </c>
      <c r="E273" s="6">
        <f t="shared" si="33"/>
        <v>3.1953599243381925E-2</v>
      </c>
      <c r="F273" s="7">
        <f t="shared" si="20"/>
        <v>0.95162085986660672</v>
      </c>
      <c r="G273" s="7">
        <f t="shared" si="23"/>
        <v>1.0213028478756274</v>
      </c>
      <c r="H273" s="7">
        <f t="shared" si="24"/>
        <v>0.94871200192423011</v>
      </c>
      <c r="I273" s="7">
        <f t="shared" si="25"/>
        <v>1.1968132126328794</v>
      </c>
      <c r="J273" s="7">
        <f t="shared" si="21"/>
        <v>0.68168502796279018</v>
      </c>
      <c r="K273" s="7">
        <f t="shared" si="26"/>
        <v>0.57169396305317544</v>
      </c>
      <c r="L273" s="7">
        <f t="shared" si="27"/>
        <v>0.40742280858582092</v>
      </c>
      <c r="M273" s="7">
        <f t="shared" si="28"/>
        <v>0.74448623812828751</v>
      </c>
      <c r="N273" s="8">
        <f t="shared" si="22"/>
        <v>4.9897302860223827E-2</v>
      </c>
      <c r="O273" s="8">
        <f t="shared" si="29"/>
        <v>4.9947703153828932E-2</v>
      </c>
      <c r="P273" s="8">
        <f t="shared" si="30"/>
        <v>4.5833356037627546E-2</v>
      </c>
      <c r="Q273" s="8">
        <f t="shared" si="31"/>
        <v>5.0818163313850001E-2</v>
      </c>
    </row>
    <row r="274" spans="1:17" x14ac:dyDescent="0.25">
      <c r="A274" s="5">
        <v>40126</v>
      </c>
      <c r="B274">
        <v>572.04999999999995</v>
      </c>
      <c r="C274">
        <v>1093.48</v>
      </c>
      <c r="D274" s="6">
        <f t="shared" si="32"/>
        <v>3.8014879332244567E-2</v>
      </c>
      <c r="E274" s="6">
        <f t="shared" si="33"/>
        <v>2.2612924343028196E-2</v>
      </c>
      <c r="F274" s="7">
        <f t="shared" si="20"/>
        <v>0.95036218467363587</v>
      </c>
      <c r="G274" s="7">
        <f t="shared" si="23"/>
        <v>1.0213028478756274</v>
      </c>
      <c r="H274" s="7">
        <f t="shared" si="24"/>
        <v>0.94871200192423011</v>
      </c>
      <c r="I274" s="7">
        <f t="shared" si="25"/>
        <v>1.1968132126328794</v>
      </c>
      <c r="J274" s="7">
        <f t="shared" si="21"/>
        <v>0.68248237445573334</v>
      </c>
      <c r="K274" s="7">
        <f t="shared" si="26"/>
        <v>0.57169396305317544</v>
      </c>
      <c r="L274" s="7">
        <f t="shared" si="27"/>
        <v>0.40742280858582092</v>
      </c>
      <c r="M274" s="7">
        <f t="shared" si="28"/>
        <v>0.74448623812828751</v>
      </c>
      <c r="N274" s="8">
        <f t="shared" si="22"/>
        <v>4.9811839988921518E-2</v>
      </c>
      <c r="O274" s="8">
        <f t="shared" si="29"/>
        <v>4.9947703153828932E-2</v>
      </c>
      <c r="P274" s="8">
        <f t="shared" si="30"/>
        <v>4.5833356037627546E-2</v>
      </c>
      <c r="Q274" s="8">
        <f t="shared" si="31"/>
        <v>5.0818163313850001E-2</v>
      </c>
    </row>
    <row r="275" spans="1:17" x14ac:dyDescent="0.25">
      <c r="A275" s="5">
        <v>40133</v>
      </c>
      <c r="B275">
        <v>569.96</v>
      </c>
      <c r="C275">
        <v>1091.3800000000001</v>
      </c>
      <c r="D275" s="6">
        <f t="shared" si="32"/>
        <v>-3.6535267896161683E-3</v>
      </c>
      <c r="E275" s="6">
        <f t="shared" si="33"/>
        <v>-1.9204740827448719E-3</v>
      </c>
      <c r="F275" s="7">
        <f t="shared" si="20"/>
        <v>0.95034869395278265</v>
      </c>
      <c r="G275" s="7">
        <f t="shared" si="23"/>
        <v>1.0213028478756274</v>
      </c>
      <c r="H275" s="7">
        <f t="shared" si="24"/>
        <v>0.94871200192423011</v>
      </c>
      <c r="I275" s="7">
        <f t="shared" si="25"/>
        <v>1.1968132126328794</v>
      </c>
      <c r="J275" s="7">
        <f t="shared" si="21"/>
        <v>0.68253942643858778</v>
      </c>
      <c r="K275" s="7">
        <f t="shared" si="26"/>
        <v>0.57169396305317544</v>
      </c>
      <c r="L275" s="7">
        <f t="shared" si="27"/>
        <v>0.40742280858582092</v>
      </c>
      <c r="M275" s="7">
        <f t="shared" si="28"/>
        <v>0.74448623812828751</v>
      </c>
      <c r="N275" s="8">
        <f t="shared" si="22"/>
        <v>4.9807015576994261E-2</v>
      </c>
      <c r="O275" s="8">
        <f t="shared" si="29"/>
        <v>4.9947703153828932E-2</v>
      </c>
      <c r="P275" s="8">
        <f t="shared" si="30"/>
        <v>4.5833356037627546E-2</v>
      </c>
      <c r="Q275" s="8">
        <f t="shared" si="31"/>
        <v>5.0818163313850001E-2</v>
      </c>
    </row>
    <row r="276" spans="1:17" x14ac:dyDescent="0.25">
      <c r="A276" s="5">
        <v>40140</v>
      </c>
      <c r="B276">
        <v>579.76</v>
      </c>
      <c r="C276">
        <v>1091.49</v>
      </c>
      <c r="D276" s="6">
        <f t="shared" si="32"/>
        <v>1.7194189065899312E-2</v>
      </c>
      <c r="E276" s="6">
        <f t="shared" si="33"/>
        <v>1.0078982572503392E-4</v>
      </c>
      <c r="F276" s="7">
        <f t="shared" si="20"/>
        <v>0.94991766830365765</v>
      </c>
      <c r="G276" s="7">
        <f t="shared" si="23"/>
        <v>1.0213028478756274</v>
      </c>
      <c r="H276" s="7">
        <f t="shared" si="24"/>
        <v>0.94871200192423011</v>
      </c>
      <c r="I276" s="7">
        <f t="shared" si="25"/>
        <v>1.1968132126328794</v>
      </c>
      <c r="J276" s="7">
        <f t="shared" si="21"/>
        <v>0.68425251356546002</v>
      </c>
      <c r="K276" s="7">
        <f t="shared" si="26"/>
        <v>0.57169396305317544</v>
      </c>
      <c r="L276" s="7">
        <f t="shared" si="27"/>
        <v>0.40742280858582092</v>
      </c>
      <c r="M276" s="7">
        <f t="shared" si="28"/>
        <v>0.74448623812828751</v>
      </c>
      <c r="N276" s="8">
        <f t="shared" si="22"/>
        <v>4.9659378175897537E-2</v>
      </c>
      <c r="O276" s="8">
        <f t="shared" si="29"/>
        <v>4.9947703153828932E-2</v>
      </c>
      <c r="P276" s="8">
        <f t="shared" si="30"/>
        <v>4.5833356037627546E-2</v>
      </c>
      <c r="Q276" s="8">
        <f t="shared" si="31"/>
        <v>5.0818163313850001E-2</v>
      </c>
    </row>
    <row r="277" spans="1:17" x14ac:dyDescent="0.25">
      <c r="A277" s="5">
        <v>40147</v>
      </c>
      <c r="B277">
        <v>585.01</v>
      </c>
      <c r="C277">
        <v>1105.98</v>
      </c>
      <c r="D277" s="6">
        <f t="shared" si="32"/>
        <v>9.0554712294743656E-3</v>
      </c>
      <c r="E277" s="6">
        <f t="shared" si="33"/>
        <v>1.3275430833081359E-2</v>
      </c>
      <c r="F277" s="7">
        <f t="shared" si="20"/>
        <v>0.94970641994106464</v>
      </c>
      <c r="G277" s="7">
        <f t="shared" si="23"/>
        <v>1.0213028478756274</v>
      </c>
      <c r="H277" s="7">
        <f t="shared" si="24"/>
        <v>0.94871200192423011</v>
      </c>
      <c r="I277" s="7">
        <f t="shared" si="25"/>
        <v>1.1968132126328794</v>
      </c>
      <c r="J277" s="7">
        <f t="shared" si="21"/>
        <v>0.68424171151795976</v>
      </c>
      <c r="K277" s="7">
        <f t="shared" si="26"/>
        <v>0.57169396305317544</v>
      </c>
      <c r="L277" s="7">
        <f t="shared" si="27"/>
        <v>0.40742280858582092</v>
      </c>
      <c r="M277" s="7">
        <f t="shared" si="28"/>
        <v>0.74448623812828751</v>
      </c>
      <c r="N277" s="8">
        <f t="shared" si="22"/>
        <v>4.9660927053610929E-2</v>
      </c>
      <c r="O277" s="8">
        <f t="shared" si="29"/>
        <v>4.9947703153828932E-2</v>
      </c>
      <c r="P277" s="8">
        <f t="shared" si="30"/>
        <v>4.5833356037627546E-2</v>
      </c>
      <c r="Q277" s="8">
        <f t="shared" si="31"/>
        <v>5.0818163313850001E-2</v>
      </c>
    </row>
    <row r="278" spans="1:17" x14ac:dyDescent="0.25">
      <c r="A278" s="5">
        <v>40154</v>
      </c>
      <c r="B278">
        <v>590.51</v>
      </c>
      <c r="C278">
        <v>1106.4100000000001</v>
      </c>
      <c r="D278" s="6">
        <f t="shared" si="32"/>
        <v>9.4015486914753588E-3</v>
      </c>
      <c r="E278" s="6">
        <f t="shared" si="33"/>
        <v>3.887954574224306E-4</v>
      </c>
      <c r="F278" s="7">
        <f t="shared" si="20"/>
        <v>0.9512555951330981</v>
      </c>
      <c r="G278" s="7">
        <f t="shared" si="23"/>
        <v>1.0213028478756274</v>
      </c>
      <c r="H278" s="7">
        <f t="shared" si="24"/>
        <v>0.94871200192423011</v>
      </c>
      <c r="I278" s="7">
        <f t="shared" si="25"/>
        <v>1.1968132126328794</v>
      </c>
      <c r="J278" s="7">
        <f t="shared" si="21"/>
        <v>0.68511640289141018</v>
      </c>
      <c r="K278" s="7">
        <f t="shared" si="26"/>
        <v>0.57169396305317544</v>
      </c>
      <c r="L278" s="7">
        <f t="shared" si="27"/>
        <v>0.40742280858582092</v>
      </c>
      <c r="M278" s="7">
        <f t="shared" si="28"/>
        <v>0.74448623812828751</v>
      </c>
      <c r="N278" s="8">
        <f t="shared" si="22"/>
        <v>4.9657048150001645E-2</v>
      </c>
      <c r="O278" s="8">
        <f t="shared" si="29"/>
        <v>4.9947703153828932E-2</v>
      </c>
      <c r="P278" s="8">
        <f t="shared" si="30"/>
        <v>4.5833356037627546E-2</v>
      </c>
      <c r="Q278" s="8">
        <f t="shared" si="31"/>
        <v>5.0818163313850001E-2</v>
      </c>
    </row>
    <row r="279" spans="1:17" x14ac:dyDescent="0.25">
      <c r="A279" s="5">
        <v>40161</v>
      </c>
      <c r="B279">
        <v>596.41999999999996</v>
      </c>
      <c r="C279">
        <v>1102.47</v>
      </c>
      <c r="D279" s="6">
        <f t="shared" si="32"/>
        <v>1.000829791197444E-2</v>
      </c>
      <c r="E279" s="6">
        <f t="shared" si="33"/>
        <v>-3.5610668739437523E-3</v>
      </c>
      <c r="F279" s="7">
        <f t="shared" si="20"/>
        <v>0.94880130502596116</v>
      </c>
      <c r="G279" s="7">
        <f t="shared" si="23"/>
        <v>1.0213028478756274</v>
      </c>
      <c r="H279" s="7">
        <f t="shared" si="24"/>
        <v>0.94871200192423011</v>
      </c>
      <c r="I279" s="7">
        <f t="shared" si="25"/>
        <v>1.1968132126328794</v>
      </c>
      <c r="J279" s="7">
        <f t="shared" si="21"/>
        <v>0.68575096082202613</v>
      </c>
      <c r="K279" s="7">
        <f t="shared" si="26"/>
        <v>0.57169396305317544</v>
      </c>
      <c r="L279" s="7">
        <f t="shared" si="27"/>
        <v>0.40742280858582092</v>
      </c>
      <c r="M279" s="7">
        <f t="shared" si="28"/>
        <v>0.74448623812828751</v>
      </c>
      <c r="N279" s="8">
        <f t="shared" si="22"/>
        <v>4.9470299076535093E-2</v>
      </c>
      <c r="O279" s="8">
        <f t="shared" si="29"/>
        <v>4.9947703153828932E-2</v>
      </c>
      <c r="P279" s="8">
        <f t="shared" si="30"/>
        <v>4.5833356037627546E-2</v>
      </c>
      <c r="Q279" s="8">
        <f t="shared" si="31"/>
        <v>5.0818163313850001E-2</v>
      </c>
    </row>
    <row r="280" spans="1:17" x14ac:dyDescent="0.25">
      <c r="A280" s="5">
        <v>40168</v>
      </c>
      <c r="B280">
        <v>618.48</v>
      </c>
      <c r="C280">
        <v>1126.48</v>
      </c>
      <c r="D280" s="6">
        <f t="shared" si="32"/>
        <v>3.6987357902149576E-2</v>
      </c>
      <c r="E280" s="6">
        <f t="shared" si="33"/>
        <v>2.1778370386495771E-2</v>
      </c>
      <c r="F280" s="7">
        <f t="shared" si="20"/>
        <v>0.95015616223220023</v>
      </c>
      <c r="G280" s="7">
        <f t="shared" si="23"/>
        <v>1.0213028478756274</v>
      </c>
      <c r="H280" s="7">
        <f t="shared" si="24"/>
        <v>0.94871200192423011</v>
      </c>
      <c r="I280" s="7">
        <f t="shared" si="25"/>
        <v>1.1968132126328794</v>
      </c>
      <c r="J280" s="7">
        <f t="shared" si="21"/>
        <v>0.68656468901336742</v>
      </c>
      <c r="K280" s="7">
        <f t="shared" si="26"/>
        <v>0.57169396305317544</v>
      </c>
      <c r="L280" s="7">
        <f t="shared" si="27"/>
        <v>0.40742280858582092</v>
      </c>
      <c r="M280" s="7">
        <f t="shared" si="28"/>
        <v>0.74448623812828751</v>
      </c>
      <c r="N280" s="8">
        <f t="shared" si="22"/>
        <v>4.9541059226953718E-2</v>
      </c>
      <c r="O280" s="8">
        <f t="shared" si="29"/>
        <v>4.9947703153828932E-2</v>
      </c>
      <c r="P280" s="8">
        <f t="shared" si="30"/>
        <v>4.5833356037627546E-2</v>
      </c>
      <c r="Q280" s="8">
        <f t="shared" si="31"/>
        <v>5.0818163313850001E-2</v>
      </c>
    </row>
    <row r="281" spans="1:17" x14ac:dyDescent="0.25">
      <c r="A281" s="5">
        <v>40175</v>
      </c>
      <c r="B281">
        <v>619.98</v>
      </c>
      <c r="C281">
        <v>1115.0999999999999</v>
      </c>
      <c r="D281" s="6">
        <f t="shared" si="32"/>
        <v>2.4253007372914137E-3</v>
      </c>
      <c r="E281" s="6">
        <f t="shared" si="33"/>
        <v>-1.0102265464100646E-2</v>
      </c>
      <c r="F281" s="7">
        <f t="shared" si="20"/>
        <v>0.95133904449634432</v>
      </c>
      <c r="G281" s="7">
        <f t="shared" si="23"/>
        <v>1.0213028478756274</v>
      </c>
      <c r="H281" s="7">
        <f t="shared" si="24"/>
        <v>0.94871200192423011</v>
      </c>
      <c r="I281" s="7">
        <f t="shared" si="25"/>
        <v>1.1968132126328794</v>
      </c>
      <c r="J281" s="7">
        <f t="shared" si="21"/>
        <v>0.69025807284136631</v>
      </c>
      <c r="K281" s="7">
        <f t="shared" si="26"/>
        <v>0.57169396305317544</v>
      </c>
      <c r="L281" s="7">
        <f t="shared" si="27"/>
        <v>0.40742280858582092</v>
      </c>
      <c r="M281" s="7">
        <f t="shared" si="28"/>
        <v>0.74448623812828751</v>
      </c>
      <c r="N281" s="8">
        <f t="shared" si="22"/>
        <v>4.9344555057576393E-2</v>
      </c>
      <c r="O281" s="8">
        <f t="shared" si="29"/>
        <v>4.9947703153828932E-2</v>
      </c>
      <c r="P281" s="8">
        <f t="shared" si="30"/>
        <v>4.5833356037627546E-2</v>
      </c>
      <c r="Q281" s="8">
        <f t="shared" si="31"/>
        <v>5.0818163313850001E-2</v>
      </c>
    </row>
    <row r="282" spans="1:17" x14ac:dyDescent="0.25">
      <c r="A282" s="5">
        <v>40182</v>
      </c>
      <c r="B282">
        <v>602.02</v>
      </c>
      <c r="C282">
        <v>1144.98</v>
      </c>
      <c r="D282" s="6">
        <f t="shared" si="32"/>
        <v>-2.8968676408916427E-2</v>
      </c>
      <c r="E282" s="6">
        <f t="shared" si="33"/>
        <v>2.6795803066989698E-2</v>
      </c>
      <c r="F282" s="7">
        <f t="shared" si="20"/>
        <v>0.94188771928063941</v>
      </c>
      <c r="G282" s="7">
        <f t="shared" si="23"/>
        <v>1.0213028478756274</v>
      </c>
      <c r="H282" s="7">
        <f t="shared" si="24"/>
        <v>0.94871200192423011</v>
      </c>
      <c r="I282" s="7">
        <f t="shared" si="25"/>
        <v>1.1968132126328794</v>
      </c>
      <c r="J282" s="7">
        <f t="shared" si="21"/>
        <v>0.68442602300438171</v>
      </c>
      <c r="K282" s="7">
        <f t="shared" si="26"/>
        <v>0.57169396305317544</v>
      </c>
      <c r="L282" s="7">
        <f t="shared" si="27"/>
        <v>0.40742280858582092</v>
      </c>
      <c r="M282" s="7">
        <f t="shared" si="28"/>
        <v>0.74448623812828751</v>
      </c>
      <c r="N282" s="8">
        <f t="shared" si="22"/>
        <v>4.9334023009723151E-2</v>
      </c>
      <c r="O282" s="8">
        <f t="shared" si="29"/>
        <v>4.9947703153828932E-2</v>
      </c>
      <c r="P282" s="8">
        <f t="shared" si="30"/>
        <v>4.5833356037627546E-2</v>
      </c>
      <c r="Q282" s="8">
        <f t="shared" si="31"/>
        <v>5.0818163313850001E-2</v>
      </c>
    </row>
    <row r="283" spans="1:17" x14ac:dyDescent="0.25">
      <c r="A283" s="5">
        <v>40189</v>
      </c>
      <c r="B283">
        <v>580</v>
      </c>
      <c r="C283">
        <v>1136.03</v>
      </c>
      <c r="D283" s="6">
        <f t="shared" si="32"/>
        <v>-3.6576857911697291E-2</v>
      </c>
      <c r="E283" s="6">
        <f t="shared" si="33"/>
        <v>-7.8167304232388268E-3</v>
      </c>
      <c r="F283" s="7">
        <f t="shared" si="20"/>
        <v>0.94312324703190886</v>
      </c>
      <c r="G283" s="7">
        <f t="shared" si="23"/>
        <v>1.0213028478756274</v>
      </c>
      <c r="H283" s="7">
        <f t="shared" si="24"/>
        <v>0.94871200192423011</v>
      </c>
      <c r="I283" s="7">
        <f t="shared" si="25"/>
        <v>1.1968132126328794</v>
      </c>
      <c r="J283" s="7">
        <f t="shared" si="21"/>
        <v>0.68499644115829783</v>
      </c>
      <c r="K283" s="7">
        <f t="shared" si="26"/>
        <v>0.57169396305317544</v>
      </c>
      <c r="L283" s="7">
        <f t="shared" si="27"/>
        <v>0.40742280858582092</v>
      </c>
      <c r="M283" s="7">
        <f t="shared" si="28"/>
        <v>0.74448623812828751</v>
      </c>
      <c r="N283" s="8">
        <f t="shared" si="22"/>
        <v>4.9363615127469347E-2</v>
      </c>
      <c r="O283" s="8">
        <f t="shared" si="29"/>
        <v>4.9947703153828932E-2</v>
      </c>
      <c r="P283" s="8">
        <f t="shared" si="30"/>
        <v>4.5833356037627546E-2</v>
      </c>
      <c r="Q283" s="8">
        <f t="shared" si="31"/>
        <v>5.0818163313850001E-2</v>
      </c>
    </row>
    <row r="284" spans="1:17" x14ac:dyDescent="0.25">
      <c r="A284" s="5">
        <v>40197</v>
      </c>
      <c r="B284">
        <v>550.01</v>
      </c>
      <c r="C284">
        <v>1091.76</v>
      </c>
      <c r="D284" s="6">
        <f t="shared" si="32"/>
        <v>-5.1706896551724113E-2</v>
      </c>
      <c r="E284" s="6">
        <f t="shared" si="33"/>
        <v>-3.8969041310528807E-2</v>
      </c>
      <c r="F284" s="7">
        <f t="shared" si="20"/>
        <v>0.94686234003756364</v>
      </c>
      <c r="G284" s="7">
        <f t="shared" si="23"/>
        <v>1.0213028478756274</v>
      </c>
      <c r="H284" s="7">
        <f t="shared" si="24"/>
        <v>0.94871200192423011</v>
      </c>
      <c r="I284" s="7">
        <f t="shared" si="25"/>
        <v>1.1968132126328794</v>
      </c>
      <c r="J284" s="7">
        <f t="shared" si="21"/>
        <v>0.68763084240081462</v>
      </c>
      <c r="K284" s="7">
        <f t="shared" si="26"/>
        <v>0.57169396305317544</v>
      </c>
      <c r="L284" s="7">
        <f t="shared" si="27"/>
        <v>0.40742280858582092</v>
      </c>
      <c r="M284" s="7">
        <f t="shared" si="28"/>
        <v>0.74448623812828751</v>
      </c>
      <c r="N284" s="8">
        <f t="shared" si="22"/>
        <v>4.9544333015815477E-2</v>
      </c>
      <c r="O284" s="8">
        <f t="shared" si="29"/>
        <v>4.9947703153828932E-2</v>
      </c>
      <c r="P284" s="8">
        <f t="shared" si="30"/>
        <v>4.5833356037627546E-2</v>
      </c>
      <c r="Q284" s="8">
        <f t="shared" si="31"/>
        <v>5.0818163313850001E-2</v>
      </c>
    </row>
    <row r="285" spans="1:17" x14ac:dyDescent="0.25">
      <c r="A285" s="5">
        <v>40203</v>
      </c>
      <c r="B285">
        <v>529.94000000000005</v>
      </c>
      <c r="C285">
        <v>1073.8699999999999</v>
      </c>
      <c r="D285" s="6">
        <f t="shared" si="32"/>
        <v>-3.6490245631897511E-2</v>
      </c>
      <c r="E285" s="6">
        <f t="shared" si="33"/>
        <v>-1.6386385286143557E-2</v>
      </c>
      <c r="F285" s="7">
        <f t="shared" si="20"/>
        <v>0.95345459917729991</v>
      </c>
      <c r="G285" s="7">
        <f t="shared" si="23"/>
        <v>1.0213028478756274</v>
      </c>
      <c r="H285" s="7">
        <f t="shared" si="24"/>
        <v>0.94871200192423011</v>
      </c>
      <c r="I285" s="7">
        <f t="shared" si="25"/>
        <v>1.1968132126328794</v>
      </c>
      <c r="J285" s="7">
        <f t="shared" si="21"/>
        <v>0.6916868072926029</v>
      </c>
      <c r="K285" s="7">
        <f t="shared" si="26"/>
        <v>0.57169396305317544</v>
      </c>
      <c r="L285" s="7">
        <f t="shared" si="27"/>
        <v>0.40742280858582092</v>
      </c>
      <c r="M285" s="7">
        <f t="shared" si="28"/>
        <v>0.74448623812828751</v>
      </c>
      <c r="N285" s="8">
        <f t="shared" si="22"/>
        <v>4.9578184757931403E-2</v>
      </c>
      <c r="O285" s="8">
        <f t="shared" si="29"/>
        <v>4.9947703153828932E-2</v>
      </c>
      <c r="P285" s="8">
        <f t="shared" si="30"/>
        <v>4.5833356037627546E-2</v>
      </c>
      <c r="Q285" s="8">
        <f t="shared" si="31"/>
        <v>5.0818163313850001E-2</v>
      </c>
    </row>
    <row r="286" spans="1:17" x14ac:dyDescent="0.25">
      <c r="A286" s="5">
        <v>40210</v>
      </c>
      <c r="B286">
        <v>531.29</v>
      </c>
      <c r="C286">
        <v>1066.19</v>
      </c>
      <c r="D286" s="6">
        <f t="shared" si="32"/>
        <v>2.5474582028153225E-3</v>
      </c>
      <c r="E286" s="6">
        <f t="shared" si="33"/>
        <v>-7.1517036512798171E-3</v>
      </c>
      <c r="F286" s="7">
        <f t="shared" si="20"/>
        <v>0.95219388721243559</v>
      </c>
      <c r="G286" s="7">
        <f t="shared" si="23"/>
        <v>1.0213028478756274</v>
      </c>
      <c r="H286" s="7">
        <f t="shared" si="24"/>
        <v>0.94871200192423011</v>
      </c>
      <c r="I286" s="7">
        <f t="shared" si="25"/>
        <v>1.1968132126328794</v>
      </c>
      <c r="J286" s="7">
        <f t="shared" si="21"/>
        <v>0.69242143253061783</v>
      </c>
      <c r="K286" s="7">
        <f t="shared" si="26"/>
        <v>0.57169396305317544</v>
      </c>
      <c r="L286" s="7">
        <f t="shared" si="27"/>
        <v>0.40742280858582092</v>
      </c>
      <c r="M286" s="7">
        <f t="shared" si="28"/>
        <v>0.74448623812828751</v>
      </c>
      <c r="N286" s="8">
        <f t="shared" si="22"/>
        <v>4.9460127513872139E-2</v>
      </c>
      <c r="O286" s="8">
        <f t="shared" si="29"/>
        <v>4.9947703153828932E-2</v>
      </c>
      <c r="P286" s="8">
        <f t="shared" si="30"/>
        <v>4.5833356037627546E-2</v>
      </c>
      <c r="Q286" s="8">
        <f t="shared" si="31"/>
        <v>5.0818163313850001E-2</v>
      </c>
    </row>
    <row r="287" spans="1:17" x14ac:dyDescent="0.25">
      <c r="A287" s="5">
        <v>40217</v>
      </c>
      <c r="B287">
        <v>533.12</v>
      </c>
      <c r="C287">
        <v>1075.51</v>
      </c>
      <c r="D287" s="6">
        <f t="shared" si="32"/>
        <v>3.4444465357903464E-3</v>
      </c>
      <c r="E287" s="6">
        <f t="shared" si="33"/>
        <v>8.741406315947442E-3</v>
      </c>
      <c r="F287" s="7">
        <f t="shared" ref="F287:F350" si="34">COVAR(D132:D287,E132:E287)/(_xlfn.STDEV.P(E132:E287)^2)</f>
        <v>0.95161779376027611</v>
      </c>
      <c r="G287" s="7">
        <f t="shared" si="23"/>
        <v>1.0213028478756274</v>
      </c>
      <c r="H287" s="7">
        <f t="shared" si="24"/>
        <v>0.94871200192423011</v>
      </c>
      <c r="I287" s="7">
        <f t="shared" si="25"/>
        <v>1.1968132126328794</v>
      </c>
      <c r="J287" s="7">
        <f t="shared" ref="J287:J350" si="35">CORREL(D132:D287,E132:E287)</f>
        <v>0.69207730130608469</v>
      </c>
      <c r="K287" s="7">
        <f t="shared" si="26"/>
        <v>0.57169396305317544</v>
      </c>
      <c r="L287" s="7">
        <f t="shared" si="27"/>
        <v>0.40742280858582092</v>
      </c>
      <c r="M287" s="7">
        <f t="shared" si="28"/>
        <v>0.74448623812828751</v>
      </c>
      <c r="N287" s="8">
        <f t="shared" ref="N287:N350" si="36">_xlfn.STDEV.P(D132:D287)</f>
        <v>4.9444977967199211E-2</v>
      </c>
      <c r="O287" s="8">
        <f t="shared" si="29"/>
        <v>4.9947703153828932E-2</v>
      </c>
      <c r="P287" s="8">
        <f t="shared" si="30"/>
        <v>4.5833356037627546E-2</v>
      </c>
      <c r="Q287" s="8">
        <f t="shared" si="31"/>
        <v>5.0818163313850001E-2</v>
      </c>
    </row>
    <row r="288" spans="1:17" x14ac:dyDescent="0.25">
      <c r="A288" s="5">
        <v>40225</v>
      </c>
      <c r="B288">
        <v>540.76</v>
      </c>
      <c r="C288">
        <v>1109.17</v>
      </c>
      <c r="D288" s="6">
        <f t="shared" si="32"/>
        <v>1.4330732292917148E-2</v>
      </c>
      <c r="E288" s="6">
        <f t="shared" si="33"/>
        <v>3.1296780132216373E-2</v>
      </c>
      <c r="F288" s="7">
        <f t="shared" si="34"/>
        <v>0.94864297837753386</v>
      </c>
      <c r="G288" s="7">
        <f t="shared" ref="G288:G351" si="37">G287</f>
        <v>1.0213028478756274</v>
      </c>
      <c r="H288" s="7">
        <f t="shared" ref="H288:H351" si="38">H287</f>
        <v>0.94871200192423011</v>
      </c>
      <c r="I288" s="7">
        <f t="shared" ref="I288:I351" si="39">I287</f>
        <v>1.1968132126328794</v>
      </c>
      <c r="J288" s="7">
        <f t="shared" si="35"/>
        <v>0.69157263653850287</v>
      </c>
      <c r="K288" s="7">
        <f t="shared" ref="K288:K351" si="40">K287</f>
        <v>0.57169396305317544</v>
      </c>
      <c r="L288" s="7">
        <f t="shared" ref="L288:L351" si="41">L287</f>
        <v>0.40742280858582092</v>
      </c>
      <c r="M288" s="7">
        <f t="shared" ref="M288:M351" si="42">M287</f>
        <v>0.74448623812828751</v>
      </c>
      <c r="N288" s="8">
        <f t="shared" si="36"/>
        <v>4.9454687486978781E-2</v>
      </c>
      <c r="O288" s="8">
        <f t="shared" ref="O288:O351" si="43">O287</f>
        <v>4.9947703153828932E-2</v>
      </c>
      <c r="P288" s="8">
        <f t="shared" ref="P288:P351" si="44">P287</f>
        <v>4.5833356037627546E-2</v>
      </c>
      <c r="Q288" s="8">
        <f t="shared" ref="Q288:Q351" si="45">Q287</f>
        <v>5.0818163313850001E-2</v>
      </c>
    </row>
    <row r="289" spans="1:17" x14ac:dyDescent="0.25">
      <c r="A289" s="5">
        <v>40231</v>
      </c>
      <c r="B289">
        <v>526.79999999999995</v>
      </c>
      <c r="C289">
        <v>1104.49</v>
      </c>
      <c r="D289" s="6">
        <f t="shared" si="32"/>
        <v>-2.5815518899326984E-2</v>
      </c>
      <c r="E289" s="6">
        <f t="shared" si="33"/>
        <v>-4.2193712415590223E-3</v>
      </c>
      <c r="F289" s="7">
        <f t="shared" si="34"/>
        <v>0.9427851012860482</v>
      </c>
      <c r="G289" s="7">
        <f t="shared" si="37"/>
        <v>1.0213028478756274</v>
      </c>
      <c r="H289" s="7">
        <f t="shared" si="38"/>
        <v>0.94871200192423011</v>
      </c>
      <c r="I289" s="7">
        <f t="shared" si="39"/>
        <v>1.1968132126328794</v>
      </c>
      <c r="J289" s="7">
        <f t="shared" si="35"/>
        <v>0.68788515502202918</v>
      </c>
      <c r="K289" s="7">
        <f t="shared" si="40"/>
        <v>0.57169396305317544</v>
      </c>
      <c r="L289" s="7">
        <f t="shared" si="41"/>
        <v>0.40742280858582092</v>
      </c>
      <c r="M289" s="7">
        <f t="shared" si="42"/>
        <v>0.74448623812828751</v>
      </c>
      <c r="N289" s="8">
        <f t="shared" si="36"/>
        <v>4.918636407221573E-2</v>
      </c>
      <c r="O289" s="8">
        <f t="shared" si="43"/>
        <v>4.9947703153828932E-2</v>
      </c>
      <c r="P289" s="8">
        <f t="shared" si="44"/>
        <v>4.5833356037627546E-2</v>
      </c>
      <c r="Q289" s="8">
        <f t="shared" si="45"/>
        <v>5.0818163313850001E-2</v>
      </c>
    </row>
    <row r="290" spans="1:17" x14ac:dyDescent="0.25">
      <c r="A290" s="5">
        <v>40238</v>
      </c>
      <c r="B290">
        <v>564.21</v>
      </c>
      <c r="C290">
        <v>1138.7</v>
      </c>
      <c r="D290" s="6">
        <f t="shared" si="32"/>
        <v>7.1013667425968263E-2</v>
      </c>
      <c r="E290" s="6">
        <f t="shared" si="33"/>
        <v>3.0973571512643794E-2</v>
      </c>
      <c r="F290" s="7">
        <f t="shared" si="34"/>
        <v>0.94773748003268909</v>
      </c>
      <c r="G290" s="7">
        <f t="shared" si="37"/>
        <v>1.0213028478756274</v>
      </c>
      <c r="H290" s="7">
        <f t="shared" si="38"/>
        <v>0.94871200192423011</v>
      </c>
      <c r="I290" s="7">
        <f t="shared" si="39"/>
        <v>1.1968132126328794</v>
      </c>
      <c r="J290" s="7">
        <f t="shared" si="35"/>
        <v>0.68952478803067685</v>
      </c>
      <c r="K290" s="7">
        <f t="shared" si="40"/>
        <v>0.57169396305317544</v>
      </c>
      <c r="L290" s="7">
        <f t="shared" si="41"/>
        <v>0.40742280858582092</v>
      </c>
      <c r="M290" s="7">
        <f t="shared" si="42"/>
        <v>0.74448623812828751</v>
      </c>
      <c r="N290" s="8">
        <f t="shared" si="36"/>
        <v>4.9432731881171789E-2</v>
      </c>
      <c r="O290" s="8">
        <f t="shared" si="43"/>
        <v>4.9947703153828932E-2</v>
      </c>
      <c r="P290" s="8">
        <f t="shared" si="44"/>
        <v>4.5833356037627546E-2</v>
      </c>
      <c r="Q290" s="8">
        <f t="shared" si="45"/>
        <v>5.0818163313850001E-2</v>
      </c>
    </row>
    <row r="291" spans="1:17" x14ac:dyDescent="0.25">
      <c r="A291" s="5">
        <v>40245</v>
      </c>
      <c r="B291">
        <v>579.54</v>
      </c>
      <c r="C291">
        <v>1149.99</v>
      </c>
      <c r="D291" s="6">
        <f t="shared" si="32"/>
        <v>2.7170734301057875E-2</v>
      </c>
      <c r="E291" s="6">
        <f t="shared" si="33"/>
        <v>9.9148151400720863E-3</v>
      </c>
      <c r="F291" s="7">
        <f t="shared" si="34"/>
        <v>0.94745859763038565</v>
      </c>
      <c r="G291" s="7">
        <f t="shared" si="37"/>
        <v>1.0213028478756274</v>
      </c>
      <c r="H291" s="7">
        <f t="shared" si="38"/>
        <v>0.94871200192423011</v>
      </c>
      <c r="I291" s="7">
        <f t="shared" si="39"/>
        <v>1.1968132126328794</v>
      </c>
      <c r="J291" s="7">
        <f t="shared" si="35"/>
        <v>0.689567330535653</v>
      </c>
      <c r="K291" s="7">
        <f t="shared" si="40"/>
        <v>0.57169396305317544</v>
      </c>
      <c r="L291" s="7">
        <f t="shared" si="41"/>
        <v>0.40742280858582092</v>
      </c>
      <c r="M291" s="7">
        <f t="shared" si="42"/>
        <v>0.74448623812828751</v>
      </c>
      <c r="N291" s="8">
        <f t="shared" si="36"/>
        <v>4.9414639656585831E-2</v>
      </c>
      <c r="O291" s="8">
        <f t="shared" si="43"/>
        <v>4.9947703153828932E-2</v>
      </c>
      <c r="P291" s="8">
        <f t="shared" si="44"/>
        <v>4.5833356037627546E-2</v>
      </c>
      <c r="Q291" s="8">
        <f t="shared" si="45"/>
        <v>5.0818163313850001E-2</v>
      </c>
    </row>
    <row r="292" spans="1:17" x14ac:dyDescent="0.25">
      <c r="A292" s="5">
        <v>40252</v>
      </c>
      <c r="B292">
        <v>560</v>
      </c>
      <c r="C292">
        <v>1159.9000000000001</v>
      </c>
      <c r="D292" s="6">
        <f t="shared" si="32"/>
        <v>-3.3716395762156126E-2</v>
      </c>
      <c r="E292" s="6">
        <f t="shared" si="33"/>
        <v>8.6174662388369683E-3</v>
      </c>
      <c r="F292" s="7">
        <f t="shared" si="34"/>
        <v>0.94345159964469694</v>
      </c>
      <c r="G292" s="7">
        <f t="shared" si="37"/>
        <v>1.0213028478756274</v>
      </c>
      <c r="H292" s="7">
        <f t="shared" si="38"/>
        <v>0.94871200192423011</v>
      </c>
      <c r="I292" s="7">
        <f t="shared" si="39"/>
        <v>1.1968132126328794</v>
      </c>
      <c r="J292" s="7">
        <f t="shared" si="35"/>
        <v>0.68519653865586971</v>
      </c>
      <c r="K292" s="7">
        <f t="shared" si="40"/>
        <v>0.57169396305317544</v>
      </c>
      <c r="L292" s="7">
        <f t="shared" si="41"/>
        <v>0.40742280858582092</v>
      </c>
      <c r="M292" s="7">
        <f t="shared" si="42"/>
        <v>0.74448623812828751</v>
      </c>
      <c r="N292" s="8">
        <f t="shared" si="36"/>
        <v>4.9370119017929821E-2</v>
      </c>
      <c r="O292" s="8">
        <f t="shared" si="43"/>
        <v>4.9947703153828932E-2</v>
      </c>
      <c r="P292" s="8">
        <f t="shared" si="44"/>
        <v>4.5833356037627546E-2</v>
      </c>
      <c r="Q292" s="8">
        <f t="shared" si="45"/>
        <v>5.0818163313850001E-2</v>
      </c>
    </row>
    <row r="293" spans="1:17" x14ac:dyDescent="0.25">
      <c r="A293" s="5">
        <v>40259</v>
      </c>
      <c r="B293">
        <v>562.69000000000005</v>
      </c>
      <c r="C293">
        <v>1166.5899999999999</v>
      </c>
      <c r="D293" s="6">
        <f t="shared" si="32"/>
        <v>4.8035714285714626E-3</v>
      </c>
      <c r="E293" s="6">
        <f t="shared" si="33"/>
        <v>5.7677385981549367E-3</v>
      </c>
      <c r="F293" s="7">
        <f t="shared" si="34"/>
        <v>0.94327884476802348</v>
      </c>
      <c r="G293" s="7">
        <f t="shared" si="37"/>
        <v>1.0213028478756274</v>
      </c>
      <c r="H293" s="7">
        <f t="shared" si="38"/>
        <v>0.94871200192423011</v>
      </c>
      <c r="I293" s="7">
        <f t="shared" si="39"/>
        <v>1.1968132126328794</v>
      </c>
      <c r="J293" s="7">
        <f t="shared" si="35"/>
        <v>0.68506583212051864</v>
      </c>
      <c r="K293" s="7">
        <f t="shared" si="40"/>
        <v>0.57169396305317544</v>
      </c>
      <c r="L293" s="7">
        <f t="shared" si="41"/>
        <v>0.40742280858582092</v>
      </c>
      <c r="M293" s="7">
        <f t="shared" si="42"/>
        <v>0.74448623812828751</v>
      </c>
      <c r="N293" s="8">
        <f t="shared" si="36"/>
        <v>4.9363381620572688E-2</v>
      </c>
      <c r="O293" s="8">
        <f t="shared" si="43"/>
        <v>4.9947703153828932E-2</v>
      </c>
      <c r="P293" s="8">
        <f t="shared" si="44"/>
        <v>4.5833356037627546E-2</v>
      </c>
      <c r="Q293" s="8">
        <f t="shared" si="45"/>
        <v>5.0818163313850001E-2</v>
      </c>
    </row>
    <row r="294" spans="1:17" x14ac:dyDescent="0.25">
      <c r="A294" s="5">
        <v>40266</v>
      </c>
      <c r="B294">
        <v>568.79999999999995</v>
      </c>
      <c r="C294">
        <v>1178.0999999999999</v>
      </c>
      <c r="D294" s="6">
        <f t="shared" si="32"/>
        <v>1.0858554443832213E-2</v>
      </c>
      <c r="E294" s="6">
        <f t="shared" si="33"/>
        <v>9.8663626466881649E-3</v>
      </c>
      <c r="F294" s="7">
        <f t="shared" si="34"/>
        <v>0.94229114500056743</v>
      </c>
      <c r="G294" s="7">
        <f t="shared" si="37"/>
        <v>1.0213028478756274</v>
      </c>
      <c r="H294" s="7">
        <f t="shared" si="38"/>
        <v>0.94871200192423011</v>
      </c>
      <c r="I294" s="7">
        <f t="shared" si="39"/>
        <v>1.1968132126328794</v>
      </c>
      <c r="J294" s="7">
        <f t="shared" si="35"/>
        <v>0.68463483455732721</v>
      </c>
      <c r="K294" s="7">
        <f t="shared" si="40"/>
        <v>0.57169396305317544</v>
      </c>
      <c r="L294" s="7">
        <f t="shared" si="41"/>
        <v>0.40742280858582092</v>
      </c>
      <c r="M294" s="7">
        <f t="shared" si="42"/>
        <v>0.74448623812828751</v>
      </c>
      <c r="N294" s="8">
        <f t="shared" si="36"/>
        <v>4.9321779611612437E-2</v>
      </c>
      <c r="O294" s="8">
        <f t="shared" si="43"/>
        <v>4.9947703153828932E-2</v>
      </c>
      <c r="P294" s="8">
        <f t="shared" si="44"/>
        <v>4.5833356037627546E-2</v>
      </c>
      <c r="Q294" s="8">
        <f t="shared" si="45"/>
        <v>5.0818163313850001E-2</v>
      </c>
    </row>
    <row r="295" spans="1:17" x14ac:dyDescent="0.25">
      <c r="A295" s="5">
        <v>40273</v>
      </c>
      <c r="B295">
        <v>566.22</v>
      </c>
      <c r="C295">
        <v>1194.3699999999999</v>
      </c>
      <c r="D295" s="6">
        <f t="shared" si="32"/>
        <v>-4.5358649789027927E-3</v>
      </c>
      <c r="E295" s="6">
        <f t="shared" si="33"/>
        <v>1.3810372633902057E-2</v>
      </c>
      <c r="F295" s="7">
        <f t="shared" si="34"/>
        <v>0.94150094243459848</v>
      </c>
      <c r="G295" s="7">
        <f t="shared" si="37"/>
        <v>1.0213028478756274</v>
      </c>
      <c r="H295" s="7">
        <f t="shared" si="38"/>
        <v>0.94871200192423011</v>
      </c>
      <c r="I295" s="7">
        <f t="shared" si="39"/>
        <v>1.1968132126328794</v>
      </c>
      <c r="J295" s="7">
        <f t="shared" si="35"/>
        <v>0.68445541822493894</v>
      </c>
      <c r="K295" s="7">
        <f t="shared" si="40"/>
        <v>0.57169396305317544</v>
      </c>
      <c r="L295" s="7">
        <f t="shared" si="41"/>
        <v>0.40742280858582092</v>
      </c>
      <c r="M295" s="7">
        <f t="shared" si="42"/>
        <v>0.74448623812828751</v>
      </c>
      <c r="N295" s="8">
        <f t="shared" si="36"/>
        <v>4.931307667229165E-2</v>
      </c>
      <c r="O295" s="8">
        <f t="shared" si="43"/>
        <v>4.9947703153828932E-2</v>
      </c>
      <c r="P295" s="8">
        <f t="shared" si="44"/>
        <v>4.5833356037627546E-2</v>
      </c>
      <c r="Q295" s="8">
        <f t="shared" si="45"/>
        <v>5.0818163313850001E-2</v>
      </c>
    </row>
    <row r="296" spans="1:17" x14ac:dyDescent="0.25">
      <c r="A296" s="5">
        <v>40280</v>
      </c>
      <c r="B296">
        <v>550.15</v>
      </c>
      <c r="C296">
        <v>1192.1300000000001</v>
      </c>
      <c r="D296" s="6">
        <f t="shared" si="32"/>
        <v>-2.8381194588675829E-2</v>
      </c>
      <c r="E296" s="6">
        <f t="shared" si="33"/>
        <v>-1.8754657267009422E-3</v>
      </c>
      <c r="F296" s="7">
        <f t="shared" si="34"/>
        <v>0.94040233671583273</v>
      </c>
      <c r="G296" s="7">
        <f t="shared" si="37"/>
        <v>1.0213028478756274</v>
      </c>
      <c r="H296" s="7">
        <f t="shared" si="38"/>
        <v>0.94871200192423011</v>
      </c>
      <c r="I296" s="7">
        <f t="shared" si="39"/>
        <v>1.1968132126328794</v>
      </c>
      <c r="J296" s="7">
        <f t="shared" si="35"/>
        <v>0.68290960356171615</v>
      </c>
      <c r="K296" s="7">
        <f t="shared" si="40"/>
        <v>0.57169396305317544</v>
      </c>
      <c r="L296" s="7">
        <f t="shared" si="41"/>
        <v>0.40742280858582092</v>
      </c>
      <c r="M296" s="7">
        <f t="shared" si="42"/>
        <v>0.74448623812828751</v>
      </c>
      <c r="N296" s="8">
        <f t="shared" si="36"/>
        <v>4.9305622954465986E-2</v>
      </c>
      <c r="O296" s="8">
        <f t="shared" si="43"/>
        <v>4.9947703153828932E-2</v>
      </c>
      <c r="P296" s="8">
        <f t="shared" si="44"/>
        <v>4.5833356037627546E-2</v>
      </c>
      <c r="Q296" s="8">
        <f t="shared" si="45"/>
        <v>5.0818163313850001E-2</v>
      </c>
    </row>
    <row r="297" spans="1:17" x14ac:dyDescent="0.25">
      <c r="A297" s="5">
        <v>40287</v>
      </c>
      <c r="B297">
        <v>544.99</v>
      </c>
      <c r="C297">
        <v>1217.28</v>
      </c>
      <c r="D297" s="6">
        <f t="shared" si="32"/>
        <v>-9.3792602017630511E-3</v>
      </c>
      <c r="E297" s="6">
        <f t="shared" si="33"/>
        <v>2.1096692474813938E-2</v>
      </c>
      <c r="F297" s="7">
        <f t="shared" si="34"/>
        <v>0.93750985924979602</v>
      </c>
      <c r="G297" s="7">
        <f t="shared" si="37"/>
        <v>1.0213028478756274</v>
      </c>
      <c r="H297" s="7">
        <f t="shared" si="38"/>
        <v>0.94871200192423011</v>
      </c>
      <c r="I297" s="7">
        <f t="shared" si="39"/>
        <v>1.1968132126328794</v>
      </c>
      <c r="J297" s="7">
        <f t="shared" si="35"/>
        <v>0.68148761335235786</v>
      </c>
      <c r="K297" s="7">
        <f t="shared" si="40"/>
        <v>0.57169396305317544</v>
      </c>
      <c r="L297" s="7">
        <f t="shared" si="41"/>
        <v>0.40742280858582092</v>
      </c>
      <c r="M297" s="7">
        <f t="shared" si="42"/>
        <v>0.74448623812828751</v>
      </c>
      <c r="N297" s="8">
        <f t="shared" si="36"/>
        <v>4.9308562528470316E-2</v>
      </c>
      <c r="O297" s="8">
        <f t="shared" si="43"/>
        <v>4.9947703153828932E-2</v>
      </c>
      <c r="P297" s="8">
        <f t="shared" si="44"/>
        <v>4.5833356037627546E-2</v>
      </c>
      <c r="Q297" s="8">
        <f t="shared" si="45"/>
        <v>5.0818163313850001E-2</v>
      </c>
    </row>
    <row r="298" spans="1:17" x14ac:dyDescent="0.25">
      <c r="A298" s="5">
        <v>40294</v>
      </c>
      <c r="B298">
        <v>525.70000000000005</v>
      </c>
      <c r="C298">
        <v>1186.69</v>
      </c>
      <c r="D298" s="6">
        <f t="shared" si="32"/>
        <v>-3.539514486504336E-2</v>
      </c>
      <c r="E298" s="6">
        <f t="shared" si="33"/>
        <v>-2.5129797581493141E-2</v>
      </c>
      <c r="F298" s="7">
        <f t="shared" si="34"/>
        <v>0.94038947252231209</v>
      </c>
      <c r="G298" s="7">
        <f t="shared" si="37"/>
        <v>1.0213028478756274</v>
      </c>
      <c r="H298" s="7">
        <f t="shared" si="38"/>
        <v>0.94871200192423011</v>
      </c>
      <c r="I298" s="7">
        <f t="shared" si="39"/>
        <v>1.1968132126328794</v>
      </c>
      <c r="J298" s="7">
        <f t="shared" si="35"/>
        <v>0.68351825267004473</v>
      </c>
      <c r="K298" s="7">
        <f t="shared" si="40"/>
        <v>0.57169396305317544</v>
      </c>
      <c r="L298" s="7">
        <f t="shared" si="41"/>
        <v>0.40742280858582092</v>
      </c>
      <c r="M298" s="7">
        <f t="shared" si="42"/>
        <v>0.74448623812828751</v>
      </c>
      <c r="N298" s="8">
        <f t="shared" si="36"/>
        <v>4.9377195771306094E-2</v>
      </c>
      <c r="O298" s="8">
        <f t="shared" si="43"/>
        <v>4.9947703153828932E-2</v>
      </c>
      <c r="P298" s="8">
        <f t="shared" si="44"/>
        <v>4.5833356037627546E-2</v>
      </c>
      <c r="Q298" s="8">
        <f t="shared" si="45"/>
        <v>5.0818163313850001E-2</v>
      </c>
    </row>
    <row r="299" spans="1:17" x14ac:dyDescent="0.25">
      <c r="A299" s="5">
        <v>40301</v>
      </c>
      <c r="B299">
        <v>493.14</v>
      </c>
      <c r="C299">
        <v>1110.8800000000001</v>
      </c>
      <c r="D299" s="6">
        <f t="shared" si="32"/>
        <v>-6.1936465664827911E-2</v>
      </c>
      <c r="E299" s="6">
        <f t="shared" si="33"/>
        <v>-6.3883575322957076E-2</v>
      </c>
      <c r="F299" s="7">
        <f t="shared" si="34"/>
        <v>0.94188100166143418</v>
      </c>
      <c r="G299" s="7">
        <f t="shared" si="37"/>
        <v>1.0213028478756274</v>
      </c>
      <c r="H299" s="7">
        <f t="shared" si="38"/>
        <v>0.94871200192423011</v>
      </c>
      <c r="I299" s="7">
        <f t="shared" si="39"/>
        <v>1.1968132126328794</v>
      </c>
      <c r="J299" s="7">
        <f t="shared" si="35"/>
        <v>0.68773942703252811</v>
      </c>
      <c r="K299" s="7">
        <f t="shared" si="40"/>
        <v>0.57169396305317544</v>
      </c>
      <c r="L299" s="7">
        <f t="shared" si="41"/>
        <v>0.40742280858582092</v>
      </c>
      <c r="M299" s="7">
        <f t="shared" si="42"/>
        <v>0.74448623812828751</v>
      </c>
      <c r="N299" s="8">
        <f t="shared" si="36"/>
        <v>4.9631928104983368E-2</v>
      </c>
      <c r="O299" s="8">
        <f t="shared" si="43"/>
        <v>4.9947703153828932E-2</v>
      </c>
      <c r="P299" s="8">
        <f t="shared" si="44"/>
        <v>4.5833356037627546E-2</v>
      </c>
      <c r="Q299" s="8">
        <f t="shared" si="45"/>
        <v>5.0818163313850001E-2</v>
      </c>
    </row>
    <row r="300" spans="1:17" x14ac:dyDescent="0.25">
      <c r="A300" s="5">
        <v>40308</v>
      </c>
      <c r="B300">
        <v>507.53</v>
      </c>
      <c r="C300">
        <v>1135.68</v>
      </c>
      <c r="D300" s="6">
        <f t="shared" si="32"/>
        <v>2.9180354463235636E-2</v>
      </c>
      <c r="E300" s="6">
        <f t="shared" si="33"/>
        <v>2.2324643525853283E-2</v>
      </c>
      <c r="F300" s="7">
        <f t="shared" si="34"/>
        <v>0.94284034862273747</v>
      </c>
      <c r="G300" s="7">
        <f t="shared" si="37"/>
        <v>1.0213028478756274</v>
      </c>
      <c r="H300" s="7">
        <f t="shared" si="38"/>
        <v>0.94871200192423011</v>
      </c>
      <c r="I300" s="7">
        <f t="shared" si="39"/>
        <v>1.1968132126328794</v>
      </c>
      <c r="J300" s="7">
        <f t="shared" si="35"/>
        <v>0.68846577789622632</v>
      </c>
      <c r="K300" s="7">
        <f t="shared" si="40"/>
        <v>0.57169396305317544</v>
      </c>
      <c r="L300" s="7">
        <f t="shared" si="41"/>
        <v>0.40742280858582092</v>
      </c>
      <c r="M300" s="7">
        <f t="shared" si="42"/>
        <v>0.74448623812828751</v>
      </c>
      <c r="N300" s="8">
        <f t="shared" si="36"/>
        <v>4.9678496378740403E-2</v>
      </c>
      <c r="O300" s="8">
        <f t="shared" si="43"/>
        <v>4.9947703153828932E-2</v>
      </c>
      <c r="P300" s="8">
        <f t="shared" si="44"/>
        <v>4.5833356037627546E-2</v>
      </c>
      <c r="Q300" s="8">
        <f t="shared" si="45"/>
        <v>5.0818163313850001E-2</v>
      </c>
    </row>
    <row r="301" spans="1:17" x14ac:dyDescent="0.25">
      <c r="A301" s="5">
        <v>40315</v>
      </c>
      <c r="B301">
        <v>472.05</v>
      </c>
      <c r="C301">
        <v>1087.69</v>
      </c>
      <c r="D301" s="6">
        <f t="shared" si="32"/>
        <v>-6.9907197604082483E-2</v>
      </c>
      <c r="E301" s="6">
        <f t="shared" si="33"/>
        <v>-4.2256621583544707E-2</v>
      </c>
      <c r="F301" s="7">
        <f t="shared" si="34"/>
        <v>0.94978475680389574</v>
      </c>
      <c r="G301" s="7">
        <f t="shared" si="37"/>
        <v>1.0213028478756274</v>
      </c>
      <c r="H301" s="7">
        <f t="shared" si="38"/>
        <v>0.94871200192423011</v>
      </c>
      <c r="I301" s="7">
        <f t="shared" si="39"/>
        <v>1.1968132126328794</v>
      </c>
      <c r="J301" s="7">
        <f t="shared" si="35"/>
        <v>0.69241862730115278</v>
      </c>
      <c r="K301" s="7">
        <f t="shared" si="40"/>
        <v>0.57169396305317544</v>
      </c>
      <c r="L301" s="7">
        <f t="shared" si="41"/>
        <v>0.40742280858582092</v>
      </c>
      <c r="M301" s="7">
        <f t="shared" si="42"/>
        <v>0.74448623812828751</v>
      </c>
      <c r="N301" s="8">
        <f t="shared" si="36"/>
        <v>4.9960002258121548E-2</v>
      </c>
      <c r="O301" s="8">
        <f t="shared" si="43"/>
        <v>4.9947703153828932E-2</v>
      </c>
      <c r="P301" s="8">
        <f t="shared" si="44"/>
        <v>4.5833356037627546E-2</v>
      </c>
      <c r="Q301" s="8">
        <f t="shared" si="45"/>
        <v>5.0818163313850001E-2</v>
      </c>
    </row>
    <row r="302" spans="1:17" x14ac:dyDescent="0.25">
      <c r="A302" s="5">
        <v>40322</v>
      </c>
      <c r="B302">
        <v>485.63</v>
      </c>
      <c r="C302">
        <v>1089.4100000000001</v>
      </c>
      <c r="D302" s="6">
        <f t="shared" si="32"/>
        <v>2.8768138968329637E-2</v>
      </c>
      <c r="E302" s="6">
        <f t="shared" si="33"/>
        <v>1.5813329165479395E-3</v>
      </c>
      <c r="F302" s="7">
        <f t="shared" si="34"/>
        <v>0.94872925781090423</v>
      </c>
      <c r="G302" s="7">
        <f t="shared" si="37"/>
        <v>1.0213028478756274</v>
      </c>
      <c r="H302" s="7">
        <f t="shared" si="38"/>
        <v>0.94871200192423011</v>
      </c>
      <c r="I302" s="7">
        <f t="shared" si="39"/>
        <v>1.1968132126328794</v>
      </c>
      <c r="J302" s="7">
        <f t="shared" si="35"/>
        <v>0.69162018704380401</v>
      </c>
      <c r="K302" s="7">
        <f t="shared" si="40"/>
        <v>0.57169396305317544</v>
      </c>
      <c r="L302" s="7">
        <f t="shared" si="41"/>
        <v>0.40742280858582092</v>
      </c>
      <c r="M302" s="7">
        <f t="shared" si="42"/>
        <v>0.74448623812828751</v>
      </c>
      <c r="N302" s="8">
        <f t="shared" si="36"/>
        <v>4.9935751034865139E-2</v>
      </c>
      <c r="O302" s="8">
        <f t="shared" si="43"/>
        <v>4.9947703153828932E-2</v>
      </c>
      <c r="P302" s="8">
        <f t="shared" si="44"/>
        <v>4.5833356037627546E-2</v>
      </c>
      <c r="Q302" s="8">
        <f t="shared" si="45"/>
        <v>5.0818163313850001E-2</v>
      </c>
    </row>
    <row r="303" spans="1:17" x14ac:dyDescent="0.25">
      <c r="A303" s="5">
        <v>40330</v>
      </c>
      <c r="B303">
        <v>498.72</v>
      </c>
      <c r="C303">
        <v>1064.8800000000001</v>
      </c>
      <c r="D303" s="6">
        <f t="shared" si="32"/>
        <v>2.6954677429318785E-2</v>
      </c>
      <c r="E303" s="6">
        <f t="shared" si="33"/>
        <v>-2.2516775135164924E-2</v>
      </c>
      <c r="F303" s="7">
        <f t="shared" si="34"/>
        <v>0.94783770021177216</v>
      </c>
      <c r="G303" s="7">
        <f t="shared" si="37"/>
        <v>1.0213028478756274</v>
      </c>
      <c r="H303" s="7">
        <f t="shared" si="38"/>
        <v>0.94871200192423011</v>
      </c>
      <c r="I303" s="7">
        <f t="shared" si="39"/>
        <v>1.1968132126328794</v>
      </c>
      <c r="J303" s="7">
        <f t="shared" si="35"/>
        <v>0.69137221687648875</v>
      </c>
      <c r="K303" s="7">
        <f t="shared" si="40"/>
        <v>0.57169396305317544</v>
      </c>
      <c r="L303" s="7">
        <f t="shared" si="41"/>
        <v>0.40742280858582092</v>
      </c>
      <c r="M303" s="7">
        <f t="shared" si="42"/>
        <v>0.74448623812828751</v>
      </c>
      <c r="N303" s="8">
        <f t="shared" si="36"/>
        <v>4.9924445323643069E-2</v>
      </c>
      <c r="O303" s="8">
        <f t="shared" si="43"/>
        <v>4.9947703153828932E-2</v>
      </c>
      <c r="P303" s="8">
        <f t="shared" si="44"/>
        <v>4.5833356037627546E-2</v>
      </c>
      <c r="Q303" s="8">
        <f t="shared" si="45"/>
        <v>5.0818163313850001E-2</v>
      </c>
    </row>
    <row r="304" spans="1:17" x14ac:dyDescent="0.25">
      <c r="A304" s="5">
        <v>40336</v>
      </c>
      <c r="B304">
        <v>488.5</v>
      </c>
      <c r="C304">
        <v>1091.5999999999999</v>
      </c>
      <c r="D304" s="6">
        <f t="shared" si="32"/>
        <v>-2.049246069939048E-2</v>
      </c>
      <c r="E304" s="6">
        <f t="shared" si="33"/>
        <v>2.5092029148824135E-2</v>
      </c>
      <c r="F304" s="7">
        <f t="shared" si="34"/>
        <v>0.94509148107159546</v>
      </c>
      <c r="G304" s="7">
        <f t="shared" si="37"/>
        <v>1.0213028478756274</v>
      </c>
      <c r="H304" s="7">
        <f t="shared" si="38"/>
        <v>0.94871200192423011</v>
      </c>
      <c r="I304" s="7">
        <f t="shared" si="39"/>
        <v>1.1968132126328794</v>
      </c>
      <c r="J304" s="7">
        <f t="shared" si="35"/>
        <v>0.68992500790976774</v>
      </c>
      <c r="K304" s="7">
        <f t="shared" si="40"/>
        <v>0.57169396305317544</v>
      </c>
      <c r="L304" s="7">
        <f t="shared" si="41"/>
        <v>0.40742280858582092</v>
      </c>
      <c r="M304" s="7">
        <f t="shared" si="42"/>
        <v>0.74448623812828751</v>
      </c>
      <c r="N304" s="8">
        <f t="shared" si="36"/>
        <v>4.9929386796629477E-2</v>
      </c>
      <c r="O304" s="8">
        <f t="shared" si="43"/>
        <v>4.9947703153828932E-2</v>
      </c>
      <c r="P304" s="8">
        <f t="shared" si="44"/>
        <v>4.5833356037627546E-2</v>
      </c>
      <c r="Q304" s="8">
        <f t="shared" si="45"/>
        <v>5.0818163313850001E-2</v>
      </c>
    </row>
    <row r="305" spans="1:17" x14ac:dyDescent="0.25">
      <c r="A305" s="5">
        <v>40343</v>
      </c>
      <c r="B305">
        <v>500.03</v>
      </c>
      <c r="C305">
        <v>1117.51</v>
      </c>
      <c r="D305" s="6">
        <f t="shared" si="32"/>
        <v>2.3602865916069637E-2</v>
      </c>
      <c r="E305" s="6">
        <f t="shared" si="33"/>
        <v>2.3735800659582251E-2</v>
      </c>
      <c r="F305" s="7">
        <f t="shared" si="34"/>
        <v>0.94977362059521453</v>
      </c>
      <c r="G305" s="7">
        <f t="shared" si="37"/>
        <v>1.0213028478756274</v>
      </c>
      <c r="H305" s="7">
        <f t="shared" si="38"/>
        <v>0.94871200192423011</v>
      </c>
      <c r="I305" s="7">
        <f t="shared" si="39"/>
        <v>1.1968132126328794</v>
      </c>
      <c r="J305" s="7">
        <f t="shared" si="35"/>
        <v>0.69457727137729153</v>
      </c>
      <c r="K305" s="7">
        <f t="shared" si="40"/>
        <v>0.57169396305317544</v>
      </c>
      <c r="L305" s="7">
        <f t="shared" si="41"/>
        <v>0.40742280858582092</v>
      </c>
      <c r="M305" s="7">
        <f t="shared" si="42"/>
        <v>0.74448623812828751</v>
      </c>
      <c r="N305" s="8">
        <f t="shared" si="36"/>
        <v>4.9875486599673141E-2</v>
      </c>
      <c r="O305" s="8">
        <f t="shared" si="43"/>
        <v>4.9947703153828932E-2</v>
      </c>
      <c r="P305" s="8">
        <f t="shared" si="44"/>
        <v>4.5833356037627546E-2</v>
      </c>
      <c r="Q305" s="8">
        <f t="shared" si="45"/>
        <v>5.0818163313850001E-2</v>
      </c>
    </row>
    <row r="306" spans="1:17" x14ac:dyDescent="0.25">
      <c r="A306" s="5">
        <v>40350</v>
      </c>
      <c r="B306">
        <v>472.68</v>
      </c>
      <c r="C306">
        <v>1076.76</v>
      </c>
      <c r="D306" s="6">
        <f t="shared" si="32"/>
        <v>-5.4696718196908134E-2</v>
      </c>
      <c r="E306" s="6">
        <f t="shared" si="33"/>
        <v>-3.6464998076079835E-2</v>
      </c>
      <c r="F306" s="7">
        <f t="shared" si="34"/>
        <v>0.95355462354881382</v>
      </c>
      <c r="G306" s="7">
        <f t="shared" si="37"/>
        <v>1.0213028478756274</v>
      </c>
      <c r="H306" s="7">
        <f t="shared" si="38"/>
        <v>0.94871200192423011</v>
      </c>
      <c r="I306" s="7">
        <f t="shared" si="39"/>
        <v>1.1968132126328794</v>
      </c>
      <c r="J306" s="7">
        <f t="shared" si="35"/>
        <v>0.69667345442842776</v>
      </c>
      <c r="K306" s="7">
        <f t="shared" si="40"/>
        <v>0.57169396305317544</v>
      </c>
      <c r="L306" s="7">
        <f t="shared" si="41"/>
        <v>0.40742280858582092</v>
      </c>
      <c r="M306" s="7">
        <f t="shared" si="42"/>
        <v>0.74448623812828751</v>
      </c>
      <c r="N306" s="8">
        <f t="shared" si="36"/>
        <v>5.0071144583770801E-2</v>
      </c>
      <c r="O306" s="8">
        <f t="shared" si="43"/>
        <v>4.9947703153828932E-2</v>
      </c>
      <c r="P306" s="8">
        <f t="shared" si="44"/>
        <v>4.5833356037627546E-2</v>
      </c>
      <c r="Q306" s="8">
        <f t="shared" si="45"/>
        <v>5.0818163313850001E-2</v>
      </c>
    </row>
    <row r="307" spans="1:17" x14ac:dyDescent="0.25">
      <c r="A307" s="5">
        <v>40357</v>
      </c>
      <c r="B307">
        <v>436.55</v>
      </c>
      <c r="C307">
        <v>1022.58</v>
      </c>
      <c r="D307" s="6">
        <f t="shared" si="32"/>
        <v>-7.6436489802826468E-2</v>
      </c>
      <c r="E307" s="6">
        <f t="shared" si="33"/>
        <v>-5.0317619525242385E-2</v>
      </c>
      <c r="F307" s="7">
        <f t="shared" si="34"/>
        <v>0.95934594032760778</v>
      </c>
      <c r="G307" s="7">
        <f t="shared" si="37"/>
        <v>1.0213028478756274</v>
      </c>
      <c r="H307" s="7">
        <f t="shared" si="38"/>
        <v>0.94871200192423011</v>
      </c>
      <c r="I307" s="7">
        <f t="shared" si="39"/>
        <v>1.1968132126328794</v>
      </c>
      <c r="J307" s="7">
        <f t="shared" si="35"/>
        <v>0.69986574776360433</v>
      </c>
      <c r="K307" s="7">
        <f t="shared" si="40"/>
        <v>0.57169396305317544</v>
      </c>
      <c r="L307" s="7">
        <f t="shared" si="41"/>
        <v>0.40742280858582092</v>
      </c>
      <c r="M307" s="7">
        <f t="shared" si="42"/>
        <v>0.74448623812828751</v>
      </c>
      <c r="N307" s="8">
        <f t="shared" si="36"/>
        <v>5.038248031129882E-2</v>
      </c>
      <c r="O307" s="8">
        <f t="shared" si="43"/>
        <v>4.9947703153828932E-2</v>
      </c>
      <c r="P307" s="8">
        <f t="shared" si="44"/>
        <v>4.5833356037627546E-2</v>
      </c>
      <c r="Q307" s="8">
        <f t="shared" si="45"/>
        <v>5.0818163313850001E-2</v>
      </c>
    </row>
    <row r="308" spans="1:17" x14ac:dyDescent="0.25">
      <c r="A308" s="5">
        <v>40365</v>
      </c>
      <c r="B308">
        <v>467.49</v>
      </c>
      <c r="C308">
        <v>1077.96</v>
      </c>
      <c r="D308" s="6">
        <f t="shared" si="32"/>
        <v>7.087389760623064E-2</v>
      </c>
      <c r="E308" s="6">
        <f t="shared" si="33"/>
        <v>5.4157131960335558E-2</v>
      </c>
      <c r="F308" s="7">
        <f t="shared" si="34"/>
        <v>0.96322640790389602</v>
      </c>
      <c r="G308" s="7">
        <f t="shared" si="37"/>
        <v>1.0213028478756274</v>
      </c>
      <c r="H308" s="7">
        <f t="shared" si="38"/>
        <v>0.94871200192423011</v>
      </c>
      <c r="I308" s="7">
        <f t="shared" si="39"/>
        <v>1.1968132126328794</v>
      </c>
      <c r="J308" s="7">
        <f t="shared" si="35"/>
        <v>0.70350988891791022</v>
      </c>
      <c r="K308" s="7">
        <f t="shared" si="40"/>
        <v>0.57169396305317544</v>
      </c>
      <c r="L308" s="7">
        <f t="shared" si="41"/>
        <v>0.40742280858582092</v>
      </c>
      <c r="M308" s="7">
        <f t="shared" si="42"/>
        <v>0.74448623812828751</v>
      </c>
      <c r="N308" s="8">
        <f t="shared" si="36"/>
        <v>5.0665232303791025E-2</v>
      </c>
      <c r="O308" s="8">
        <f t="shared" si="43"/>
        <v>4.9947703153828932E-2</v>
      </c>
      <c r="P308" s="8">
        <f t="shared" si="44"/>
        <v>4.5833356037627546E-2</v>
      </c>
      <c r="Q308" s="8">
        <f t="shared" si="45"/>
        <v>5.0818163313850001E-2</v>
      </c>
    </row>
    <row r="309" spans="1:17" x14ac:dyDescent="0.25">
      <c r="A309" s="5">
        <v>40371</v>
      </c>
      <c r="B309">
        <v>459.61</v>
      </c>
      <c r="C309">
        <v>1064.8800000000001</v>
      </c>
      <c r="D309" s="6">
        <f t="shared" si="32"/>
        <v>-1.685597552888829E-2</v>
      </c>
      <c r="E309" s="6">
        <f t="shared" si="33"/>
        <v>-1.2134030947344887E-2</v>
      </c>
      <c r="F309" s="7">
        <f t="shared" si="34"/>
        <v>0.96125481618201447</v>
      </c>
      <c r="G309" s="7">
        <f t="shared" si="37"/>
        <v>1.0213028478756274</v>
      </c>
      <c r="H309" s="7">
        <f t="shared" si="38"/>
        <v>0.94871200192423011</v>
      </c>
      <c r="I309" s="7">
        <f t="shared" si="39"/>
        <v>1.1968132126328794</v>
      </c>
      <c r="J309" s="7">
        <f t="shared" si="35"/>
        <v>0.70482341023662076</v>
      </c>
      <c r="K309" s="7">
        <f t="shared" si="40"/>
        <v>0.57169396305317544</v>
      </c>
      <c r="L309" s="7">
        <f t="shared" si="41"/>
        <v>0.40742280858582092</v>
      </c>
      <c r="M309" s="7">
        <f t="shared" si="42"/>
        <v>0.74448623812828751</v>
      </c>
      <c r="N309" s="8">
        <f t="shared" si="36"/>
        <v>5.0467990339241604E-2</v>
      </c>
      <c r="O309" s="8">
        <f t="shared" si="43"/>
        <v>4.9947703153828932E-2</v>
      </c>
      <c r="P309" s="8">
        <f t="shared" si="44"/>
        <v>4.5833356037627546E-2</v>
      </c>
      <c r="Q309" s="8">
        <f t="shared" si="45"/>
        <v>5.0818163313850001E-2</v>
      </c>
    </row>
    <row r="310" spans="1:17" x14ac:dyDescent="0.25">
      <c r="A310" s="5">
        <v>40378</v>
      </c>
      <c r="B310">
        <v>490.06</v>
      </c>
      <c r="C310">
        <v>1102.6600000000001</v>
      </c>
      <c r="D310" s="6">
        <f t="shared" si="32"/>
        <v>6.6251822197080035E-2</v>
      </c>
      <c r="E310" s="6">
        <f t="shared" si="33"/>
        <v>3.5478175944707369E-2</v>
      </c>
      <c r="F310" s="7">
        <f t="shared" si="34"/>
        <v>0.97300342158024422</v>
      </c>
      <c r="G310" s="7">
        <f t="shared" si="37"/>
        <v>1.0213028478756274</v>
      </c>
      <c r="H310" s="7">
        <f t="shared" si="38"/>
        <v>0.94871200192423011</v>
      </c>
      <c r="I310" s="7">
        <f t="shared" si="39"/>
        <v>1.1968132126328794</v>
      </c>
      <c r="J310" s="7">
        <f t="shared" si="35"/>
        <v>0.70834649221214241</v>
      </c>
      <c r="K310" s="7">
        <f t="shared" si="40"/>
        <v>0.57169396305317544</v>
      </c>
      <c r="L310" s="7">
        <f t="shared" si="41"/>
        <v>0.40742280858582092</v>
      </c>
      <c r="M310" s="7">
        <f t="shared" si="42"/>
        <v>0.74448623812828751</v>
      </c>
      <c r="N310" s="8">
        <f t="shared" si="36"/>
        <v>5.072243088883692E-2</v>
      </c>
      <c r="O310" s="8">
        <f t="shared" si="43"/>
        <v>4.9947703153828932E-2</v>
      </c>
      <c r="P310" s="8">
        <f t="shared" si="44"/>
        <v>4.5833356037627546E-2</v>
      </c>
      <c r="Q310" s="8">
        <f t="shared" si="45"/>
        <v>5.0818163313850001E-2</v>
      </c>
    </row>
    <row r="311" spans="1:17" x14ac:dyDescent="0.25">
      <c r="A311" s="5">
        <v>40385</v>
      </c>
      <c r="B311">
        <v>484.85</v>
      </c>
      <c r="C311">
        <v>1101.5999999999999</v>
      </c>
      <c r="D311" s="6">
        <f t="shared" si="32"/>
        <v>-1.0631351263110544E-2</v>
      </c>
      <c r="E311" s="6">
        <f t="shared" si="33"/>
        <v>-9.6131173707236783E-4</v>
      </c>
      <c r="F311" s="7">
        <f t="shared" si="34"/>
        <v>0.97282978593170089</v>
      </c>
      <c r="G311" s="7">
        <f t="shared" si="37"/>
        <v>1.0213028478756274</v>
      </c>
      <c r="H311" s="7">
        <f t="shared" si="38"/>
        <v>0.94871200192423011</v>
      </c>
      <c r="I311" s="7">
        <f t="shared" si="39"/>
        <v>1.1968132126328794</v>
      </c>
      <c r="J311" s="7">
        <f t="shared" si="35"/>
        <v>0.70793429156795473</v>
      </c>
      <c r="K311" s="7">
        <f t="shared" si="40"/>
        <v>0.57169396305317544</v>
      </c>
      <c r="L311" s="7">
        <f t="shared" si="41"/>
        <v>0.40742280858582092</v>
      </c>
      <c r="M311" s="7">
        <f t="shared" si="42"/>
        <v>0.74448623812828751</v>
      </c>
      <c r="N311" s="8">
        <f t="shared" si="36"/>
        <v>5.0709635444193137E-2</v>
      </c>
      <c r="O311" s="8">
        <f t="shared" si="43"/>
        <v>4.9947703153828932E-2</v>
      </c>
      <c r="P311" s="8">
        <f t="shared" si="44"/>
        <v>4.5833356037627546E-2</v>
      </c>
      <c r="Q311" s="8">
        <f t="shared" si="45"/>
        <v>5.0818163313850001E-2</v>
      </c>
    </row>
    <row r="312" spans="1:17" x14ac:dyDescent="0.25">
      <c r="A312" s="5">
        <v>40392</v>
      </c>
      <c r="B312">
        <v>500.22</v>
      </c>
      <c r="C312">
        <v>1121.6400000000001</v>
      </c>
      <c r="D312" s="6">
        <f t="shared" si="32"/>
        <v>3.1700525935856483E-2</v>
      </c>
      <c r="E312" s="6">
        <f t="shared" si="33"/>
        <v>1.8191721132897687E-2</v>
      </c>
      <c r="F312" s="7">
        <f t="shared" si="34"/>
        <v>0.97323515323174703</v>
      </c>
      <c r="G312" s="7">
        <f t="shared" si="37"/>
        <v>1.0213028478756274</v>
      </c>
      <c r="H312" s="7">
        <f t="shared" si="38"/>
        <v>0.94871200192423011</v>
      </c>
      <c r="I312" s="7">
        <f t="shared" si="39"/>
        <v>1.1968132126328794</v>
      </c>
      <c r="J312" s="7">
        <f t="shared" si="35"/>
        <v>0.70814185954271214</v>
      </c>
      <c r="K312" s="7">
        <f t="shared" si="40"/>
        <v>0.57169396305317544</v>
      </c>
      <c r="L312" s="7">
        <f t="shared" si="41"/>
        <v>0.40742280858582092</v>
      </c>
      <c r="M312" s="7">
        <f t="shared" si="42"/>
        <v>0.74448623812828751</v>
      </c>
      <c r="N312" s="8">
        <f t="shared" si="36"/>
        <v>5.0731675664131712E-2</v>
      </c>
      <c r="O312" s="8">
        <f t="shared" si="43"/>
        <v>4.9947703153828932E-2</v>
      </c>
      <c r="P312" s="8">
        <f t="shared" si="44"/>
        <v>4.5833356037627546E-2</v>
      </c>
      <c r="Q312" s="8">
        <f t="shared" si="45"/>
        <v>5.0818163313850001E-2</v>
      </c>
    </row>
    <row r="313" spans="1:17" x14ac:dyDescent="0.25">
      <c r="A313" s="5">
        <v>40399</v>
      </c>
      <c r="B313">
        <v>486.35</v>
      </c>
      <c r="C313">
        <v>1079.25</v>
      </c>
      <c r="D313" s="6">
        <f t="shared" si="32"/>
        <v>-2.7727799768102024E-2</v>
      </c>
      <c r="E313" s="6">
        <f t="shared" si="33"/>
        <v>-3.7792874719161262E-2</v>
      </c>
      <c r="F313" s="7">
        <f t="shared" si="34"/>
        <v>0.97150690772388304</v>
      </c>
      <c r="G313" s="7">
        <f t="shared" si="37"/>
        <v>1.0213028478756274</v>
      </c>
      <c r="H313" s="7">
        <f t="shared" si="38"/>
        <v>0.94871200192423011</v>
      </c>
      <c r="I313" s="7">
        <f t="shared" si="39"/>
        <v>1.1968132126328794</v>
      </c>
      <c r="J313" s="7">
        <f t="shared" si="35"/>
        <v>0.70923908585108175</v>
      </c>
      <c r="K313" s="7">
        <f t="shared" si="40"/>
        <v>0.57169396305317544</v>
      </c>
      <c r="L313" s="7">
        <f t="shared" si="41"/>
        <v>0.40742280858582092</v>
      </c>
      <c r="M313" s="7">
        <f t="shared" si="42"/>
        <v>0.74448623812828751</v>
      </c>
      <c r="N313" s="8">
        <f t="shared" si="36"/>
        <v>5.0721248291299273E-2</v>
      </c>
      <c r="O313" s="8">
        <f t="shared" si="43"/>
        <v>4.9947703153828932E-2</v>
      </c>
      <c r="P313" s="8">
        <f t="shared" si="44"/>
        <v>4.5833356037627546E-2</v>
      </c>
      <c r="Q313" s="8">
        <f t="shared" si="45"/>
        <v>5.0818163313850001E-2</v>
      </c>
    </row>
    <row r="314" spans="1:17" x14ac:dyDescent="0.25">
      <c r="A314" s="5">
        <v>40406</v>
      </c>
      <c r="B314">
        <v>462.02</v>
      </c>
      <c r="C314">
        <v>1071.69</v>
      </c>
      <c r="D314" s="6">
        <f t="shared" si="32"/>
        <v>-5.0025701655186716E-2</v>
      </c>
      <c r="E314" s="6">
        <f t="shared" si="33"/>
        <v>-7.0048644892285461E-3</v>
      </c>
      <c r="F314" s="7">
        <f t="shared" si="34"/>
        <v>0.97211080844513331</v>
      </c>
      <c r="G314" s="7">
        <f t="shared" si="37"/>
        <v>1.0213028478756274</v>
      </c>
      <c r="H314" s="7">
        <f t="shared" si="38"/>
        <v>0.94871200192423011</v>
      </c>
      <c r="I314" s="7">
        <f t="shared" si="39"/>
        <v>1.1968132126328794</v>
      </c>
      <c r="J314" s="7">
        <f t="shared" si="35"/>
        <v>0.70721178075376323</v>
      </c>
      <c r="K314" s="7">
        <f t="shared" si="40"/>
        <v>0.57169396305317544</v>
      </c>
      <c r="L314" s="7">
        <f t="shared" si="41"/>
        <v>0.40742280858582092</v>
      </c>
      <c r="M314" s="7">
        <f t="shared" si="42"/>
        <v>0.74448623812828751</v>
      </c>
      <c r="N314" s="8">
        <f t="shared" si="36"/>
        <v>5.0831336534934761E-2</v>
      </c>
      <c r="O314" s="8">
        <f t="shared" si="43"/>
        <v>4.9947703153828932E-2</v>
      </c>
      <c r="P314" s="8">
        <f t="shared" si="44"/>
        <v>4.5833356037627546E-2</v>
      </c>
      <c r="Q314" s="8">
        <f t="shared" si="45"/>
        <v>5.0818163313850001E-2</v>
      </c>
    </row>
    <row r="315" spans="1:17" x14ac:dyDescent="0.25">
      <c r="A315" s="5">
        <v>40413</v>
      </c>
      <c r="B315">
        <v>458.83</v>
      </c>
      <c r="C315">
        <v>1064.5899999999999</v>
      </c>
      <c r="D315" s="6">
        <f t="shared" si="32"/>
        <v>-6.9044630102592652E-3</v>
      </c>
      <c r="E315" s="6">
        <f t="shared" si="33"/>
        <v>-6.6250501544291573E-3</v>
      </c>
      <c r="F315" s="7">
        <f t="shared" si="34"/>
        <v>0.97219158440832265</v>
      </c>
      <c r="G315" s="7">
        <f t="shared" si="37"/>
        <v>1.0213028478756274</v>
      </c>
      <c r="H315" s="7">
        <f t="shared" si="38"/>
        <v>0.94871200192423011</v>
      </c>
      <c r="I315" s="7">
        <f t="shared" si="39"/>
        <v>1.1968132126328794</v>
      </c>
      <c r="J315" s="7">
        <f t="shared" si="35"/>
        <v>0.70725865714664138</v>
      </c>
      <c r="K315" s="7">
        <f t="shared" si="40"/>
        <v>0.57169396305317544</v>
      </c>
      <c r="L315" s="7">
        <f t="shared" si="41"/>
        <v>0.40742280858582092</v>
      </c>
      <c r="M315" s="7">
        <f t="shared" si="42"/>
        <v>0.74448623812828751</v>
      </c>
      <c r="N315" s="8">
        <f t="shared" si="36"/>
        <v>5.0834862393884704E-2</v>
      </c>
      <c r="O315" s="8">
        <f t="shared" si="43"/>
        <v>4.9947703153828932E-2</v>
      </c>
      <c r="P315" s="8">
        <f t="shared" si="44"/>
        <v>4.5833356037627546E-2</v>
      </c>
      <c r="Q315" s="8">
        <f t="shared" si="45"/>
        <v>5.0818163313850001E-2</v>
      </c>
    </row>
    <row r="316" spans="1:17" x14ac:dyDescent="0.25">
      <c r="A316" s="5">
        <v>40420</v>
      </c>
      <c r="B316">
        <v>470.3</v>
      </c>
      <c r="C316">
        <v>1104.51</v>
      </c>
      <c r="D316" s="6">
        <f t="shared" si="32"/>
        <v>2.4998365407667311E-2</v>
      </c>
      <c r="E316" s="6">
        <f t="shared" si="33"/>
        <v>3.7498003926394352E-2</v>
      </c>
      <c r="F316" s="7">
        <f t="shared" si="34"/>
        <v>0.97095830443554787</v>
      </c>
      <c r="G316" s="7">
        <f t="shared" si="37"/>
        <v>1.0213028478756274</v>
      </c>
      <c r="H316" s="7">
        <f t="shared" si="38"/>
        <v>0.94871200192423011</v>
      </c>
      <c r="I316" s="7">
        <f t="shared" si="39"/>
        <v>1.1968132126328794</v>
      </c>
      <c r="J316" s="7">
        <f t="shared" si="35"/>
        <v>0.70810048470132558</v>
      </c>
      <c r="K316" s="7">
        <f t="shared" si="40"/>
        <v>0.57169396305317544</v>
      </c>
      <c r="L316" s="7">
        <f t="shared" si="41"/>
        <v>0.40742280858582092</v>
      </c>
      <c r="M316" s="7">
        <f t="shared" si="42"/>
        <v>0.74448623812828751</v>
      </c>
      <c r="N316" s="8">
        <f t="shared" si="36"/>
        <v>5.0868959737793741E-2</v>
      </c>
      <c r="O316" s="8">
        <f t="shared" si="43"/>
        <v>4.9947703153828932E-2</v>
      </c>
      <c r="P316" s="8">
        <f t="shared" si="44"/>
        <v>4.5833356037627546E-2</v>
      </c>
      <c r="Q316" s="8">
        <f t="shared" si="45"/>
        <v>5.0818163313850001E-2</v>
      </c>
    </row>
    <row r="317" spans="1:17" x14ac:dyDescent="0.25">
      <c r="A317" s="5">
        <v>40428</v>
      </c>
      <c r="B317">
        <v>476.14</v>
      </c>
      <c r="C317">
        <v>1109.55</v>
      </c>
      <c r="D317" s="6">
        <f t="shared" si="32"/>
        <v>1.241760578354234E-2</v>
      </c>
      <c r="E317" s="6">
        <f t="shared" si="33"/>
        <v>4.5631094331421984E-3</v>
      </c>
      <c r="F317" s="7">
        <f t="shared" si="34"/>
        <v>0.97155283564159001</v>
      </c>
      <c r="G317" s="7">
        <f t="shared" si="37"/>
        <v>1.0213028478756274</v>
      </c>
      <c r="H317" s="7">
        <f t="shared" si="38"/>
        <v>0.94871200192423011</v>
      </c>
      <c r="I317" s="7">
        <f t="shared" si="39"/>
        <v>1.1968132126328794</v>
      </c>
      <c r="J317" s="7">
        <f t="shared" si="35"/>
        <v>0.70791680362438714</v>
      </c>
      <c r="K317" s="7">
        <f t="shared" si="40"/>
        <v>0.57169396305317544</v>
      </c>
      <c r="L317" s="7">
        <f t="shared" si="41"/>
        <v>0.40742280858582092</v>
      </c>
      <c r="M317" s="7">
        <f t="shared" si="42"/>
        <v>0.74448623812828751</v>
      </c>
      <c r="N317" s="8">
        <f t="shared" si="36"/>
        <v>5.0858492582682734E-2</v>
      </c>
      <c r="O317" s="8">
        <f t="shared" si="43"/>
        <v>4.9947703153828932E-2</v>
      </c>
      <c r="P317" s="8">
        <f t="shared" si="44"/>
        <v>4.5833356037627546E-2</v>
      </c>
      <c r="Q317" s="8">
        <f t="shared" si="45"/>
        <v>5.0818163313850001E-2</v>
      </c>
    </row>
    <row r="318" spans="1:17" x14ac:dyDescent="0.25">
      <c r="A318" s="5">
        <v>40434</v>
      </c>
      <c r="B318">
        <v>490.15</v>
      </c>
      <c r="C318">
        <v>1125.5899999999999</v>
      </c>
      <c r="D318" s="6">
        <f t="shared" si="32"/>
        <v>2.9424118956609346E-2</v>
      </c>
      <c r="E318" s="6">
        <f t="shared" si="33"/>
        <v>1.4456311117119425E-2</v>
      </c>
      <c r="F318" s="7">
        <f t="shared" si="34"/>
        <v>0.96840159637433243</v>
      </c>
      <c r="G318" s="7">
        <f t="shared" si="37"/>
        <v>1.0213028478756274</v>
      </c>
      <c r="H318" s="7">
        <f t="shared" si="38"/>
        <v>0.94871200192423011</v>
      </c>
      <c r="I318" s="7">
        <f t="shared" si="39"/>
        <v>1.1968132126328794</v>
      </c>
      <c r="J318" s="7">
        <f t="shared" si="35"/>
        <v>0.70692000776384789</v>
      </c>
      <c r="K318" s="7">
        <f t="shared" si="40"/>
        <v>0.57169396305317544</v>
      </c>
      <c r="L318" s="7">
        <f t="shared" si="41"/>
        <v>0.40742280858582092</v>
      </c>
      <c r="M318" s="7">
        <f t="shared" si="42"/>
        <v>0.74448623812828751</v>
      </c>
      <c r="N318" s="8">
        <f t="shared" si="36"/>
        <v>5.0693229247271612E-2</v>
      </c>
      <c r="O318" s="8">
        <f t="shared" si="43"/>
        <v>4.9947703153828932E-2</v>
      </c>
      <c r="P318" s="8">
        <f t="shared" si="44"/>
        <v>4.5833356037627546E-2</v>
      </c>
      <c r="Q318" s="8">
        <f t="shared" si="45"/>
        <v>5.0818163313850001E-2</v>
      </c>
    </row>
    <row r="319" spans="1:17" x14ac:dyDescent="0.25">
      <c r="A319" s="5">
        <v>40441</v>
      </c>
      <c r="B319">
        <v>527.29</v>
      </c>
      <c r="C319">
        <v>1148.67</v>
      </c>
      <c r="D319" s="6">
        <f t="shared" si="32"/>
        <v>7.5772722635927714E-2</v>
      </c>
      <c r="E319" s="6">
        <f t="shared" si="33"/>
        <v>2.0504801926101157E-2</v>
      </c>
      <c r="F319" s="7">
        <f t="shared" si="34"/>
        <v>0.97379711393396384</v>
      </c>
      <c r="G319" s="7">
        <f t="shared" si="37"/>
        <v>1.0213028478756274</v>
      </c>
      <c r="H319" s="7">
        <f t="shared" si="38"/>
        <v>0.94871200192423011</v>
      </c>
      <c r="I319" s="7">
        <f t="shared" si="39"/>
        <v>1.1968132126328794</v>
      </c>
      <c r="J319" s="7">
        <f t="shared" si="35"/>
        <v>0.70680545491511193</v>
      </c>
      <c r="K319" s="7">
        <f t="shared" si="40"/>
        <v>0.57169396305317544</v>
      </c>
      <c r="L319" s="7">
        <f t="shared" si="41"/>
        <v>0.40742280858582092</v>
      </c>
      <c r="M319" s="7">
        <f t="shared" si="42"/>
        <v>0.74448623812828751</v>
      </c>
      <c r="N319" s="8">
        <f t="shared" si="36"/>
        <v>5.1039652062929292E-2</v>
      </c>
      <c r="O319" s="8">
        <f t="shared" si="43"/>
        <v>4.9947703153828932E-2</v>
      </c>
      <c r="P319" s="8">
        <f t="shared" si="44"/>
        <v>4.5833356037627546E-2</v>
      </c>
      <c r="Q319" s="8">
        <f t="shared" si="45"/>
        <v>5.0818163313850001E-2</v>
      </c>
    </row>
    <row r="320" spans="1:17" x14ac:dyDescent="0.25">
      <c r="A320" s="5">
        <v>40448</v>
      </c>
      <c r="B320">
        <v>525.62</v>
      </c>
      <c r="C320">
        <v>1146.24</v>
      </c>
      <c r="D320" s="6">
        <f t="shared" si="32"/>
        <v>-3.1671376282500496E-3</v>
      </c>
      <c r="E320" s="6">
        <f t="shared" si="33"/>
        <v>-2.1154900885372863E-3</v>
      </c>
      <c r="F320" s="7">
        <f t="shared" si="34"/>
        <v>0.97123596062248518</v>
      </c>
      <c r="G320" s="7">
        <f t="shared" si="37"/>
        <v>1.0213028478756274</v>
      </c>
      <c r="H320" s="7">
        <f t="shared" si="38"/>
        <v>0.94871200192423011</v>
      </c>
      <c r="I320" s="7">
        <f t="shared" si="39"/>
        <v>1.1968132126328794</v>
      </c>
      <c r="J320" s="7">
        <f t="shared" si="35"/>
        <v>0.7060646343882756</v>
      </c>
      <c r="K320" s="7">
        <f t="shared" si="40"/>
        <v>0.57169396305317544</v>
      </c>
      <c r="L320" s="7">
        <f t="shared" si="41"/>
        <v>0.40742280858582092</v>
      </c>
      <c r="M320" s="7">
        <f t="shared" si="42"/>
        <v>0.74448623812828751</v>
      </c>
      <c r="N320" s="8">
        <f t="shared" si="36"/>
        <v>5.0904414433559635E-2</v>
      </c>
      <c r="O320" s="8">
        <f t="shared" si="43"/>
        <v>4.9947703153828932E-2</v>
      </c>
      <c r="P320" s="8">
        <f t="shared" si="44"/>
        <v>4.5833356037627546E-2</v>
      </c>
      <c r="Q320" s="8">
        <f t="shared" si="45"/>
        <v>5.0818163313850001E-2</v>
      </c>
    </row>
    <row r="321" spans="1:17" x14ac:dyDescent="0.25">
      <c r="A321" s="5">
        <v>40455</v>
      </c>
      <c r="B321">
        <v>536.35</v>
      </c>
      <c r="C321">
        <v>1165.1500000000001</v>
      </c>
      <c r="D321" s="6">
        <f t="shared" si="32"/>
        <v>2.0413987291199032E-2</v>
      </c>
      <c r="E321" s="6">
        <f t="shared" si="33"/>
        <v>1.6497417643774437E-2</v>
      </c>
      <c r="F321" s="7">
        <f t="shared" si="34"/>
        <v>0.97021000543591285</v>
      </c>
      <c r="G321" s="7">
        <f t="shared" si="37"/>
        <v>1.0213028478756274</v>
      </c>
      <c r="H321" s="7">
        <f t="shared" si="38"/>
        <v>0.94871200192423011</v>
      </c>
      <c r="I321" s="7">
        <f t="shared" si="39"/>
        <v>1.1968132126328794</v>
      </c>
      <c r="J321" s="7">
        <f t="shared" si="35"/>
        <v>0.71010180160900782</v>
      </c>
      <c r="K321" s="7">
        <f t="shared" si="40"/>
        <v>0.57169396305317544</v>
      </c>
      <c r="L321" s="7">
        <f t="shared" si="41"/>
        <v>0.40742280858582092</v>
      </c>
      <c r="M321" s="7">
        <f t="shared" si="42"/>
        <v>0.74448623812828751</v>
      </c>
      <c r="N321" s="8">
        <f t="shared" si="36"/>
        <v>5.0596864048600934E-2</v>
      </c>
      <c r="O321" s="8">
        <f t="shared" si="43"/>
        <v>4.9947703153828932E-2</v>
      </c>
      <c r="P321" s="8">
        <f t="shared" si="44"/>
        <v>4.5833356037627546E-2</v>
      </c>
      <c r="Q321" s="8">
        <f t="shared" si="45"/>
        <v>5.0818163313850001E-2</v>
      </c>
    </row>
    <row r="322" spans="1:17" x14ac:dyDescent="0.25">
      <c r="A322" s="5">
        <v>40462</v>
      </c>
      <c r="B322">
        <v>601.45000000000005</v>
      </c>
      <c r="C322">
        <v>1176.19</v>
      </c>
      <c r="D322" s="6">
        <f t="shared" si="32"/>
        <v>0.1213759671856065</v>
      </c>
      <c r="E322" s="6">
        <f t="shared" si="33"/>
        <v>9.4751748701884519E-3</v>
      </c>
      <c r="F322" s="7">
        <f t="shared" si="34"/>
        <v>0.98428052842500413</v>
      </c>
      <c r="G322" s="7">
        <f t="shared" si="37"/>
        <v>1.0213028478756274</v>
      </c>
      <c r="H322" s="7">
        <f t="shared" si="38"/>
        <v>0.94871200192423011</v>
      </c>
      <c r="I322" s="7">
        <f t="shared" si="39"/>
        <v>1.1968132126328794</v>
      </c>
      <c r="J322" s="7">
        <f t="shared" si="35"/>
        <v>0.70545379107723116</v>
      </c>
      <c r="K322" s="7">
        <f t="shared" si="40"/>
        <v>0.57169396305317544</v>
      </c>
      <c r="L322" s="7">
        <f t="shared" si="41"/>
        <v>0.40742280858582092</v>
      </c>
      <c r="M322" s="7">
        <f t="shared" si="42"/>
        <v>0.74448623812828751</v>
      </c>
      <c r="N322" s="8">
        <f t="shared" si="36"/>
        <v>5.1506215595046125E-2</v>
      </c>
      <c r="O322" s="8">
        <f t="shared" si="43"/>
        <v>4.9947703153828932E-2</v>
      </c>
      <c r="P322" s="8">
        <f t="shared" si="44"/>
        <v>4.5833356037627546E-2</v>
      </c>
      <c r="Q322" s="8">
        <f t="shared" si="45"/>
        <v>5.0818163313850001E-2</v>
      </c>
    </row>
    <row r="323" spans="1:17" x14ac:dyDescent="0.25">
      <c r="A323" s="5">
        <v>40469</v>
      </c>
      <c r="B323">
        <v>612.53</v>
      </c>
      <c r="C323">
        <v>1183.08</v>
      </c>
      <c r="D323" s="6">
        <f t="shared" si="32"/>
        <v>1.8422146479341484E-2</v>
      </c>
      <c r="E323" s="6">
        <f t="shared" si="33"/>
        <v>5.8578971084601861E-3</v>
      </c>
      <c r="F323" s="7">
        <f t="shared" si="34"/>
        <v>0.98214694755946663</v>
      </c>
      <c r="G323" s="7">
        <f t="shared" si="37"/>
        <v>1.0213028478756274</v>
      </c>
      <c r="H323" s="7">
        <f t="shared" si="38"/>
        <v>0.94871200192423011</v>
      </c>
      <c r="I323" s="7">
        <f t="shared" si="39"/>
        <v>1.1968132126328794</v>
      </c>
      <c r="J323" s="7">
        <f t="shared" si="35"/>
        <v>0.70455026135514853</v>
      </c>
      <c r="K323" s="7">
        <f t="shared" si="40"/>
        <v>0.57169396305317544</v>
      </c>
      <c r="L323" s="7">
        <f t="shared" si="41"/>
        <v>0.40742280858582092</v>
      </c>
      <c r="M323" s="7">
        <f t="shared" si="42"/>
        <v>0.74448623812828751</v>
      </c>
      <c r="N323" s="8">
        <f t="shared" si="36"/>
        <v>5.1396210974273708E-2</v>
      </c>
      <c r="O323" s="8">
        <f t="shared" si="43"/>
        <v>4.9947703153828932E-2</v>
      </c>
      <c r="P323" s="8">
        <f t="shared" si="44"/>
        <v>4.5833356037627546E-2</v>
      </c>
      <c r="Q323" s="8">
        <f t="shared" si="45"/>
        <v>5.0818163313850001E-2</v>
      </c>
    </row>
    <row r="324" spans="1:17" x14ac:dyDescent="0.25">
      <c r="A324" s="5">
        <v>40476</v>
      </c>
      <c r="B324">
        <v>613.70000000000005</v>
      </c>
      <c r="C324">
        <v>1183.26</v>
      </c>
      <c r="D324" s="6">
        <f t="shared" ref="D324:D384" si="46">B324/B323-1</f>
        <v>1.9101105251988493E-3</v>
      </c>
      <c r="E324" s="6">
        <f t="shared" ref="E324:E384" si="47">C324/C323-1</f>
        <v>1.5214524799689322E-4</v>
      </c>
      <c r="F324" s="7">
        <f t="shared" si="34"/>
        <v>0.98730691939021209</v>
      </c>
      <c r="G324" s="7">
        <f t="shared" si="37"/>
        <v>1.0213028478756274</v>
      </c>
      <c r="H324" s="7">
        <f t="shared" si="38"/>
        <v>0.94871200192423011</v>
      </c>
      <c r="I324" s="7">
        <f t="shared" si="39"/>
        <v>1.1968132126328794</v>
      </c>
      <c r="J324" s="7">
        <f t="shared" si="35"/>
        <v>0.71033532229914809</v>
      </c>
      <c r="K324" s="7">
        <f t="shared" si="40"/>
        <v>0.57169396305317544</v>
      </c>
      <c r="L324" s="7">
        <f t="shared" si="41"/>
        <v>0.40742280858582092</v>
      </c>
      <c r="M324" s="7">
        <f t="shared" si="42"/>
        <v>0.74448623812828751</v>
      </c>
      <c r="N324" s="8">
        <f t="shared" si="36"/>
        <v>5.1215540933404698E-2</v>
      </c>
      <c r="O324" s="8">
        <f t="shared" si="43"/>
        <v>4.9947703153828932E-2</v>
      </c>
      <c r="P324" s="8">
        <f t="shared" si="44"/>
        <v>4.5833356037627546E-2</v>
      </c>
      <c r="Q324" s="8">
        <f t="shared" si="45"/>
        <v>5.0818163313850001E-2</v>
      </c>
    </row>
    <row r="325" spans="1:17" x14ac:dyDescent="0.25">
      <c r="A325" s="5">
        <v>40483</v>
      </c>
      <c r="B325">
        <v>625.08000000000004</v>
      </c>
      <c r="C325">
        <v>1225.8499999999999</v>
      </c>
      <c r="D325" s="6">
        <f t="shared" si="46"/>
        <v>1.8543262180218401E-2</v>
      </c>
      <c r="E325" s="6">
        <f t="shared" si="47"/>
        <v>3.599377989621888E-2</v>
      </c>
      <c r="F325" s="7">
        <f t="shared" si="34"/>
        <v>0.9787932095675338</v>
      </c>
      <c r="G325" s="7">
        <f t="shared" si="37"/>
        <v>1.0213028478756274</v>
      </c>
      <c r="H325" s="7">
        <f t="shared" si="38"/>
        <v>0.94871200192423011</v>
      </c>
      <c r="I325" s="7">
        <f t="shared" si="39"/>
        <v>1.1968132126328794</v>
      </c>
      <c r="J325" s="7">
        <f t="shared" si="35"/>
        <v>0.70786250187818311</v>
      </c>
      <c r="K325" s="7">
        <f t="shared" si="40"/>
        <v>0.57169396305317544</v>
      </c>
      <c r="L325" s="7">
        <f t="shared" si="41"/>
        <v>0.40742280858582092</v>
      </c>
      <c r="M325" s="7">
        <f t="shared" si="42"/>
        <v>0.74448623812828751</v>
      </c>
      <c r="N325" s="8">
        <f t="shared" si="36"/>
        <v>5.0953066593418792E-2</v>
      </c>
      <c r="O325" s="8">
        <f t="shared" si="43"/>
        <v>4.9947703153828932E-2</v>
      </c>
      <c r="P325" s="8">
        <f t="shared" si="44"/>
        <v>4.5833356037627546E-2</v>
      </c>
      <c r="Q325" s="8">
        <f t="shared" si="45"/>
        <v>5.0818163313850001E-2</v>
      </c>
    </row>
    <row r="326" spans="1:17" x14ac:dyDescent="0.25">
      <c r="A326" s="5">
        <v>40490</v>
      </c>
      <c r="B326">
        <v>603.29</v>
      </c>
      <c r="C326">
        <v>1199.21</v>
      </c>
      <c r="D326" s="6">
        <f t="shared" si="46"/>
        <v>-3.4859537979138766E-2</v>
      </c>
      <c r="E326" s="6">
        <f t="shared" si="47"/>
        <v>-2.1731859526043062E-2</v>
      </c>
      <c r="F326" s="7">
        <f t="shared" si="34"/>
        <v>0.98123515235623504</v>
      </c>
      <c r="G326" s="7">
        <f t="shared" si="37"/>
        <v>1.0213028478756274</v>
      </c>
      <c r="H326" s="7">
        <f t="shared" si="38"/>
        <v>0.94871200192423011</v>
      </c>
      <c r="I326" s="7">
        <f t="shared" si="39"/>
        <v>1.1968132126328794</v>
      </c>
      <c r="J326" s="7">
        <f t="shared" si="35"/>
        <v>0.71114302447989663</v>
      </c>
      <c r="K326" s="7">
        <f t="shared" si="40"/>
        <v>0.57169396305317544</v>
      </c>
      <c r="L326" s="7">
        <f t="shared" si="41"/>
        <v>0.40742280858582092</v>
      </c>
      <c r="M326" s="7">
        <f t="shared" si="42"/>
        <v>0.74448623812828751</v>
      </c>
      <c r="N326" s="8">
        <f t="shared" si="36"/>
        <v>5.0896843724345581E-2</v>
      </c>
      <c r="O326" s="8">
        <f t="shared" si="43"/>
        <v>4.9947703153828932E-2</v>
      </c>
      <c r="P326" s="8">
        <f t="shared" si="44"/>
        <v>4.5833356037627546E-2</v>
      </c>
      <c r="Q326" s="8">
        <f t="shared" si="45"/>
        <v>5.0818163313850001E-2</v>
      </c>
    </row>
    <row r="327" spans="1:17" x14ac:dyDescent="0.25">
      <c r="A327" s="5">
        <v>40497</v>
      </c>
      <c r="B327">
        <v>590.83000000000004</v>
      </c>
      <c r="C327">
        <v>1199.73</v>
      </c>
      <c r="D327" s="6">
        <f t="shared" si="46"/>
        <v>-2.0653417096255455E-2</v>
      </c>
      <c r="E327" s="6">
        <f t="shared" si="47"/>
        <v>4.3361879904257883E-4</v>
      </c>
      <c r="F327" s="7">
        <f t="shared" si="34"/>
        <v>0.9855403326480876</v>
      </c>
      <c r="G327" s="7">
        <f t="shared" si="37"/>
        <v>1.0213028478756274</v>
      </c>
      <c r="H327" s="7">
        <f t="shared" si="38"/>
        <v>0.94871200192423011</v>
      </c>
      <c r="I327" s="7">
        <f t="shared" si="39"/>
        <v>1.1968132126328794</v>
      </c>
      <c r="J327" s="7">
        <f t="shared" si="35"/>
        <v>0.71765215414852102</v>
      </c>
      <c r="K327" s="7">
        <f t="shared" si="40"/>
        <v>0.57169396305317544</v>
      </c>
      <c r="L327" s="7">
        <f t="shared" si="41"/>
        <v>0.40742280858582092</v>
      </c>
      <c r="M327" s="7">
        <f t="shared" si="42"/>
        <v>0.74448623812828751</v>
      </c>
      <c r="N327" s="8">
        <f t="shared" si="36"/>
        <v>5.0639858610995243E-2</v>
      </c>
      <c r="O327" s="8">
        <f t="shared" si="43"/>
        <v>4.9947703153828932E-2</v>
      </c>
      <c r="P327" s="8">
        <f t="shared" si="44"/>
        <v>4.5833356037627546E-2</v>
      </c>
      <c r="Q327" s="8">
        <f t="shared" si="45"/>
        <v>5.0818163313850001E-2</v>
      </c>
    </row>
    <row r="328" spans="1:17" x14ac:dyDescent="0.25">
      <c r="A328" s="5">
        <v>40504</v>
      </c>
      <c r="B328">
        <v>590</v>
      </c>
      <c r="C328">
        <v>1189.4000000000001</v>
      </c>
      <c r="D328" s="6">
        <f t="shared" si="46"/>
        <v>-1.4048034121491026E-3</v>
      </c>
      <c r="E328" s="6">
        <f t="shared" si="47"/>
        <v>-8.6102706442282573E-3</v>
      </c>
      <c r="F328" s="7">
        <f t="shared" si="34"/>
        <v>0.98591663282679021</v>
      </c>
      <c r="G328" s="7">
        <f t="shared" si="37"/>
        <v>1.0213028478756274</v>
      </c>
      <c r="H328" s="7">
        <f t="shared" si="38"/>
        <v>0.94871200192423011</v>
      </c>
      <c r="I328" s="7">
        <f t="shared" si="39"/>
        <v>1.1968132126328794</v>
      </c>
      <c r="J328" s="7">
        <f t="shared" si="35"/>
        <v>0.71714621188422079</v>
      </c>
      <c r="K328" s="7">
        <f t="shared" si="40"/>
        <v>0.57169396305317544</v>
      </c>
      <c r="L328" s="7">
        <f t="shared" si="41"/>
        <v>0.40742280858582092</v>
      </c>
      <c r="M328" s="7">
        <f t="shared" si="42"/>
        <v>0.74448623812828751</v>
      </c>
      <c r="N328" s="8">
        <f t="shared" si="36"/>
        <v>5.0604311709783377E-2</v>
      </c>
      <c r="O328" s="8">
        <f t="shared" si="43"/>
        <v>4.9947703153828932E-2</v>
      </c>
      <c r="P328" s="8">
        <f t="shared" si="44"/>
        <v>4.5833356037627546E-2</v>
      </c>
      <c r="Q328" s="8">
        <f t="shared" si="45"/>
        <v>5.0818163313850001E-2</v>
      </c>
    </row>
    <row r="329" spans="1:17" x14ac:dyDescent="0.25">
      <c r="A329" s="5">
        <v>40511</v>
      </c>
      <c r="B329">
        <v>573</v>
      </c>
      <c r="C329">
        <v>1224.71</v>
      </c>
      <c r="D329" s="6">
        <f t="shared" si="46"/>
        <v>-2.8813559322033888E-2</v>
      </c>
      <c r="E329" s="6">
        <f t="shared" si="47"/>
        <v>2.9687237262485233E-2</v>
      </c>
      <c r="F329" s="7">
        <f t="shared" si="34"/>
        <v>0.97631124256577706</v>
      </c>
      <c r="G329" s="7">
        <f t="shared" si="37"/>
        <v>1.0213028478756274</v>
      </c>
      <c r="H329" s="7">
        <f t="shared" si="38"/>
        <v>0.94871200192423011</v>
      </c>
      <c r="I329" s="7">
        <f t="shared" si="39"/>
        <v>1.1968132126328794</v>
      </c>
      <c r="J329" s="7">
        <f t="shared" si="35"/>
        <v>0.71138837388125087</v>
      </c>
      <c r="K329" s="7">
        <f t="shared" si="40"/>
        <v>0.57169396305317544</v>
      </c>
      <c r="L329" s="7">
        <f t="shared" si="41"/>
        <v>0.40742280858582092</v>
      </c>
      <c r="M329" s="7">
        <f t="shared" si="42"/>
        <v>0.74448623812828751</v>
      </c>
      <c r="N329" s="8">
        <f t="shared" si="36"/>
        <v>5.0594230531419156E-2</v>
      </c>
      <c r="O329" s="8">
        <f t="shared" si="43"/>
        <v>4.9947703153828932E-2</v>
      </c>
      <c r="P329" s="8">
        <f t="shared" si="44"/>
        <v>4.5833356037627546E-2</v>
      </c>
      <c r="Q329" s="8">
        <f t="shared" si="45"/>
        <v>5.0818163313850001E-2</v>
      </c>
    </row>
    <row r="330" spans="1:17" x14ac:dyDescent="0.25">
      <c r="A330" s="5">
        <v>40518</v>
      </c>
      <c r="B330">
        <v>592.21</v>
      </c>
      <c r="C330">
        <v>1240.4000000000001</v>
      </c>
      <c r="D330" s="6">
        <f t="shared" si="46"/>
        <v>3.352530541012233E-2</v>
      </c>
      <c r="E330" s="6">
        <f t="shared" si="47"/>
        <v>1.2811196119897783E-2</v>
      </c>
      <c r="F330" s="7">
        <f t="shared" si="34"/>
        <v>0.97628808865665817</v>
      </c>
      <c r="G330" s="7">
        <f t="shared" si="37"/>
        <v>1.0213028478756274</v>
      </c>
      <c r="H330" s="7">
        <f t="shared" si="38"/>
        <v>0.94871200192423011</v>
      </c>
      <c r="I330" s="7">
        <f t="shared" si="39"/>
        <v>1.1968132126328794</v>
      </c>
      <c r="J330" s="7">
        <f t="shared" si="35"/>
        <v>0.71080151731255847</v>
      </c>
      <c r="K330" s="7">
        <f t="shared" si="40"/>
        <v>0.57169396305317544</v>
      </c>
      <c r="L330" s="7">
        <f t="shared" si="41"/>
        <v>0.40742280858582092</v>
      </c>
      <c r="M330" s="7">
        <f t="shared" si="42"/>
        <v>0.74448623812828751</v>
      </c>
      <c r="N330" s="8">
        <f t="shared" si="36"/>
        <v>5.0587819109795998E-2</v>
      </c>
      <c r="O330" s="8">
        <f t="shared" si="43"/>
        <v>4.9947703153828932E-2</v>
      </c>
      <c r="P330" s="8">
        <f t="shared" si="44"/>
        <v>4.5833356037627546E-2</v>
      </c>
      <c r="Q330" s="8">
        <f t="shared" si="45"/>
        <v>5.0818163313850001E-2</v>
      </c>
    </row>
    <row r="331" spans="1:17" x14ac:dyDescent="0.25">
      <c r="A331" s="5">
        <v>40525</v>
      </c>
      <c r="B331">
        <v>590.79999999999995</v>
      </c>
      <c r="C331">
        <v>1243.9100000000001</v>
      </c>
      <c r="D331" s="6">
        <f t="shared" si="46"/>
        <v>-2.3809121764239993E-3</v>
      </c>
      <c r="E331" s="6">
        <f t="shared" si="47"/>
        <v>2.8297323444050893E-3</v>
      </c>
      <c r="F331" s="7">
        <f t="shared" si="34"/>
        <v>0.9763032950519539</v>
      </c>
      <c r="G331" s="7">
        <f t="shared" si="37"/>
        <v>1.0213028478756274</v>
      </c>
      <c r="H331" s="7">
        <f t="shared" si="38"/>
        <v>0.94871200192423011</v>
      </c>
      <c r="I331" s="7">
        <f t="shared" si="39"/>
        <v>1.1968132126328794</v>
      </c>
      <c r="J331" s="7">
        <f t="shared" si="35"/>
        <v>0.71067581313064154</v>
      </c>
      <c r="K331" s="7">
        <f t="shared" si="40"/>
        <v>0.57169396305317544</v>
      </c>
      <c r="L331" s="7">
        <f t="shared" si="41"/>
        <v>0.40742280858582092</v>
      </c>
      <c r="M331" s="7">
        <f t="shared" si="42"/>
        <v>0.74448623812828751</v>
      </c>
      <c r="N331" s="8">
        <f t="shared" si="36"/>
        <v>5.0582550036311666E-2</v>
      </c>
      <c r="O331" s="8">
        <f t="shared" si="43"/>
        <v>4.9947703153828932E-2</v>
      </c>
      <c r="P331" s="8">
        <f t="shared" si="44"/>
        <v>4.5833356037627546E-2</v>
      </c>
      <c r="Q331" s="8">
        <f t="shared" si="45"/>
        <v>5.0818163313850001E-2</v>
      </c>
    </row>
    <row r="332" spans="1:17" x14ac:dyDescent="0.25">
      <c r="A332" s="5">
        <v>40532</v>
      </c>
      <c r="B332">
        <v>604.23</v>
      </c>
      <c r="C332">
        <v>1256.77</v>
      </c>
      <c r="D332" s="6">
        <f t="shared" si="46"/>
        <v>2.2731888964116598E-2</v>
      </c>
      <c r="E332" s="6">
        <f t="shared" si="47"/>
        <v>1.0338368531485287E-2</v>
      </c>
      <c r="F332" s="7">
        <f t="shared" si="34"/>
        <v>0.97711089261977524</v>
      </c>
      <c r="G332" s="7">
        <f t="shared" si="37"/>
        <v>1.0213028478756274</v>
      </c>
      <c r="H332" s="7">
        <f t="shared" si="38"/>
        <v>0.94871200192423011</v>
      </c>
      <c r="I332" s="7">
        <f t="shared" si="39"/>
        <v>1.1968132126328794</v>
      </c>
      <c r="J332" s="7">
        <f t="shared" si="35"/>
        <v>0.71104463837556242</v>
      </c>
      <c r="K332" s="7">
        <f t="shared" si="40"/>
        <v>0.57169396305317544</v>
      </c>
      <c r="L332" s="7">
        <f t="shared" si="41"/>
        <v>0.40742280858582092</v>
      </c>
      <c r="M332" s="7">
        <f t="shared" si="42"/>
        <v>0.74448623812828751</v>
      </c>
      <c r="N332" s="8">
        <f t="shared" si="36"/>
        <v>5.0610346690157945E-2</v>
      </c>
      <c r="O332" s="8">
        <f t="shared" si="43"/>
        <v>4.9947703153828932E-2</v>
      </c>
      <c r="P332" s="8">
        <f t="shared" si="44"/>
        <v>4.5833356037627546E-2</v>
      </c>
      <c r="Q332" s="8">
        <f t="shared" si="45"/>
        <v>5.0818163313850001E-2</v>
      </c>
    </row>
    <row r="333" spans="1:17" x14ac:dyDescent="0.25">
      <c r="A333" s="5">
        <v>40539</v>
      </c>
      <c r="B333">
        <v>593.97</v>
      </c>
      <c r="C333">
        <v>1257.6400000000001</v>
      </c>
      <c r="D333" s="6">
        <f t="shared" si="46"/>
        <v>-1.6980288962812118E-2</v>
      </c>
      <c r="E333" s="6">
        <f t="shared" si="47"/>
        <v>6.9225076983059353E-4</v>
      </c>
      <c r="F333" s="7">
        <f t="shared" si="34"/>
        <v>0.97245967726175275</v>
      </c>
      <c r="G333" s="7">
        <f t="shared" si="37"/>
        <v>1.0213028478756274</v>
      </c>
      <c r="H333" s="7">
        <f t="shared" si="38"/>
        <v>0.94871200192423011</v>
      </c>
      <c r="I333" s="7">
        <f t="shared" si="39"/>
        <v>1.1968132126328794</v>
      </c>
      <c r="J333" s="7">
        <f t="shared" si="35"/>
        <v>0.70777706688417474</v>
      </c>
      <c r="K333" s="7">
        <f t="shared" si="40"/>
        <v>0.57169396305317544</v>
      </c>
      <c r="L333" s="7">
        <f t="shared" si="41"/>
        <v>0.40742280858582092</v>
      </c>
      <c r="M333" s="7">
        <f t="shared" si="42"/>
        <v>0.74448623812828751</v>
      </c>
      <c r="N333" s="8">
        <f t="shared" si="36"/>
        <v>5.0359162579367803E-2</v>
      </c>
      <c r="O333" s="8">
        <f t="shared" si="43"/>
        <v>4.9947703153828932E-2</v>
      </c>
      <c r="P333" s="8">
        <f t="shared" si="44"/>
        <v>4.5833356037627546E-2</v>
      </c>
      <c r="Q333" s="8">
        <f t="shared" si="45"/>
        <v>5.0818163313850001E-2</v>
      </c>
    </row>
    <row r="334" spans="1:17" x14ac:dyDescent="0.25">
      <c r="A334" s="5">
        <v>40546</v>
      </c>
      <c r="B334">
        <v>616.44000000000005</v>
      </c>
      <c r="C334">
        <v>1271.5</v>
      </c>
      <c r="D334" s="6">
        <f t="shared" si="46"/>
        <v>3.7830193444113425E-2</v>
      </c>
      <c r="E334" s="6">
        <f t="shared" si="47"/>
        <v>1.1020641837091505E-2</v>
      </c>
      <c r="F334" s="7">
        <f t="shared" si="34"/>
        <v>0.97304989390286645</v>
      </c>
      <c r="G334" s="7">
        <f t="shared" si="37"/>
        <v>1.0213028478756274</v>
      </c>
      <c r="H334" s="7">
        <f t="shared" si="38"/>
        <v>0.94871200192423011</v>
      </c>
      <c r="I334" s="7">
        <f t="shared" si="39"/>
        <v>1.1968132126328794</v>
      </c>
      <c r="J334" s="7">
        <f t="shared" si="35"/>
        <v>0.70786358796214666</v>
      </c>
      <c r="K334" s="7">
        <f t="shared" si="40"/>
        <v>0.57169396305317544</v>
      </c>
      <c r="L334" s="7">
        <f t="shared" si="41"/>
        <v>0.40742280858582092</v>
      </c>
      <c r="M334" s="7">
        <f t="shared" si="42"/>
        <v>0.74448623812828751</v>
      </c>
      <c r="N334" s="8">
        <f t="shared" si="36"/>
        <v>5.039136559796005E-2</v>
      </c>
      <c r="O334" s="8">
        <f t="shared" si="43"/>
        <v>4.9947703153828932E-2</v>
      </c>
      <c r="P334" s="8">
        <f t="shared" si="44"/>
        <v>4.5833356037627546E-2</v>
      </c>
      <c r="Q334" s="8">
        <f t="shared" si="45"/>
        <v>5.0818163313850001E-2</v>
      </c>
    </row>
    <row r="335" spans="1:17" x14ac:dyDescent="0.25">
      <c r="A335" s="5">
        <v>40553</v>
      </c>
      <c r="B335">
        <v>624.17999999999995</v>
      </c>
      <c r="C335">
        <v>1293.24</v>
      </c>
      <c r="D335" s="6">
        <f t="shared" si="46"/>
        <v>1.2555966517422412E-2</v>
      </c>
      <c r="E335" s="6">
        <f t="shared" si="47"/>
        <v>1.7097915847424261E-2</v>
      </c>
      <c r="F335" s="7">
        <f t="shared" si="34"/>
        <v>0.97056958164252216</v>
      </c>
      <c r="G335" s="7">
        <f t="shared" si="37"/>
        <v>1.0213028478756274</v>
      </c>
      <c r="H335" s="7">
        <f t="shared" si="38"/>
        <v>0.94871200192423011</v>
      </c>
      <c r="I335" s="7">
        <f t="shared" si="39"/>
        <v>1.1968132126328794</v>
      </c>
      <c r="J335" s="7">
        <f t="shared" si="35"/>
        <v>0.70471787398623853</v>
      </c>
      <c r="K335" s="7">
        <f t="shared" si="40"/>
        <v>0.57169396305317544</v>
      </c>
      <c r="L335" s="7">
        <f t="shared" si="41"/>
        <v>0.40742280858582092</v>
      </c>
      <c r="M335" s="7">
        <f t="shared" si="42"/>
        <v>0.74448623812828751</v>
      </c>
      <c r="N335" s="8">
        <f t="shared" si="36"/>
        <v>5.0163709915456142E-2</v>
      </c>
      <c r="O335" s="8">
        <f t="shared" si="43"/>
        <v>4.9947703153828932E-2</v>
      </c>
      <c r="P335" s="8">
        <f t="shared" si="44"/>
        <v>4.5833356037627546E-2</v>
      </c>
      <c r="Q335" s="8">
        <f t="shared" si="45"/>
        <v>5.0818163313850001E-2</v>
      </c>
    </row>
    <row r="336" spans="1:17" x14ac:dyDescent="0.25">
      <c r="A336" s="5">
        <v>40561</v>
      </c>
      <c r="B336">
        <v>611.83000000000004</v>
      </c>
      <c r="C336">
        <v>1283.3499999999999</v>
      </c>
      <c r="D336" s="6">
        <f t="shared" si="46"/>
        <v>-1.9785959178441948E-2</v>
      </c>
      <c r="E336" s="6">
        <f t="shared" si="47"/>
        <v>-7.6474590949863197E-3</v>
      </c>
      <c r="F336" s="7">
        <f t="shared" si="34"/>
        <v>0.97217312526794297</v>
      </c>
      <c r="G336" s="7">
        <f t="shared" si="37"/>
        <v>1.0213028478756274</v>
      </c>
      <c r="H336" s="7">
        <f t="shared" si="38"/>
        <v>0.94871200192423011</v>
      </c>
      <c r="I336" s="7">
        <f t="shared" si="39"/>
        <v>1.1968132126328794</v>
      </c>
      <c r="J336" s="7">
        <f t="shared" si="35"/>
        <v>0.70860181043190373</v>
      </c>
      <c r="K336" s="7">
        <f t="shared" si="40"/>
        <v>0.57169396305317544</v>
      </c>
      <c r="L336" s="7">
        <f t="shared" si="41"/>
        <v>0.40742280858582092</v>
      </c>
      <c r="M336" s="7">
        <f t="shared" si="42"/>
        <v>0.74448623812828751</v>
      </c>
      <c r="N336" s="8">
        <f t="shared" si="36"/>
        <v>4.9977584050289958E-2</v>
      </c>
      <c r="O336" s="8">
        <f t="shared" si="43"/>
        <v>4.9947703153828932E-2</v>
      </c>
      <c r="P336" s="8">
        <f t="shared" si="44"/>
        <v>4.5833356037627546E-2</v>
      </c>
      <c r="Q336" s="8">
        <f t="shared" si="45"/>
        <v>5.0818163313850001E-2</v>
      </c>
    </row>
    <row r="337" spans="1:17" x14ac:dyDescent="0.25">
      <c r="A337" s="5">
        <v>40567</v>
      </c>
      <c r="B337">
        <v>600.99</v>
      </c>
      <c r="C337">
        <v>1276.3399999999999</v>
      </c>
      <c r="D337" s="6">
        <f t="shared" si="46"/>
        <v>-1.7717339783926978E-2</v>
      </c>
      <c r="E337" s="6">
        <f t="shared" si="47"/>
        <v>-5.4622667238087841E-3</v>
      </c>
      <c r="F337" s="7">
        <f t="shared" si="34"/>
        <v>1.0052754501203516</v>
      </c>
      <c r="G337" s="7">
        <f t="shared" si="37"/>
        <v>1.0213028478756274</v>
      </c>
      <c r="H337" s="7">
        <f t="shared" si="38"/>
        <v>0.94871200192423011</v>
      </c>
      <c r="I337" s="7">
        <f t="shared" si="39"/>
        <v>1.1968132126328794</v>
      </c>
      <c r="J337" s="7">
        <f t="shared" si="35"/>
        <v>0.73614104708791706</v>
      </c>
      <c r="K337" s="7">
        <f t="shared" si="40"/>
        <v>0.57169396305317544</v>
      </c>
      <c r="L337" s="7">
        <f t="shared" si="41"/>
        <v>0.40742280858582092</v>
      </c>
      <c r="M337" s="7">
        <f t="shared" si="42"/>
        <v>0.74448623812828751</v>
      </c>
      <c r="N337" s="8">
        <f t="shared" si="36"/>
        <v>4.9467239449400298E-2</v>
      </c>
      <c r="O337" s="8">
        <f t="shared" si="43"/>
        <v>4.9947703153828932E-2</v>
      </c>
      <c r="P337" s="8">
        <f t="shared" si="44"/>
        <v>4.5833356037627546E-2</v>
      </c>
      <c r="Q337" s="8">
        <f t="shared" si="45"/>
        <v>5.0818163313850001E-2</v>
      </c>
    </row>
    <row r="338" spans="1:17" x14ac:dyDescent="0.25">
      <c r="A338" s="5">
        <v>40574</v>
      </c>
      <c r="B338">
        <v>610.98</v>
      </c>
      <c r="C338">
        <v>1310.87</v>
      </c>
      <c r="D338" s="6">
        <f t="shared" si="46"/>
        <v>1.6622572754954268E-2</v>
      </c>
      <c r="E338" s="6">
        <f t="shared" si="47"/>
        <v>2.7053919801933723E-2</v>
      </c>
      <c r="F338" s="7">
        <f t="shared" si="34"/>
        <v>1.0140658954508481</v>
      </c>
      <c r="G338" s="7">
        <f t="shared" si="37"/>
        <v>1.0213028478756274</v>
      </c>
      <c r="H338" s="7">
        <f t="shared" si="38"/>
        <v>0.94871200192423011</v>
      </c>
      <c r="I338" s="7">
        <f t="shared" si="39"/>
        <v>1.1968132126328794</v>
      </c>
      <c r="J338" s="7">
        <f t="shared" si="35"/>
        <v>0.73978307174724589</v>
      </c>
      <c r="K338" s="7">
        <f t="shared" si="40"/>
        <v>0.57169396305317544</v>
      </c>
      <c r="L338" s="7">
        <f t="shared" si="41"/>
        <v>0.40742280858582092</v>
      </c>
      <c r="M338" s="7">
        <f t="shared" si="42"/>
        <v>0.74448623812828751</v>
      </c>
      <c r="N338" s="8">
        <f t="shared" si="36"/>
        <v>4.9480591468920525E-2</v>
      </c>
      <c r="O338" s="8">
        <f t="shared" si="43"/>
        <v>4.9947703153828932E-2</v>
      </c>
      <c r="P338" s="8">
        <f t="shared" si="44"/>
        <v>4.5833356037627546E-2</v>
      </c>
      <c r="Q338" s="8">
        <f t="shared" si="45"/>
        <v>5.0818163313850001E-2</v>
      </c>
    </row>
    <row r="339" spans="1:17" x14ac:dyDescent="0.25">
      <c r="A339" s="5">
        <v>40581</v>
      </c>
      <c r="B339">
        <v>624.5</v>
      </c>
      <c r="C339">
        <v>1329.15</v>
      </c>
      <c r="D339" s="6">
        <f t="shared" si="46"/>
        <v>2.2128383907820126E-2</v>
      </c>
      <c r="E339" s="6">
        <f t="shared" si="47"/>
        <v>1.3944937331695995E-2</v>
      </c>
      <c r="F339" s="7">
        <f t="shared" si="34"/>
        <v>1.0138749118024384</v>
      </c>
      <c r="G339" s="7">
        <f t="shared" si="37"/>
        <v>1.0213028478756274</v>
      </c>
      <c r="H339" s="7">
        <f t="shared" si="38"/>
        <v>0.94871200192423011</v>
      </c>
      <c r="I339" s="7">
        <f t="shared" si="39"/>
        <v>1.1968132126328794</v>
      </c>
      <c r="J339" s="7">
        <f t="shared" si="35"/>
        <v>0.73975992088130504</v>
      </c>
      <c r="K339" s="7">
        <f t="shared" si="40"/>
        <v>0.57169396305317544</v>
      </c>
      <c r="L339" s="7">
        <f t="shared" si="41"/>
        <v>0.40742280858582092</v>
      </c>
      <c r="M339" s="7">
        <f t="shared" si="42"/>
        <v>0.74448623812828751</v>
      </c>
      <c r="N339" s="8">
        <f t="shared" si="36"/>
        <v>4.9472488657384482E-2</v>
      </c>
      <c r="O339" s="8">
        <f t="shared" si="43"/>
        <v>4.9947703153828932E-2</v>
      </c>
      <c r="P339" s="8">
        <f t="shared" si="44"/>
        <v>4.5833356037627546E-2</v>
      </c>
      <c r="Q339" s="8">
        <f t="shared" si="45"/>
        <v>5.0818163313850001E-2</v>
      </c>
    </row>
    <row r="340" spans="1:17" x14ac:dyDescent="0.25">
      <c r="A340" s="5">
        <v>40588</v>
      </c>
      <c r="B340">
        <v>630.08000000000004</v>
      </c>
      <c r="C340">
        <v>1343.01</v>
      </c>
      <c r="D340" s="6">
        <f t="shared" si="46"/>
        <v>8.93514811849494E-3</v>
      </c>
      <c r="E340" s="6">
        <f t="shared" si="47"/>
        <v>1.0427716961968203E-2</v>
      </c>
      <c r="F340" s="7">
        <f t="shared" si="34"/>
        <v>1.0140911870805951</v>
      </c>
      <c r="G340" s="7">
        <f t="shared" si="37"/>
        <v>1.0213028478756274</v>
      </c>
      <c r="H340" s="7">
        <f t="shared" si="38"/>
        <v>0.94871200192423011</v>
      </c>
      <c r="I340" s="7">
        <f t="shared" si="39"/>
        <v>1.1968132126328794</v>
      </c>
      <c r="J340" s="7">
        <f t="shared" si="35"/>
        <v>0.74190288360534751</v>
      </c>
      <c r="K340" s="7">
        <f t="shared" si="40"/>
        <v>0.57169396305317544</v>
      </c>
      <c r="L340" s="7">
        <f t="shared" si="41"/>
        <v>0.40742280858582092</v>
      </c>
      <c r="M340" s="7">
        <f t="shared" si="42"/>
        <v>0.74448623812828751</v>
      </c>
      <c r="N340" s="8">
        <f t="shared" si="36"/>
        <v>4.9351498381135651E-2</v>
      </c>
      <c r="O340" s="8">
        <f t="shared" si="43"/>
        <v>4.9947703153828932E-2</v>
      </c>
      <c r="P340" s="8">
        <f t="shared" si="44"/>
        <v>4.5833356037627546E-2</v>
      </c>
      <c r="Q340" s="8">
        <f t="shared" si="45"/>
        <v>5.0818163313850001E-2</v>
      </c>
    </row>
    <row r="341" spans="1:17" x14ac:dyDescent="0.25">
      <c r="A341" s="5">
        <v>40596</v>
      </c>
      <c r="B341">
        <v>610.04</v>
      </c>
      <c r="C341">
        <v>1319.88</v>
      </c>
      <c r="D341" s="6">
        <f t="shared" si="46"/>
        <v>-3.1805485017775692E-2</v>
      </c>
      <c r="E341" s="6">
        <f t="shared" si="47"/>
        <v>-1.722250765072475E-2</v>
      </c>
      <c r="F341" s="7">
        <f t="shared" si="34"/>
        <v>1.0106738019743475</v>
      </c>
      <c r="G341" s="7">
        <f t="shared" si="37"/>
        <v>1.0213028478756274</v>
      </c>
      <c r="H341" s="7">
        <f t="shared" si="38"/>
        <v>0.94871200192423011</v>
      </c>
      <c r="I341" s="7">
        <f t="shared" si="39"/>
        <v>1.1968132126328794</v>
      </c>
      <c r="J341" s="7">
        <f t="shared" si="35"/>
        <v>0.74376955605911077</v>
      </c>
      <c r="K341" s="7">
        <f t="shared" si="40"/>
        <v>0.57169396305317544</v>
      </c>
      <c r="L341" s="7">
        <f t="shared" si="41"/>
        <v>0.40742280858582092</v>
      </c>
      <c r="M341" s="7">
        <f t="shared" si="42"/>
        <v>0.74448623812828751</v>
      </c>
      <c r="N341" s="8">
        <f t="shared" si="36"/>
        <v>4.9064321914730251E-2</v>
      </c>
      <c r="O341" s="8">
        <f t="shared" si="43"/>
        <v>4.9947703153828932E-2</v>
      </c>
      <c r="P341" s="8">
        <f t="shared" si="44"/>
        <v>4.5833356037627546E-2</v>
      </c>
      <c r="Q341" s="8">
        <f t="shared" si="45"/>
        <v>5.0818163313850001E-2</v>
      </c>
    </row>
    <row r="342" spans="1:17" x14ac:dyDescent="0.25">
      <c r="A342" s="5">
        <v>40602</v>
      </c>
      <c r="B342">
        <v>600.62</v>
      </c>
      <c r="C342">
        <v>1321.15</v>
      </c>
      <c r="D342" s="6">
        <f t="shared" si="46"/>
        <v>-1.5441610386204063E-2</v>
      </c>
      <c r="E342" s="6">
        <f t="shared" si="47"/>
        <v>9.6220868563801076E-4</v>
      </c>
      <c r="F342" s="7">
        <f t="shared" si="34"/>
        <v>1.002948766134437</v>
      </c>
      <c r="G342" s="7">
        <f t="shared" si="37"/>
        <v>1.0213028478756274</v>
      </c>
      <c r="H342" s="7">
        <f t="shared" si="38"/>
        <v>0.94871200192423011</v>
      </c>
      <c r="I342" s="7">
        <f t="shared" si="39"/>
        <v>1.1968132126328794</v>
      </c>
      <c r="J342" s="7">
        <f t="shared" si="35"/>
        <v>0.7431525374152208</v>
      </c>
      <c r="K342" s="7">
        <f t="shared" si="40"/>
        <v>0.57169396305317544</v>
      </c>
      <c r="L342" s="7">
        <f t="shared" si="41"/>
        <v>0.40742280858582092</v>
      </c>
      <c r="M342" s="7">
        <f t="shared" si="42"/>
        <v>0.74448623812828751</v>
      </c>
      <c r="N342" s="8">
        <f t="shared" si="36"/>
        <v>4.8630915779841841E-2</v>
      </c>
      <c r="O342" s="8">
        <f t="shared" si="43"/>
        <v>4.9947703153828932E-2</v>
      </c>
      <c r="P342" s="8">
        <f t="shared" si="44"/>
        <v>4.5833356037627546E-2</v>
      </c>
      <c r="Q342" s="8">
        <f t="shared" si="45"/>
        <v>5.0818163313850001E-2</v>
      </c>
    </row>
    <row r="343" spans="1:17" x14ac:dyDescent="0.25">
      <c r="A343" s="5">
        <v>40609</v>
      </c>
      <c r="B343">
        <v>576.71</v>
      </c>
      <c r="C343">
        <v>1304.28</v>
      </c>
      <c r="D343" s="6">
        <f t="shared" si="46"/>
        <v>-3.980886417368712E-2</v>
      </c>
      <c r="E343" s="6">
        <f t="shared" si="47"/>
        <v>-1.2769178367331602E-2</v>
      </c>
      <c r="F343" s="7">
        <f t="shared" si="34"/>
        <v>1.0051994887465885</v>
      </c>
      <c r="G343" s="7">
        <f t="shared" si="37"/>
        <v>1.0213028478756274</v>
      </c>
      <c r="H343" s="7">
        <f t="shared" si="38"/>
        <v>0.94871200192423011</v>
      </c>
      <c r="I343" s="7">
        <f t="shared" si="39"/>
        <v>1.1968132126328794</v>
      </c>
      <c r="J343" s="7">
        <f t="shared" si="35"/>
        <v>0.74331659178094944</v>
      </c>
      <c r="K343" s="7">
        <f t="shared" si="40"/>
        <v>0.57169396305317544</v>
      </c>
      <c r="L343" s="7">
        <f t="shared" si="41"/>
        <v>0.40742280858582092</v>
      </c>
      <c r="M343" s="7">
        <f t="shared" si="42"/>
        <v>0.74448623812828751</v>
      </c>
      <c r="N343" s="8">
        <f t="shared" si="36"/>
        <v>4.8748547961156477E-2</v>
      </c>
      <c r="O343" s="8">
        <f t="shared" si="43"/>
        <v>4.9947703153828932E-2</v>
      </c>
      <c r="P343" s="8">
        <f t="shared" si="44"/>
        <v>4.5833356037627546E-2</v>
      </c>
      <c r="Q343" s="8">
        <f t="shared" si="45"/>
        <v>5.0818163313850001E-2</v>
      </c>
    </row>
    <row r="344" spans="1:17" x14ac:dyDescent="0.25">
      <c r="A344" s="5">
        <v>40616</v>
      </c>
      <c r="B344">
        <v>561.05999999999995</v>
      </c>
      <c r="C344">
        <v>1279.21</v>
      </c>
      <c r="D344" s="6">
        <f t="shared" si="46"/>
        <v>-2.7136689150526472E-2</v>
      </c>
      <c r="E344" s="6">
        <f t="shared" si="47"/>
        <v>-1.9221332842641048E-2</v>
      </c>
      <c r="F344" s="7">
        <f t="shared" si="34"/>
        <v>1.0131482829368443</v>
      </c>
      <c r="G344" s="7">
        <f t="shared" si="37"/>
        <v>1.0213028478756274</v>
      </c>
      <c r="H344" s="7">
        <f t="shared" si="38"/>
        <v>0.94871200192423011</v>
      </c>
      <c r="I344" s="7">
        <f t="shared" si="39"/>
        <v>1.1968132126328794</v>
      </c>
      <c r="J344" s="7">
        <f t="shared" si="35"/>
        <v>0.7473381249739095</v>
      </c>
      <c r="K344" s="7">
        <f t="shared" si="40"/>
        <v>0.57169396305317544</v>
      </c>
      <c r="L344" s="7">
        <f t="shared" si="41"/>
        <v>0.40742280858582092</v>
      </c>
      <c r="M344" s="7">
        <f t="shared" si="42"/>
        <v>0.74448623812828751</v>
      </c>
      <c r="N344" s="8">
        <f t="shared" si="36"/>
        <v>4.8796927449088263E-2</v>
      </c>
      <c r="O344" s="8">
        <f t="shared" si="43"/>
        <v>4.9947703153828932E-2</v>
      </c>
      <c r="P344" s="8">
        <f t="shared" si="44"/>
        <v>4.5833356037627546E-2</v>
      </c>
      <c r="Q344" s="8">
        <f t="shared" si="45"/>
        <v>5.0818163313850001E-2</v>
      </c>
    </row>
    <row r="345" spans="1:17" x14ac:dyDescent="0.25">
      <c r="A345" s="5">
        <v>40623</v>
      </c>
      <c r="B345">
        <v>579.74</v>
      </c>
      <c r="C345">
        <v>1313.8</v>
      </c>
      <c r="D345" s="6">
        <f t="shared" si="46"/>
        <v>3.3294121840801383E-2</v>
      </c>
      <c r="E345" s="6">
        <f t="shared" si="47"/>
        <v>2.7040126327968039E-2</v>
      </c>
      <c r="F345" s="7">
        <f t="shared" si="34"/>
        <v>1.014664726986042</v>
      </c>
      <c r="G345" s="7">
        <f t="shared" si="37"/>
        <v>1.0213028478756274</v>
      </c>
      <c r="H345" s="7">
        <f t="shared" si="38"/>
        <v>0.94871200192423011</v>
      </c>
      <c r="I345" s="7">
        <f t="shared" si="39"/>
        <v>1.1968132126328794</v>
      </c>
      <c r="J345" s="7">
        <f t="shared" si="35"/>
        <v>0.74864889930687084</v>
      </c>
      <c r="K345" s="7">
        <f t="shared" si="40"/>
        <v>0.57169396305317544</v>
      </c>
      <c r="L345" s="7">
        <f t="shared" si="41"/>
        <v>0.40742280858582092</v>
      </c>
      <c r="M345" s="7">
        <f t="shared" si="42"/>
        <v>0.74448623812828751</v>
      </c>
      <c r="N345" s="8">
        <f t="shared" si="36"/>
        <v>4.8853787165259989E-2</v>
      </c>
      <c r="O345" s="8">
        <f t="shared" si="43"/>
        <v>4.9947703153828932E-2</v>
      </c>
      <c r="P345" s="8">
        <f t="shared" si="44"/>
        <v>4.5833356037627546E-2</v>
      </c>
      <c r="Q345" s="8">
        <f t="shared" si="45"/>
        <v>5.0818163313850001E-2</v>
      </c>
    </row>
    <row r="346" spans="1:17" x14ac:dyDescent="0.25">
      <c r="A346" s="5">
        <v>40630</v>
      </c>
      <c r="B346">
        <v>591.79999999999995</v>
      </c>
      <c r="C346">
        <v>1332.41</v>
      </c>
      <c r="D346" s="6">
        <f t="shared" si="46"/>
        <v>2.0802428674923101E-2</v>
      </c>
      <c r="E346" s="6">
        <f t="shared" si="47"/>
        <v>1.4165017506469813E-2</v>
      </c>
      <c r="F346" s="7">
        <f t="shared" si="34"/>
        <v>1.0086638647032649</v>
      </c>
      <c r="G346" s="7">
        <f t="shared" si="37"/>
        <v>1.0213028478756274</v>
      </c>
      <c r="H346" s="7">
        <f t="shared" si="38"/>
        <v>0.94871200192423011</v>
      </c>
      <c r="I346" s="7">
        <f t="shared" si="39"/>
        <v>1.1968132126328794</v>
      </c>
      <c r="J346" s="7">
        <f t="shared" si="35"/>
        <v>0.74637675329996112</v>
      </c>
      <c r="K346" s="7">
        <f t="shared" si="40"/>
        <v>0.57169396305317544</v>
      </c>
      <c r="L346" s="7">
        <f t="shared" si="41"/>
        <v>0.40742280858582092</v>
      </c>
      <c r="M346" s="7">
        <f t="shared" si="42"/>
        <v>0.74448623812828751</v>
      </c>
      <c r="N346" s="8">
        <f t="shared" si="36"/>
        <v>4.8528723073203203E-2</v>
      </c>
      <c r="O346" s="8">
        <f t="shared" si="43"/>
        <v>4.9947703153828932E-2</v>
      </c>
      <c r="P346" s="8">
        <f t="shared" si="44"/>
        <v>4.5833356037627546E-2</v>
      </c>
      <c r="Q346" s="8">
        <f t="shared" si="45"/>
        <v>5.0818163313850001E-2</v>
      </c>
    </row>
    <row r="347" spans="1:17" x14ac:dyDescent="0.25">
      <c r="A347" s="5">
        <v>40637</v>
      </c>
      <c r="B347">
        <v>578.16</v>
      </c>
      <c r="C347">
        <v>1328.17</v>
      </c>
      <c r="D347" s="6">
        <f t="shared" si="46"/>
        <v>-2.3048327137546454E-2</v>
      </c>
      <c r="E347" s="6">
        <f t="shared" si="47"/>
        <v>-3.182203676045714E-3</v>
      </c>
      <c r="F347" s="7">
        <f t="shared" si="34"/>
        <v>1.0085983942047296</v>
      </c>
      <c r="G347" s="7">
        <f t="shared" si="37"/>
        <v>1.0213028478756274</v>
      </c>
      <c r="H347" s="7">
        <f t="shared" si="38"/>
        <v>0.94871200192423011</v>
      </c>
      <c r="I347" s="7">
        <f t="shared" si="39"/>
        <v>1.1968132126328794</v>
      </c>
      <c r="J347" s="7">
        <f t="shared" si="35"/>
        <v>0.74524508206459739</v>
      </c>
      <c r="K347" s="7">
        <f t="shared" si="40"/>
        <v>0.57169396305317544</v>
      </c>
      <c r="L347" s="7">
        <f t="shared" si="41"/>
        <v>0.40742280858582092</v>
      </c>
      <c r="M347" s="7">
        <f t="shared" si="42"/>
        <v>0.74448623812828751</v>
      </c>
      <c r="N347" s="8">
        <f t="shared" si="36"/>
        <v>4.8506361647341789E-2</v>
      </c>
      <c r="O347" s="8">
        <f t="shared" si="43"/>
        <v>4.9947703153828932E-2</v>
      </c>
      <c r="P347" s="8">
        <f t="shared" si="44"/>
        <v>4.5833356037627546E-2</v>
      </c>
      <c r="Q347" s="8">
        <f t="shared" si="45"/>
        <v>5.0818163313850001E-2</v>
      </c>
    </row>
    <row r="348" spans="1:17" x14ac:dyDescent="0.25">
      <c r="A348" s="5">
        <v>40644</v>
      </c>
      <c r="B348">
        <v>530.70000000000005</v>
      </c>
      <c r="C348">
        <v>1319.68</v>
      </c>
      <c r="D348" s="6">
        <f t="shared" si="46"/>
        <v>-8.2088003320879954E-2</v>
      </c>
      <c r="E348" s="6">
        <f t="shared" si="47"/>
        <v>-6.3922540036290831E-3</v>
      </c>
      <c r="F348" s="7">
        <f t="shared" si="34"/>
        <v>0.98241025429258733</v>
      </c>
      <c r="G348" s="7">
        <f t="shared" si="37"/>
        <v>1.0213028478756274</v>
      </c>
      <c r="H348" s="7">
        <f t="shared" si="38"/>
        <v>0.94871200192423011</v>
      </c>
      <c r="I348" s="7">
        <f t="shared" si="39"/>
        <v>1.1968132126328794</v>
      </c>
      <c r="J348" s="7">
        <f t="shared" si="35"/>
        <v>0.74796626636050012</v>
      </c>
      <c r="K348" s="7">
        <f t="shared" si="40"/>
        <v>0.57169396305317544</v>
      </c>
      <c r="L348" s="7">
        <f t="shared" si="41"/>
        <v>0.40742280858582092</v>
      </c>
      <c r="M348" s="7">
        <f t="shared" si="42"/>
        <v>0.74448623812828751</v>
      </c>
      <c r="N348" s="8">
        <f t="shared" si="36"/>
        <v>4.6866240837403858E-2</v>
      </c>
      <c r="O348" s="8">
        <f t="shared" si="43"/>
        <v>4.9947703153828932E-2</v>
      </c>
      <c r="P348" s="8">
        <f t="shared" si="44"/>
        <v>4.5833356037627546E-2</v>
      </c>
      <c r="Q348" s="8">
        <f t="shared" si="45"/>
        <v>5.0818163313850001E-2</v>
      </c>
    </row>
    <row r="349" spans="1:17" x14ac:dyDescent="0.25">
      <c r="A349" s="5">
        <v>40651</v>
      </c>
      <c r="B349">
        <v>525.1</v>
      </c>
      <c r="C349">
        <v>1337.38</v>
      </c>
      <c r="D349" s="6">
        <f t="shared" si="46"/>
        <v>-1.055210099868098E-2</v>
      </c>
      <c r="E349" s="6">
        <f t="shared" si="47"/>
        <v>1.341234238603306E-2</v>
      </c>
      <c r="F349" s="7">
        <f t="shared" si="34"/>
        <v>0.98074083042921401</v>
      </c>
      <c r="G349" s="7">
        <f t="shared" si="37"/>
        <v>1.0213028478756274</v>
      </c>
      <c r="H349" s="7">
        <f t="shared" si="38"/>
        <v>0.94871200192423011</v>
      </c>
      <c r="I349" s="7">
        <f t="shared" si="39"/>
        <v>1.1968132126328794</v>
      </c>
      <c r="J349" s="7">
        <f t="shared" si="35"/>
        <v>0.74688863772680103</v>
      </c>
      <c r="K349" s="7">
        <f t="shared" si="40"/>
        <v>0.57169396305317544</v>
      </c>
      <c r="L349" s="7">
        <f t="shared" si="41"/>
        <v>0.40742280858582092</v>
      </c>
      <c r="M349" s="7">
        <f t="shared" si="42"/>
        <v>0.74448623812828751</v>
      </c>
      <c r="N349" s="8">
        <f t="shared" si="36"/>
        <v>4.6871236764379688E-2</v>
      </c>
      <c r="O349" s="8">
        <f t="shared" si="43"/>
        <v>4.9947703153828932E-2</v>
      </c>
      <c r="P349" s="8">
        <f t="shared" si="44"/>
        <v>4.5833356037627546E-2</v>
      </c>
      <c r="Q349" s="8">
        <f t="shared" si="45"/>
        <v>5.0818163313850001E-2</v>
      </c>
    </row>
    <row r="350" spans="1:17" x14ac:dyDescent="0.25">
      <c r="A350" s="5">
        <v>40658</v>
      </c>
      <c r="B350">
        <v>544.1</v>
      </c>
      <c r="C350">
        <v>1363.61</v>
      </c>
      <c r="D350" s="6">
        <f t="shared" si="46"/>
        <v>3.6183584079223063E-2</v>
      </c>
      <c r="E350" s="6">
        <f t="shared" si="47"/>
        <v>1.9612974622021939E-2</v>
      </c>
      <c r="F350" s="7">
        <f t="shared" si="34"/>
        <v>0.97917422059036774</v>
      </c>
      <c r="G350" s="7">
        <f t="shared" si="37"/>
        <v>1.0213028478756274</v>
      </c>
      <c r="H350" s="7">
        <f t="shared" si="38"/>
        <v>0.94871200192423011</v>
      </c>
      <c r="I350" s="7">
        <f t="shared" si="39"/>
        <v>1.1968132126328794</v>
      </c>
      <c r="J350" s="7">
        <f t="shared" si="35"/>
        <v>0.74980185678302169</v>
      </c>
      <c r="K350" s="7">
        <f t="shared" si="40"/>
        <v>0.57169396305317544</v>
      </c>
      <c r="L350" s="7">
        <f t="shared" si="41"/>
        <v>0.40742280858582092</v>
      </c>
      <c r="M350" s="7">
        <f t="shared" si="42"/>
        <v>0.74448623812828751</v>
      </c>
      <c r="N350" s="8">
        <f t="shared" si="36"/>
        <v>4.6643420463873535E-2</v>
      </c>
      <c r="O350" s="8">
        <f t="shared" si="43"/>
        <v>4.9947703153828932E-2</v>
      </c>
      <c r="P350" s="8">
        <f t="shared" si="44"/>
        <v>4.5833356037627546E-2</v>
      </c>
      <c r="Q350" s="8">
        <f t="shared" si="45"/>
        <v>5.0818163313850001E-2</v>
      </c>
    </row>
    <row r="351" spans="1:17" x14ac:dyDescent="0.25">
      <c r="A351" s="5">
        <v>40665</v>
      </c>
      <c r="B351">
        <v>535.29999999999995</v>
      </c>
      <c r="C351">
        <v>1340.2</v>
      </c>
      <c r="D351" s="6">
        <f t="shared" si="46"/>
        <v>-1.6173497518838564E-2</v>
      </c>
      <c r="E351" s="6">
        <f t="shared" si="47"/>
        <v>-1.7167665241527907E-2</v>
      </c>
      <c r="F351" s="7">
        <f t="shared" ref="F351:F384" si="48">COVAR(D196:D351,E196:E351)/(_xlfn.STDEV.P(E196:E351)^2)</f>
        <v>0.97947318694042285</v>
      </c>
      <c r="G351" s="7">
        <f t="shared" si="37"/>
        <v>1.0213028478756274</v>
      </c>
      <c r="H351" s="7">
        <f t="shared" si="38"/>
        <v>0.94871200192423011</v>
      </c>
      <c r="I351" s="7">
        <f t="shared" si="39"/>
        <v>1.1968132126328794</v>
      </c>
      <c r="J351" s="7">
        <f t="shared" ref="J351:J384" si="49">CORREL(D196:D351,E196:E351)</f>
        <v>0.74988763827883842</v>
      </c>
      <c r="K351" s="7">
        <f t="shared" si="40"/>
        <v>0.57169396305317544</v>
      </c>
      <c r="L351" s="7">
        <f t="shared" si="41"/>
        <v>0.40742280858582092</v>
      </c>
      <c r="M351" s="7">
        <f t="shared" si="42"/>
        <v>0.74448623812828751</v>
      </c>
      <c r="N351" s="8">
        <f t="shared" ref="N351:N384" si="50">_xlfn.STDEV.P(D196:D351)</f>
        <v>4.6648291215762992E-2</v>
      </c>
      <c r="O351" s="8">
        <f t="shared" si="43"/>
        <v>4.9947703153828932E-2</v>
      </c>
      <c r="P351" s="8">
        <f t="shared" si="44"/>
        <v>4.5833356037627546E-2</v>
      </c>
      <c r="Q351" s="8">
        <f t="shared" si="45"/>
        <v>5.0818163313850001E-2</v>
      </c>
    </row>
    <row r="352" spans="1:17" x14ac:dyDescent="0.25">
      <c r="A352" s="5">
        <v>40672</v>
      </c>
      <c r="B352">
        <v>529.54999999999995</v>
      </c>
      <c r="C352">
        <v>1337.77</v>
      </c>
      <c r="D352" s="6">
        <f t="shared" si="46"/>
        <v>-1.0741640201756053E-2</v>
      </c>
      <c r="E352" s="6">
        <f t="shared" si="47"/>
        <v>-1.8131622145949322E-3</v>
      </c>
      <c r="F352" s="7">
        <f t="shared" si="48"/>
        <v>0.98149166765358797</v>
      </c>
      <c r="G352" s="7">
        <f t="shared" ref="G352:G384" si="51">G351</f>
        <v>1.0213028478756274</v>
      </c>
      <c r="H352" s="7">
        <f t="shared" ref="H352:H384" si="52">H351</f>
        <v>0.94871200192423011</v>
      </c>
      <c r="I352" s="7">
        <f t="shared" ref="I352:I384" si="53">I351</f>
        <v>1.1968132126328794</v>
      </c>
      <c r="J352" s="7">
        <f t="shared" si="49"/>
        <v>0.75012941409863487</v>
      </c>
      <c r="K352" s="7">
        <f t="shared" ref="K352:K384" si="54">K351</f>
        <v>0.57169396305317544</v>
      </c>
      <c r="L352" s="7">
        <f t="shared" ref="L352:L384" si="55">L351</f>
        <v>0.40742280858582092</v>
      </c>
      <c r="M352" s="7">
        <f t="shared" ref="M352:M384" si="56">M351</f>
        <v>0.74448623812828751</v>
      </c>
      <c r="N352" s="8">
        <f t="shared" si="50"/>
        <v>4.6648172867901828E-2</v>
      </c>
      <c r="O352" s="8">
        <f t="shared" ref="O352:O384" si="57">O351</f>
        <v>4.9947703153828932E-2</v>
      </c>
      <c r="P352" s="8">
        <f t="shared" ref="P352:P384" si="58">P351</f>
        <v>4.5833356037627546E-2</v>
      </c>
      <c r="Q352" s="8">
        <f t="shared" ref="Q352:Q384" si="59">Q351</f>
        <v>5.0818163313850001E-2</v>
      </c>
    </row>
    <row r="353" spans="1:17" x14ac:dyDescent="0.25">
      <c r="A353" s="5">
        <v>40679</v>
      </c>
      <c r="B353">
        <v>524.03</v>
      </c>
      <c r="C353">
        <v>1333.27</v>
      </c>
      <c r="D353" s="6">
        <f t="shared" si="46"/>
        <v>-1.0423944858842349E-2</v>
      </c>
      <c r="E353" s="6">
        <f t="shared" si="47"/>
        <v>-3.3638069324323228E-3</v>
      </c>
      <c r="F353" s="7">
        <f t="shared" si="48"/>
        <v>0.97676005274015854</v>
      </c>
      <c r="G353" s="7">
        <f t="shared" si="51"/>
        <v>1.0213028478756274</v>
      </c>
      <c r="H353" s="7">
        <f t="shared" si="52"/>
        <v>0.94871200192423011</v>
      </c>
      <c r="I353" s="7">
        <f t="shared" si="53"/>
        <v>1.1968132126328794</v>
      </c>
      <c r="J353" s="7">
        <f t="shared" si="49"/>
        <v>0.74831096052011803</v>
      </c>
      <c r="K353" s="7">
        <f t="shared" si="54"/>
        <v>0.57169396305317544</v>
      </c>
      <c r="L353" s="7">
        <f t="shared" si="55"/>
        <v>0.40742280858582092</v>
      </c>
      <c r="M353" s="7">
        <f t="shared" si="56"/>
        <v>0.74448623812828751</v>
      </c>
      <c r="N353" s="8">
        <f t="shared" si="50"/>
        <v>4.6393637085923194E-2</v>
      </c>
      <c r="O353" s="8">
        <f t="shared" si="57"/>
        <v>4.9947703153828932E-2</v>
      </c>
      <c r="P353" s="8">
        <f t="shared" si="58"/>
        <v>4.5833356037627546E-2</v>
      </c>
      <c r="Q353" s="8">
        <f t="shared" si="59"/>
        <v>5.0818163313850001E-2</v>
      </c>
    </row>
    <row r="354" spans="1:17" x14ac:dyDescent="0.25">
      <c r="A354" s="5">
        <v>40686</v>
      </c>
      <c r="B354">
        <v>520.9</v>
      </c>
      <c r="C354">
        <v>1331.1</v>
      </c>
      <c r="D354" s="6">
        <f t="shared" si="46"/>
        <v>-5.9729404805067832E-3</v>
      </c>
      <c r="E354" s="6">
        <f t="shared" si="47"/>
        <v>-1.6275773099222457E-3</v>
      </c>
      <c r="F354" s="7">
        <f t="shared" si="48"/>
        <v>0.9716763962169801</v>
      </c>
      <c r="G354" s="7">
        <f t="shared" si="51"/>
        <v>1.0213028478756274</v>
      </c>
      <c r="H354" s="7">
        <f t="shared" si="52"/>
        <v>0.94871200192423011</v>
      </c>
      <c r="I354" s="7">
        <f t="shared" si="53"/>
        <v>1.1968132126328794</v>
      </c>
      <c r="J354" s="7">
        <f t="shared" si="49"/>
        <v>0.75012034309405473</v>
      </c>
      <c r="K354" s="7">
        <f t="shared" si="54"/>
        <v>0.57169396305317544</v>
      </c>
      <c r="L354" s="7">
        <f t="shared" si="55"/>
        <v>0.40742280858582092</v>
      </c>
      <c r="M354" s="7">
        <f t="shared" si="56"/>
        <v>0.74448623812828751</v>
      </c>
      <c r="N354" s="8">
        <f t="shared" si="50"/>
        <v>4.6005981373507941E-2</v>
      </c>
      <c r="O354" s="8">
        <f t="shared" si="57"/>
        <v>4.9947703153828932E-2</v>
      </c>
      <c r="P354" s="8">
        <f t="shared" si="58"/>
        <v>4.5833356037627546E-2</v>
      </c>
      <c r="Q354" s="8">
        <f t="shared" si="59"/>
        <v>5.0818163313850001E-2</v>
      </c>
    </row>
    <row r="355" spans="1:17" x14ac:dyDescent="0.25">
      <c r="A355" s="5">
        <v>40694</v>
      </c>
      <c r="B355">
        <v>523.08000000000004</v>
      </c>
      <c r="C355">
        <v>1300.1600000000001</v>
      </c>
      <c r="D355" s="6">
        <f t="shared" si="46"/>
        <v>4.1850643117682385E-3</v>
      </c>
      <c r="E355" s="6">
        <f t="shared" si="47"/>
        <v>-2.324393358876109E-2</v>
      </c>
      <c r="F355" s="7">
        <f t="shared" si="48"/>
        <v>0.96779809069919376</v>
      </c>
      <c r="G355" s="7">
        <f t="shared" si="51"/>
        <v>1.0213028478756274</v>
      </c>
      <c r="H355" s="7">
        <f t="shared" si="52"/>
        <v>0.94871200192423011</v>
      </c>
      <c r="I355" s="7">
        <f t="shared" si="53"/>
        <v>1.1968132126328794</v>
      </c>
      <c r="J355" s="7">
        <f t="shared" si="49"/>
        <v>0.74780235201103362</v>
      </c>
      <c r="K355" s="7">
        <f t="shared" si="54"/>
        <v>0.57169396305317544</v>
      </c>
      <c r="L355" s="7">
        <f t="shared" si="55"/>
        <v>0.40742280858582092</v>
      </c>
      <c r="M355" s="7">
        <f t="shared" si="56"/>
        <v>0.74448623812828751</v>
      </c>
      <c r="N355" s="8">
        <f t="shared" si="50"/>
        <v>4.5933219499694269E-2</v>
      </c>
      <c r="O355" s="8">
        <f t="shared" si="57"/>
        <v>4.9947703153828932E-2</v>
      </c>
      <c r="P355" s="8">
        <f t="shared" si="58"/>
        <v>4.5833356037627546E-2</v>
      </c>
      <c r="Q355" s="8">
        <f t="shared" si="59"/>
        <v>5.0818163313850001E-2</v>
      </c>
    </row>
    <row r="356" spans="1:17" x14ac:dyDescent="0.25">
      <c r="A356" s="5">
        <v>40700</v>
      </c>
      <c r="B356">
        <v>509.51</v>
      </c>
      <c r="C356">
        <v>1270.98</v>
      </c>
      <c r="D356" s="6">
        <f t="shared" si="46"/>
        <v>-2.5942494455915011E-2</v>
      </c>
      <c r="E356" s="6">
        <f t="shared" si="47"/>
        <v>-2.2443391582574468E-2</v>
      </c>
      <c r="F356" s="7">
        <f t="shared" si="48"/>
        <v>0.96833590469368458</v>
      </c>
      <c r="G356" s="7">
        <f t="shared" si="51"/>
        <v>1.0213028478756274</v>
      </c>
      <c r="H356" s="7">
        <f t="shared" si="52"/>
        <v>0.94871200192423011</v>
      </c>
      <c r="I356" s="7">
        <f t="shared" si="53"/>
        <v>1.1968132126328794</v>
      </c>
      <c r="J356" s="7">
        <f t="shared" si="49"/>
        <v>0.74847252250754015</v>
      </c>
      <c r="K356" s="7">
        <f t="shared" si="54"/>
        <v>0.57169396305317544</v>
      </c>
      <c r="L356" s="7">
        <f t="shared" si="55"/>
        <v>0.40742280858582092</v>
      </c>
      <c r="M356" s="7">
        <f t="shared" si="56"/>
        <v>0.74448623812828751</v>
      </c>
      <c r="N356" s="8">
        <f t="shared" si="50"/>
        <v>4.5977811700459857E-2</v>
      </c>
      <c r="O356" s="8">
        <f t="shared" si="57"/>
        <v>4.9947703153828932E-2</v>
      </c>
      <c r="P356" s="8">
        <f t="shared" si="58"/>
        <v>4.5833356037627546E-2</v>
      </c>
      <c r="Q356" s="8">
        <f t="shared" si="59"/>
        <v>5.0818163313850001E-2</v>
      </c>
    </row>
    <row r="357" spans="1:17" x14ac:dyDescent="0.25">
      <c r="A357" s="5">
        <v>40707</v>
      </c>
      <c r="B357">
        <v>485.02</v>
      </c>
      <c r="C357">
        <v>1271.5</v>
      </c>
      <c r="D357" s="6">
        <f t="shared" si="46"/>
        <v>-4.8065788698946066E-2</v>
      </c>
      <c r="E357" s="6">
        <f t="shared" si="47"/>
        <v>4.0913310988366369E-4</v>
      </c>
      <c r="F357" s="7">
        <f t="shared" si="48"/>
        <v>0.96609074598491429</v>
      </c>
      <c r="G357" s="7">
        <f t="shared" si="51"/>
        <v>1.0213028478756274</v>
      </c>
      <c r="H357" s="7">
        <f t="shared" si="52"/>
        <v>0.94871200192423011</v>
      </c>
      <c r="I357" s="7">
        <f t="shared" si="53"/>
        <v>1.1968132126328794</v>
      </c>
      <c r="J357" s="7">
        <f t="shared" si="49"/>
        <v>0.74444561323389757</v>
      </c>
      <c r="K357" s="7">
        <f t="shared" si="54"/>
        <v>0.57169396305317544</v>
      </c>
      <c r="L357" s="7">
        <f t="shared" si="55"/>
        <v>0.40742280858582092</v>
      </c>
      <c r="M357" s="7">
        <f t="shared" si="56"/>
        <v>0.74448623812828751</v>
      </c>
      <c r="N357" s="8">
        <f t="shared" si="50"/>
        <v>4.6004793591936641E-2</v>
      </c>
      <c r="O357" s="8">
        <f t="shared" si="57"/>
        <v>4.9947703153828932E-2</v>
      </c>
      <c r="P357" s="8">
        <f t="shared" si="58"/>
        <v>4.5833356037627546E-2</v>
      </c>
      <c r="Q357" s="8">
        <f t="shared" si="59"/>
        <v>5.0818163313850001E-2</v>
      </c>
    </row>
    <row r="358" spans="1:17" x14ac:dyDescent="0.25">
      <c r="A358" s="5">
        <v>40714</v>
      </c>
      <c r="B358">
        <v>474.88</v>
      </c>
      <c r="C358">
        <v>1268.45</v>
      </c>
      <c r="D358" s="6">
        <f t="shared" si="46"/>
        <v>-2.0906354377139058E-2</v>
      </c>
      <c r="E358" s="6">
        <f t="shared" si="47"/>
        <v>-2.3987416437278863E-3</v>
      </c>
      <c r="F358" s="7">
        <f t="shared" si="48"/>
        <v>0.96566597885576877</v>
      </c>
      <c r="G358" s="7">
        <f t="shared" si="51"/>
        <v>1.0213028478756274</v>
      </c>
      <c r="H358" s="7">
        <f t="shared" si="52"/>
        <v>0.94871200192423011</v>
      </c>
      <c r="I358" s="7">
        <f t="shared" si="53"/>
        <v>1.1968132126328794</v>
      </c>
      <c r="J358" s="7">
        <f t="shared" si="49"/>
        <v>0.74315469801844802</v>
      </c>
      <c r="K358" s="7">
        <f t="shared" si="54"/>
        <v>0.57169396305317544</v>
      </c>
      <c r="L358" s="7">
        <f t="shared" si="55"/>
        <v>0.40742280858582092</v>
      </c>
      <c r="M358" s="7">
        <f t="shared" si="56"/>
        <v>0.74448623812828751</v>
      </c>
      <c r="N358" s="8">
        <f t="shared" si="50"/>
        <v>4.5955959628876004E-2</v>
      </c>
      <c r="O358" s="8">
        <f t="shared" si="57"/>
        <v>4.9947703153828932E-2</v>
      </c>
      <c r="P358" s="8">
        <f t="shared" si="58"/>
        <v>4.5833356037627546E-2</v>
      </c>
      <c r="Q358" s="8">
        <f t="shared" si="59"/>
        <v>5.0818163313850001E-2</v>
      </c>
    </row>
    <row r="359" spans="1:17" x14ac:dyDescent="0.25">
      <c r="A359" s="5">
        <v>40721</v>
      </c>
      <c r="B359">
        <v>521.03</v>
      </c>
      <c r="C359">
        <v>1339.67</v>
      </c>
      <c r="D359" s="6">
        <f t="shared" si="46"/>
        <v>9.718244609164417E-2</v>
      </c>
      <c r="E359" s="6">
        <f t="shared" si="47"/>
        <v>5.614726634869327E-2</v>
      </c>
      <c r="F359" s="7">
        <f t="shared" si="48"/>
        <v>0.97958605352140737</v>
      </c>
      <c r="G359" s="7">
        <f t="shared" si="51"/>
        <v>1.0213028478756274</v>
      </c>
      <c r="H359" s="7">
        <f t="shared" si="52"/>
        <v>0.94871200192423011</v>
      </c>
      <c r="I359" s="7">
        <f t="shared" si="53"/>
        <v>1.1968132126328794</v>
      </c>
      <c r="J359" s="7">
        <f t="shared" si="49"/>
        <v>0.74921412305098822</v>
      </c>
      <c r="K359" s="7">
        <f t="shared" si="54"/>
        <v>0.57169396305317544</v>
      </c>
      <c r="L359" s="7">
        <f t="shared" si="55"/>
        <v>0.40742280858582092</v>
      </c>
      <c r="M359" s="7">
        <f t="shared" si="56"/>
        <v>0.74448623812828751</v>
      </c>
      <c r="N359" s="8">
        <f t="shared" si="50"/>
        <v>4.65832531487341E-2</v>
      </c>
      <c r="O359" s="8">
        <f t="shared" si="57"/>
        <v>4.9947703153828932E-2</v>
      </c>
      <c r="P359" s="8">
        <f t="shared" si="58"/>
        <v>4.5833356037627546E-2</v>
      </c>
      <c r="Q359" s="8">
        <f t="shared" si="59"/>
        <v>5.0818163313850001E-2</v>
      </c>
    </row>
    <row r="360" spans="1:17" x14ac:dyDescent="0.25">
      <c r="A360" s="5">
        <v>40729</v>
      </c>
      <c r="B360">
        <v>531.99</v>
      </c>
      <c r="C360">
        <v>1343.8</v>
      </c>
      <c r="D360" s="6">
        <f t="shared" si="46"/>
        <v>2.1035257086924108E-2</v>
      </c>
      <c r="E360" s="6">
        <f t="shared" si="47"/>
        <v>3.0828487612619693E-3</v>
      </c>
      <c r="F360" s="7">
        <f t="shared" si="48"/>
        <v>0.98098862556660626</v>
      </c>
      <c r="G360" s="7">
        <f t="shared" si="51"/>
        <v>1.0213028478756274</v>
      </c>
      <c r="H360" s="7">
        <f t="shared" si="52"/>
        <v>0.94871200192423011</v>
      </c>
      <c r="I360" s="7">
        <f t="shared" si="53"/>
        <v>1.1968132126328794</v>
      </c>
      <c r="J360" s="7">
        <f t="shared" si="49"/>
        <v>0.74917250041570316</v>
      </c>
      <c r="K360" s="7">
        <f t="shared" si="54"/>
        <v>0.57169396305317544</v>
      </c>
      <c r="L360" s="7">
        <f t="shared" si="55"/>
        <v>0.40742280858582092</v>
      </c>
      <c r="M360" s="7">
        <f t="shared" si="56"/>
        <v>0.74448623812828751</v>
      </c>
      <c r="N360" s="8">
        <f t="shared" si="50"/>
        <v>4.6607593101461453E-2</v>
      </c>
      <c r="O360" s="8">
        <f t="shared" si="57"/>
        <v>4.9947703153828932E-2</v>
      </c>
      <c r="P360" s="8">
        <f t="shared" si="58"/>
        <v>4.5833356037627546E-2</v>
      </c>
      <c r="Q360" s="8">
        <f t="shared" si="59"/>
        <v>5.0818163313850001E-2</v>
      </c>
    </row>
    <row r="361" spans="1:17" x14ac:dyDescent="0.25">
      <c r="A361" s="5">
        <v>40735</v>
      </c>
      <c r="B361">
        <v>597.62</v>
      </c>
      <c r="C361">
        <v>1316.14</v>
      </c>
      <c r="D361" s="6">
        <f t="shared" si="46"/>
        <v>0.12336698058234186</v>
      </c>
      <c r="E361" s="6">
        <f t="shared" si="47"/>
        <v>-2.0583420151808252E-2</v>
      </c>
      <c r="F361" s="7">
        <f t="shared" si="48"/>
        <v>0.97477932075755402</v>
      </c>
      <c r="G361" s="7">
        <f t="shared" si="51"/>
        <v>1.0213028478756274</v>
      </c>
      <c r="H361" s="7">
        <f t="shared" si="52"/>
        <v>0.94871200192423011</v>
      </c>
      <c r="I361" s="7">
        <f t="shared" si="53"/>
        <v>1.1968132126328794</v>
      </c>
      <c r="J361" s="7">
        <f t="shared" si="49"/>
        <v>0.73964473654770535</v>
      </c>
      <c r="K361" s="7">
        <f t="shared" si="54"/>
        <v>0.57169396305317544</v>
      </c>
      <c r="L361" s="7">
        <f t="shared" si="55"/>
        <v>0.40742280858582092</v>
      </c>
      <c r="M361" s="7">
        <f t="shared" si="56"/>
        <v>0.74448623812828751</v>
      </c>
      <c r="N361" s="8">
        <f t="shared" si="50"/>
        <v>4.6934071957313535E-2</v>
      </c>
      <c r="O361" s="8">
        <f t="shared" si="57"/>
        <v>4.9947703153828932E-2</v>
      </c>
      <c r="P361" s="8">
        <f t="shared" si="58"/>
        <v>4.5833356037627546E-2</v>
      </c>
      <c r="Q361" s="8">
        <f t="shared" si="59"/>
        <v>5.0818163313850001E-2</v>
      </c>
    </row>
    <row r="362" spans="1:17" x14ac:dyDescent="0.25">
      <c r="A362" s="5">
        <v>40742</v>
      </c>
      <c r="B362">
        <v>618.23</v>
      </c>
      <c r="C362">
        <v>1345.02</v>
      </c>
      <c r="D362" s="6">
        <f t="shared" si="46"/>
        <v>3.4486797630601362E-2</v>
      </c>
      <c r="E362" s="6">
        <f t="shared" si="47"/>
        <v>2.1942954396948489E-2</v>
      </c>
      <c r="F362" s="7">
        <f t="shared" si="48"/>
        <v>0.9763803721495814</v>
      </c>
      <c r="G362" s="7">
        <f t="shared" si="51"/>
        <v>1.0213028478756274</v>
      </c>
      <c r="H362" s="7">
        <f t="shared" si="52"/>
        <v>0.94871200192423011</v>
      </c>
      <c r="I362" s="7">
        <f t="shared" si="53"/>
        <v>1.1968132126328794</v>
      </c>
      <c r="J362" s="7">
        <f t="shared" si="49"/>
        <v>0.74097404619216989</v>
      </c>
      <c r="K362" s="7">
        <f t="shared" si="54"/>
        <v>0.57169396305317544</v>
      </c>
      <c r="L362" s="7">
        <f t="shared" si="55"/>
        <v>0.40742280858582092</v>
      </c>
      <c r="M362" s="7">
        <f t="shared" si="56"/>
        <v>0.74448623812828751</v>
      </c>
      <c r="N362" s="8">
        <f t="shared" si="50"/>
        <v>4.69775093601391E-2</v>
      </c>
      <c r="O362" s="8">
        <f t="shared" si="57"/>
        <v>4.9947703153828932E-2</v>
      </c>
      <c r="P362" s="8">
        <f t="shared" si="58"/>
        <v>4.5833356037627546E-2</v>
      </c>
      <c r="Q362" s="8">
        <f t="shared" si="59"/>
        <v>5.0818163313850001E-2</v>
      </c>
    </row>
    <row r="363" spans="1:17" x14ac:dyDescent="0.25">
      <c r="A363" s="5">
        <v>40749</v>
      </c>
      <c r="B363">
        <v>603.69000000000005</v>
      </c>
      <c r="C363">
        <v>1292.28</v>
      </c>
      <c r="D363" s="6">
        <f t="shared" si="46"/>
        <v>-2.3518755155848114E-2</v>
      </c>
      <c r="E363" s="6">
        <f t="shared" si="47"/>
        <v>-3.9211312842931667E-2</v>
      </c>
      <c r="F363" s="7">
        <f t="shared" si="48"/>
        <v>0.97404697631307546</v>
      </c>
      <c r="G363" s="7">
        <f t="shared" si="51"/>
        <v>1.0213028478756274</v>
      </c>
      <c r="H363" s="7">
        <f t="shared" si="52"/>
        <v>0.94871200192423011</v>
      </c>
      <c r="I363" s="7">
        <f t="shared" si="53"/>
        <v>1.1968132126328794</v>
      </c>
      <c r="J363" s="7">
        <f t="shared" si="49"/>
        <v>0.74435063016529779</v>
      </c>
      <c r="K363" s="7">
        <f t="shared" si="54"/>
        <v>0.57169396305317544</v>
      </c>
      <c r="L363" s="7">
        <f t="shared" si="55"/>
        <v>0.40742280858582092</v>
      </c>
      <c r="M363" s="7">
        <f t="shared" si="56"/>
        <v>0.74448623812828751</v>
      </c>
      <c r="N363" s="8">
        <f t="shared" si="50"/>
        <v>4.6841830827936692E-2</v>
      </c>
      <c r="O363" s="8">
        <f t="shared" si="57"/>
        <v>4.9947703153828932E-2</v>
      </c>
      <c r="P363" s="8">
        <f t="shared" si="58"/>
        <v>4.5833356037627546E-2</v>
      </c>
      <c r="Q363" s="8">
        <f t="shared" si="59"/>
        <v>5.0818163313850001E-2</v>
      </c>
    </row>
    <row r="364" spans="1:17" x14ac:dyDescent="0.25">
      <c r="A364" s="5">
        <v>40756</v>
      </c>
      <c r="B364">
        <v>579.04</v>
      </c>
      <c r="C364">
        <v>1199.3800000000001</v>
      </c>
      <c r="D364" s="6">
        <f t="shared" si="46"/>
        <v>-4.0832215209793299E-2</v>
      </c>
      <c r="E364" s="6">
        <f t="shared" si="47"/>
        <v>-7.1888445228588171E-2</v>
      </c>
      <c r="F364" s="7">
        <f t="shared" si="48"/>
        <v>0.96051054008984849</v>
      </c>
      <c r="G364" s="7">
        <f t="shared" si="51"/>
        <v>1.0213028478756274</v>
      </c>
      <c r="H364" s="7">
        <f t="shared" si="52"/>
        <v>0.94871200192423011</v>
      </c>
      <c r="I364" s="7">
        <f t="shared" si="53"/>
        <v>1.1968132126328794</v>
      </c>
      <c r="J364" s="7">
        <f t="shared" si="49"/>
        <v>0.74346063859100631</v>
      </c>
      <c r="K364" s="7">
        <f t="shared" si="54"/>
        <v>0.57169396305317544</v>
      </c>
      <c r="L364" s="7">
        <f t="shared" si="55"/>
        <v>0.40742280858582092</v>
      </c>
      <c r="M364" s="7">
        <f t="shared" si="56"/>
        <v>0.74448623812828751</v>
      </c>
      <c r="N364" s="8">
        <f t="shared" si="50"/>
        <v>4.675812226465989E-2</v>
      </c>
      <c r="O364" s="8">
        <f t="shared" si="57"/>
        <v>4.9947703153828932E-2</v>
      </c>
      <c r="P364" s="8">
        <f t="shared" si="58"/>
        <v>4.5833356037627546E-2</v>
      </c>
      <c r="Q364" s="8">
        <f t="shared" si="59"/>
        <v>5.0818163313850001E-2</v>
      </c>
    </row>
    <row r="365" spans="1:17" x14ac:dyDescent="0.25">
      <c r="A365" s="5">
        <v>40763</v>
      </c>
      <c r="B365">
        <v>563.77</v>
      </c>
      <c r="C365">
        <v>1178.81</v>
      </c>
      <c r="D365" s="6">
        <f t="shared" si="46"/>
        <v>-2.6371235147830907E-2</v>
      </c>
      <c r="E365" s="6">
        <f t="shared" si="47"/>
        <v>-1.7150527772682667E-2</v>
      </c>
      <c r="F365" s="7">
        <f t="shared" si="48"/>
        <v>0.96131885740135214</v>
      </c>
      <c r="G365" s="7">
        <f t="shared" si="51"/>
        <v>1.0213028478756274</v>
      </c>
      <c r="H365" s="7">
        <f t="shared" si="52"/>
        <v>0.94871200192423011</v>
      </c>
      <c r="I365" s="7">
        <f t="shared" si="53"/>
        <v>1.1968132126328794</v>
      </c>
      <c r="J365" s="7">
        <f t="shared" si="49"/>
        <v>0.74464873770584739</v>
      </c>
      <c r="K365" s="7">
        <f t="shared" si="54"/>
        <v>0.57169396305317544</v>
      </c>
      <c r="L365" s="7">
        <f t="shared" si="55"/>
        <v>0.40742280858582092</v>
      </c>
      <c r="M365" s="7">
        <f t="shared" si="56"/>
        <v>0.74448623812828751</v>
      </c>
      <c r="N365" s="8">
        <f t="shared" si="50"/>
        <v>4.6756645244922582E-2</v>
      </c>
      <c r="O365" s="8">
        <f t="shared" si="57"/>
        <v>4.9947703153828932E-2</v>
      </c>
      <c r="P365" s="8">
        <f t="shared" si="58"/>
        <v>4.5833356037627546E-2</v>
      </c>
      <c r="Q365" s="8">
        <f t="shared" si="59"/>
        <v>5.0818163313850001E-2</v>
      </c>
    </row>
    <row r="366" spans="1:17" x14ac:dyDescent="0.25">
      <c r="A366" s="5">
        <v>40770</v>
      </c>
      <c r="B366">
        <v>490.92</v>
      </c>
      <c r="C366">
        <v>1123.53</v>
      </c>
      <c r="D366" s="6">
        <f t="shared" si="46"/>
        <v>-0.12921936250598642</v>
      </c>
      <c r="E366" s="6">
        <f t="shared" si="47"/>
        <v>-4.6894749790042489E-2</v>
      </c>
      <c r="F366" s="7">
        <f t="shared" si="48"/>
        <v>0.97993155332369353</v>
      </c>
      <c r="G366" s="7">
        <f t="shared" si="51"/>
        <v>1.0213028478756274</v>
      </c>
      <c r="H366" s="7">
        <f t="shared" si="52"/>
        <v>0.94871200192423011</v>
      </c>
      <c r="I366" s="7">
        <f t="shared" si="53"/>
        <v>1.1968132126328794</v>
      </c>
      <c r="J366" s="7">
        <f t="shared" si="49"/>
        <v>0.74632081654029281</v>
      </c>
      <c r="K366" s="7">
        <f t="shared" si="54"/>
        <v>0.57169396305317544</v>
      </c>
      <c r="L366" s="7">
        <f t="shared" si="55"/>
        <v>0.40742280858582092</v>
      </c>
      <c r="M366" s="7">
        <f t="shared" si="56"/>
        <v>0.74448623812828751</v>
      </c>
      <c r="N366" s="8">
        <f t="shared" si="50"/>
        <v>4.7806682247452777E-2</v>
      </c>
      <c r="O366" s="8">
        <f t="shared" si="57"/>
        <v>4.9947703153828932E-2</v>
      </c>
      <c r="P366" s="8">
        <f t="shared" si="58"/>
        <v>4.5833356037627546E-2</v>
      </c>
      <c r="Q366" s="8">
        <f t="shared" si="59"/>
        <v>5.0818163313850001E-2</v>
      </c>
    </row>
    <row r="367" spans="1:17" x14ac:dyDescent="0.25">
      <c r="A367" s="5">
        <v>40777</v>
      </c>
      <c r="B367">
        <v>526.86</v>
      </c>
      <c r="C367">
        <v>1176.8</v>
      </c>
      <c r="D367" s="6">
        <f t="shared" si="46"/>
        <v>7.3209484233683675E-2</v>
      </c>
      <c r="E367" s="6">
        <f t="shared" si="47"/>
        <v>4.7413064181641706E-2</v>
      </c>
      <c r="F367" s="7">
        <f t="shared" si="48"/>
        <v>0.98391053527495409</v>
      </c>
      <c r="G367" s="7">
        <f t="shared" si="51"/>
        <v>1.0213028478756274</v>
      </c>
      <c r="H367" s="7">
        <f t="shared" si="52"/>
        <v>0.94871200192423011</v>
      </c>
      <c r="I367" s="7">
        <f t="shared" si="53"/>
        <v>1.1968132126328794</v>
      </c>
      <c r="J367" s="7">
        <f t="shared" si="49"/>
        <v>0.75137052022605788</v>
      </c>
      <c r="K367" s="7">
        <f t="shared" si="54"/>
        <v>0.57169396305317544</v>
      </c>
      <c r="L367" s="7">
        <f t="shared" si="55"/>
        <v>0.40742280858582092</v>
      </c>
      <c r="M367" s="7">
        <f t="shared" si="56"/>
        <v>0.74448623812828751</v>
      </c>
      <c r="N367" s="8">
        <f t="shared" si="50"/>
        <v>4.7931187152446798E-2</v>
      </c>
      <c r="O367" s="8">
        <f t="shared" si="57"/>
        <v>4.9947703153828932E-2</v>
      </c>
      <c r="P367" s="8">
        <f t="shared" si="58"/>
        <v>4.5833356037627546E-2</v>
      </c>
      <c r="Q367" s="8">
        <f t="shared" si="59"/>
        <v>5.0818163313850001E-2</v>
      </c>
    </row>
    <row r="368" spans="1:17" x14ac:dyDescent="0.25">
      <c r="A368" s="5">
        <v>40784</v>
      </c>
      <c r="B368">
        <v>524.84</v>
      </c>
      <c r="C368">
        <v>1173.97</v>
      </c>
      <c r="D368" s="6">
        <f t="shared" si="46"/>
        <v>-3.8340356071820958E-3</v>
      </c>
      <c r="E368" s="6">
        <f t="shared" si="47"/>
        <v>-2.4048266485383607E-3</v>
      </c>
      <c r="F368" s="7">
        <f t="shared" si="48"/>
        <v>0.98213322674274195</v>
      </c>
      <c r="G368" s="7">
        <f t="shared" si="51"/>
        <v>1.0213028478756274</v>
      </c>
      <c r="H368" s="7">
        <f t="shared" si="52"/>
        <v>0.94871200192423011</v>
      </c>
      <c r="I368" s="7">
        <f t="shared" si="53"/>
        <v>1.1968132126328794</v>
      </c>
      <c r="J368" s="7">
        <f t="shared" si="49"/>
        <v>0.75012631169305943</v>
      </c>
      <c r="K368" s="7">
        <f t="shared" si="54"/>
        <v>0.57169396305317544</v>
      </c>
      <c r="L368" s="7">
        <f t="shared" si="55"/>
        <v>0.40742280858582092</v>
      </c>
      <c r="M368" s="7">
        <f t="shared" si="56"/>
        <v>0.74448623812828751</v>
      </c>
      <c r="N368" s="8">
        <f t="shared" si="50"/>
        <v>4.7808615045259871E-2</v>
      </c>
      <c r="O368" s="8">
        <f t="shared" si="57"/>
        <v>4.9947703153828932E-2</v>
      </c>
      <c r="P368" s="8">
        <f t="shared" si="58"/>
        <v>4.5833356037627546E-2</v>
      </c>
      <c r="Q368" s="8">
        <f t="shared" si="59"/>
        <v>5.0818163313850001E-2</v>
      </c>
    </row>
    <row r="369" spans="1:17" x14ac:dyDescent="0.25">
      <c r="A369" s="5">
        <v>40792</v>
      </c>
      <c r="B369">
        <v>524.85</v>
      </c>
      <c r="C369">
        <v>1154.23</v>
      </c>
      <c r="D369" s="6">
        <f t="shared" si="46"/>
        <v>1.9053425805992674E-5</v>
      </c>
      <c r="E369" s="6">
        <f t="shared" si="47"/>
        <v>-1.6814739729294592E-2</v>
      </c>
      <c r="F369" s="7">
        <f t="shared" si="48"/>
        <v>0.98179954246909273</v>
      </c>
      <c r="G369" s="7">
        <f t="shared" si="51"/>
        <v>1.0213028478756274</v>
      </c>
      <c r="H369" s="7">
        <f t="shared" si="52"/>
        <v>0.94871200192423011</v>
      </c>
      <c r="I369" s="7">
        <f t="shared" si="53"/>
        <v>1.1968132126328794</v>
      </c>
      <c r="J369" s="7">
        <f t="shared" si="49"/>
        <v>0.75060140386211671</v>
      </c>
      <c r="K369" s="7">
        <f t="shared" si="54"/>
        <v>0.57169396305317544</v>
      </c>
      <c r="L369" s="7">
        <f t="shared" si="55"/>
        <v>0.40742280858582092</v>
      </c>
      <c r="M369" s="7">
        <f t="shared" si="56"/>
        <v>0.74448623812828751</v>
      </c>
      <c r="N369" s="8">
        <f t="shared" si="50"/>
        <v>4.7789347802440416E-2</v>
      </c>
      <c r="O369" s="8">
        <f t="shared" si="57"/>
        <v>4.9947703153828932E-2</v>
      </c>
      <c r="P369" s="8">
        <f t="shared" si="58"/>
        <v>4.5833356037627546E-2</v>
      </c>
      <c r="Q369" s="8">
        <f t="shared" si="59"/>
        <v>5.0818163313850001E-2</v>
      </c>
    </row>
    <row r="370" spans="1:17" x14ac:dyDescent="0.25">
      <c r="A370" s="5">
        <v>40798</v>
      </c>
      <c r="B370">
        <v>546.67999999999995</v>
      </c>
      <c r="C370">
        <v>1216.01</v>
      </c>
      <c r="D370" s="6">
        <f t="shared" si="46"/>
        <v>4.1592836048394588E-2</v>
      </c>
      <c r="E370" s="6">
        <f t="shared" si="47"/>
        <v>5.3524860729663892E-2</v>
      </c>
      <c r="F370" s="7">
        <f t="shared" si="48"/>
        <v>0.97827906476991866</v>
      </c>
      <c r="G370" s="7">
        <f t="shared" si="51"/>
        <v>1.0213028478756274</v>
      </c>
      <c r="H370" s="7">
        <f t="shared" si="52"/>
        <v>0.94871200192423011</v>
      </c>
      <c r="I370" s="7">
        <f t="shared" si="53"/>
        <v>1.1968132126328794</v>
      </c>
      <c r="J370" s="7">
        <f t="shared" si="49"/>
        <v>0.75194457308851315</v>
      </c>
      <c r="K370" s="7">
        <f t="shared" si="54"/>
        <v>0.57169396305317544</v>
      </c>
      <c r="L370" s="7">
        <f t="shared" si="55"/>
        <v>0.40742280858582092</v>
      </c>
      <c r="M370" s="7">
        <f t="shared" si="56"/>
        <v>0.74448623812828751</v>
      </c>
      <c r="N370" s="8">
        <f t="shared" si="50"/>
        <v>4.7854243282606394E-2</v>
      </c>
      <c r="O370" s="8">
        <f t="shared" si="57"/>
        <v>4.9947703153828932E-2</v>
      </c>
      <c r="P370" s="8">
        <f t="shared" si="58"/>
        <v>4.5833356037627546E-2</v>
      </c>
      <c r="Q370" s="8">
        <f t="shared" si="59"/>
        <v>5.0818163313850001E-2</v>
      </c>
    </row>
    <row r="371" spans="1:17" x14ac:dyDescent="0.25">
      <c r="A371" s="5">
        <v>40805</v>
      </c>
      <c r="B371">
        <v>525.51</v>
      </c>
      <c r="C371">
        <v>1136.43</v>
      </c>
      <c r="D371" s="6">
        <f t="shared" si="46"/>
        <v>-3.872466525206697E-2</v>
      </c>
      <c r="E371" s="6">
        <f t="shared" si="47"/>
        <v>-6.5443540760355523E-2</v>
      </c>
      <c r="F371" s="7">
        <f t="shared" si="48"/>
        <v>0.96959740465930755</v>
      </c>
      <c r="G371" s="7">
        <f t="shared" si="51"/>
        <v>1.0213028478756274</v>
      </c>
      <c r="H371" s="7">
        <f t="shared" si="52"/>
        <v>0.94871200192423011</v>
      </c>
      <c r="I371" s="7">
        <f t="shared" si="53"/>
        <v>1.1968132126328794</v>
      </c>
      <c r="J371" s="7">
        <f t="shared" si="49"/>
        <v>0.75103663467716064</v>
      </c>
      <c r="K371" s="7">
        <f t="shared" si="54"/>
        <v>0.57169396305317544</v>
      </c>
      <c r="L371" s="7">
        <f t="shared" si="55"/>
        <v>0.40742280858582092</v>
      </c>
      <c r="M371" s="7">
        <f t="shared" si="56"/>
        <v>0.74448623812828751</v>
      </c>
      <c r="N371" s="8">
        <f t="shared" si="50"/>
        <v>4.7845276648685334E-2</v>
      </c>
      <c r="O371" s="8">
        <f t="shared" si="57"/>
        <v>4.9947703153828932E-2</v>
      </c>
      <c r="P371" s="8">
        <f t="shared" si="58"/>
        <v>4.5833356037627546E-2</v>
      </c>
      <c r="Q371" s="8">
        <f t="shared" si="59"/>
        <v>5.0818163313850001E-2</v>
      </c>
    </row>
    <row r="372" spans="1:17" x14ac:dyDescent="0.25">
      <c r="A372" s="5">
        <v>40812</v>
      </c>
      <c r="B372">
        <v>515.04</v>
      </c>
      <c r="C372">
        <v>1131.42</v>
      </c>
      <c r="D372" s="6">
        <f t="shared" si="46"/>
        <v>-1.9923502882913779E-2</v>
      </c>
      <c r="E372" s="6">
        <f t="shared" si="47"/>
        <v>-4.4085425411155565E-3</v>
      </c>
      <c r="F372" s="7">
        <f t="shared" si="48"/>
        <v>0.96386676026573381</v>
      </c>
      <c r="G372" s="7">
        <f t="shared" si="51"/>
        <v>1.0213028478756274</v>
      </c>
      <c r="H372" s="7">
        <f t="shared" si="52"/>
        <v>0.94871200192423011</v>
      </c>
      <c r="I372" s="7">
        <f t="shared" si="53"/>
        <v>1.1968132126328794</v>
      </c>
      <c r="J372" s="7">
        <f t="shared" si="49"/>
        <v>0.74191461802029324</v>
      </c>
      <c r="K372" s="7">
        <f t="shared" si="54"/>
        <v>0.57169396305317544</v>
      </c>
      <c r="L372" s="7">
        <f t="shared" si="55"/>
        <v>0.40742280858582092</v>
      </c>
      <c r="M372" s="7">
        <f t="shared" si="56"/>
        <v>0.74448623812828751</v>
      </c>
      <c r="N372" s="8">
        <f t="shared" si="50"/>
        <v>4.7134757411910193E-2</v>
      </c>
      <c r="O372" s="8">
        <f t="shared" si="57"/>
        <v>4.9947703153828932E-2</v>
      </c>
      <c r="P372" s="8">
        <f t="shared" si="58"/>
        <v>4.5833356037627546E-2</v>
      </c>
      <c r="Q372" s="8">
        <f t="shared" si="59"/>
        <v>5.0818163313850001E-2</v>
      </c>
    </row>
    <row r="373" spans="1:17" x14ac:dyDescent="0.25">
      <c r="A373" s="5">
        <v>40819</v>
      </c>
      <c r="B373">
        <v>515.12</v>
      </c>
      <c r="C373">
        <v>1155.46</v>
      </c>
      <c r="D373" s="6">
        <f t="shared" si="46"/>
        <v>1.5532774153470541E-4</v>
      </c>
      <c r="E373" s="6">
        <f t="shared" si="47"/>
        <v>2.1247635714412016E-2</v>
      </c>
      <c r="F373" s="7">
        <f t="shared" si="48"/>
        <v>0.99490122811186921</v>
      </c>
      <c r="G373" s="7">
        <f t="shared" si="51"/>
        <v>1.0213028478756274</v>
      </c>
      <c r="H373" s="7">
        <f t="shared" si="52"/>
        <v>0.94871200192423011</v>
      </c>
      <c r="I373" s="7">
        <f t="shared" si="53"/>
        <v>1.1968132126328794</v>
      </c>
      <c r="J373" s="7">
        <f t="shared" si="49"/>
        <v>0.72340503102735154</v>
      </c>
      <c r="K373" s="7">
        <f t="shared" si="54"/>
        <v>0.57169396305317544</v>
      </c>
      <c r="L373" s="7">
        <f t="shared" si="55"/>
        <v>0.40742280858582092</v>
      </c>
      <c r="M373" s="7">
        <f t="shared" si="56"/>
        <v>0.74448623812828751</v>
      </c>
      <c r="N373" s="8">
        <f t="shared" si="50"/>
        <v>4.5676835009866364E-2</v>
      </c>
      <c r="O373" s="8">
        <f t="shared" si="57"/>
        <v>4.9947703153828932E-2</v>
      </c>
      <c r="P373" s="8">
        <f t="shared" si="58"/>
        <v>4.5833356037627546E-2</v>
      </c>
      <c r="Q373" s="8">
        <f t="shared" si="59"/>
        <v>5.0818163313850001E-2</v>
      </c>
    </row>
    <row r="374" spans="1:17" x14ac:dyDescent="0.25">
      <c r="A374" s="5">
        <v>40826</v>
      </c>
      <c r="B374">
        <v>591.67999999999995</v>
      </c>
      <c r="C374">
        <v>1224.58</v>
      </c>
      <c r="D374" s="6">
        <f t="shared" si="46"/>
        <v>0.14862556297561724</v>
      </c>
      <c r="E374" s="6">
        <f t="shared" si="47"/>
        <v>5.9820331296626339E-2</v>
      </c>
      <c r="F374" s="7">
        <f t="shared" si="48"/>
        <v>1.005090470975166</v>
      </c>
      <c r="G374" s="7">
        <f t="shared" si="51"/>
        <v>1.0213028478756274</v>
      </c>
      <c r="H374" s="7">
        <f t="shared" si="52"/>
        <v>0.94871200192423011</v>
      </c>
      <c r="I374" s="7">
        <f t="shared" si="53"/>
        <v>1.1968132126328794</v>
      </c>
      <c r="J374" s="7">
        <f t="shared" si="49"/>
        <v>0.72605828770428882</v>
      </c>
      <c r="K374" s="7">
        <f t="shared" si="54"/>
        <v>0.57169396305317544</v>
      </c>
      <c r="L374" s="7">
        <f t="shared" si="55"/>
        <v>0.40742280858582092</v>
      </c>
      <c r="M374" s="7">
        <f t="shared" si="56"/>
        <v>0.74448623812828751</v>
      </c>
      <c r="N374" s="8">
        <f t="shared" si="50"/>
        <v>4.6163315153242804E-2</v>
      </c>
      <c r="O374" s="8">
        <f t="shared" si="57"/>
        <v>4.9947703153828932E-2</v>
      </c>
      <c r="P374" s="8">
        <f t="shared" si="58"/>
        <v>4.5833356037627546E-2</v>
      </c>
      <c r="Q374" s="8">
        <f t="shared" si="59"/>
        <v>5.0818163313850001E-2</v>
      </c>
    </row>
    <row r="375" spans="1:17" x14ac:dyDescent="0.25">
      <c r="A375" s="5">
        <v>40833</v>
      </c>
      <c r="B375">
        <v>590.49</v>
      </c>
      <c r="C375">
        <v>1238.25</v>
      </c>
      <c r="D375" s="6">
        <f t="shared" si="46"/>
        <v>-2.0112222823146508E-3</v>
      </c>
      <c r="E375" s="6">
        <f t="shared" si="47"/>
        <v>1.1163010991523725E-2</v>
      </c>
      <c r="F375" s="7">
        <f t="shared" si="48"/>
        <v>0.99477121721017003</v>
      </c>
      <c r="G375" s="7">
        <f t="shared" si="51"/>
        <v>1.0213028478756274</v>
      </c>
      <c r="H375" s="7">
        <f t="shared" si="52"/>
        <v>0.94871200192423011</v>
      </c>
      <c r="I375" s="7">
        <f t="shared" si="53"/>
        <v>1.1968132126328794</v>
      </c>
      <c r="J375" s="7">
        <f t="shared" si="49"/>
        <v>0.71792048441520417</v>
      </c>
      <c r="K375" s="7">
        <f t="shared" si="54"/>
        <v>0.57169396305317544</v>
      </c>
      <c r="L375" s="7">
        <f t="shared" si="55"/>
        <v>0.40742280858582092</v>
      </c>
      <c r="M375" s="7">
        <f t="shared" si="56"/>
        <v>0.74448623812828751</v>
      </c>
      <c r="N375" s="8">
        <f t="shared" si="50"/>
        <v>4.5554284914568206E-2</v>
      </c>
      <c r="O375" s="8">
        <f t="shared" si="57"/>
        <v>4.9947703153828932E-2</v>
      </c>
      <c r="P375" s="8">
        <f t="shared" si="58"/>
        <v>4.5833356037627546E-2</v>
      </c>
      <c r="Q375" s="8">
        <f t="shared" si="59"/>
        <v>5.0818163313850001E-2</v>
      </c>
    </row>
    <row r="376" spans="1:17" x14ac:dyDescent="0.25">
      <c r="A376" s="5">
        <v>40840</v>
      </c>
      <c r="B376">
        <v>600.14</v>
      </c>
      <c r="C376">
        <v>1285.0899999999999</v>
      </c>
      <c r="D376" s="6">
        <f t="shared" si="46"/>
        <v>1.6342359735135092E-2</v>
      </c>
      <c r="E376" s="6">
        <f t="shared" si="47"/>
        <v>3.7827579244902099E-2</v>
      </c>
      <c r="F376" s="7">
        <f t="shared" si="48"/>
        <v>1.0199064070576682</v>
      </c>
      <c r="G376" s="7">
        <f t="shared" si="51"/>
        <v>1.0213028478756274</v>
      </c>
      <c r="H376" s="7">
        <f t="shared" si="52"/>
        <v>0.94871200192423011</v>
      </c>
      <c r="I376" s="7">
        <f t="shared" si="53"/>
        <v>1.1968132126328794</v>
      </c>
      <c r="J376" s="7">
        <f t="shared" si="49"/>
        <v>0.71879247741750918</v>
      </c>
      <c r="K376" s="7">
        <f t="shared" si="54"/>
        <v>0.57169396305317544</v>
      </c>
      <c r="L376" s="7">
        <f t="shared" si="55"/>
        <v>0.40742280858582092</v>
      </c>
      <c r="M376" s="7">
        <f t="shared" si="56"/>
        <v>0.74448623812828751</v>
      </c>
      <c r="N376" s="8">
        <f t="shared" si="50"/>
        <v>4.5353266951822124E-2</v>
      </c>
      <c r="O376" s="8">
        <f t="shared" si="57"/>
        <v>4.9947703153828932E-2</v>
      </c>
      <c r="P376" s="8">
        <f t="shared" si="58"/>
        <v>4.5833356037627546E-2</v>
      </c>
      <c r="Q376" s="8">
        <f t="shared" si="59"/>
        <v>5.0818163313850001E-2</v>
      </c>
    </row>
    <row r="377" spans="1:17" x14ac:dyDescent="0.25">
      <c r="A377" s="5">
        <v>40847</v>
      </c>
      <c r="B377">
        <v>596.14</v>
      </c>
      <c r="C377">
        <v>1253.23</v>
      </c>
      <c r="D377" s="6">
        <f t="shared" si="46"/>
        <v>-6.6651114739894046E-3</v>
      </c>
      <c r="E377" s="6">
        <f t="shared" si="47"/>
        <v>-2.479203791174156E-2</v>
      </c>
      <c r="F377" s="7">
        <f t="shared" si="48"/>
        <v>1.0064025711591698</v>
      </c>
      <c r="G377" s="7">
        <f t="shared" si="51"/>
        <v>1.0213028478756274</v>
      </c>
      <c r="H377" s="7">
        <f t="shared" si="52"/>
        <v>0.94871200192423011</v>
      </c>
      <c r="I377" s="7">
        <f t="shared" si="53"/>
        <v>1.1968132126328794</v>
      </c>
      <c r="J377" s="7">
        <f t="shared" si="49"/>
        <v>0.71469575447462652</v>
      </c>
      <c r="K377" s="7">
        <f t="shared" si="54"/>
        <v>0.57169396305317544</v>
      </c>
      <c r="L377" s="7">
        <f t="shared" si="55"/>
        <v>0.40742280858582092</v>
      </c>
      <c r="M377" s="7">
        <f t="shared" si="56"/>
        <v>0.74448623812828751</v>
      </c>
      <c r="N377" s="8">
        <f t="shared" si="50"/>
        <v>4.4871874570994952E-2</v>
      </c>
      <c r="O377" s="8">
        <f t="shared" si="57"/>
        <v>4.9947703153828932E-2</v>
      </c>
      <c r="P377" s="8">
        <f t="shared" si="58"/>
        <v>4.5833356037627546E-2</v>
      </c>
      <c r="Q377" s="8">
        <f t="shared" si="59"/>
        <v>5.0818163313850001E-2</v>
      </c>
    </row>
    <row r="378" spans="1:17" x14ac:dyDescent="0.25">
      <c r="A378" s="5">
        <v>40854</v>
      </c>
      <c r="B378">
        <v>608.35</v>
      </c>
      <c r="C378">
        <v>1263.8499999999999</v>
      </c>
      <c r="D378" s="6">
        <f t="shared" si="46"/>
        <v>2.0481766028114246E-2</v>
      </c>
      <c r="E378" s="6">
        <f t="shared" si="47"/>
        <v>8.4741029180597227E-3</v>
      </c>
      <c r="F378" s="7">
        <f t="shared" si="48"/>
        <v>1.0051739715885373</v>
      </c>
      <c r="G378" s="7">
        <f t="shared" si="51"/>
        <v>1.0213028478756274</v>
      </c>
      <c r="H378" s="7">
        <f t="shared" si="52"/>
        <v>0.94871200192423011</v>
      </c>
      <c r="I378" s="7">
        <f t="shared" si="53"/>
        <v>1.1968132126328794</v>
      </c>
      <c r="J378" s="7">
        <f t="shared" si="49"/>
        <v>0.70953046282471333</v>
      </c>
      <c r="K378" s="7">
        <f t="shared" si="54"/>
        <v>0.57169396305317544</v>
      </c>
      <c r="L378" s="7">
        <f t="shared" si="55"/>
        <v>0.40742280858582092</v>
      </c>
      <c r="M378" s="7">
        <f t="shared" si="56"/>
        <v>0.74448623812828751</v>
      </c>
      <c r="N378" s="8">
        <f t="shared" si="50"/>
        <v>4.4549377184165725E-2</v>
      </c>
      <c r="O378" s="8">
        <f t="shared" si="57"/>
        <v>4.9947703153828932E-2</v>
      </c>
      <c r="P378" s="8">
        <f t="shared" si="58"/>
        <v>4.5833356037627546E-2</v>
      </c>
      <c r="Q378" s="8">
        <f t="shared" si="59"/>
        <v>5.0818163313850001E-2</v>
      </c>
    </row>
    <row r="379" spans="1:17" x14ac:dyDescent="0.25">
      <c r="A379" s="5">
        <v>40861</v>
      </c>
      <c r="B379">
        <v>594.88</v>
      </c>
      <c r="C379">
        <v>1215.6500000000001</v>
      </c>
      <c r="D379" s="6">
        <f t="shared" si="46"/>
        <v>-2.2141859127147279E-2</v>
      </c>
      <c r="E379" s="6">
        <f t="shared" si="47"/>
        <v>-3.8137437195869595E-2</v>
      </c>
      <c r="F379" s="7">
        <f t="shared" si="48"/>
        <v>0.95933816650345904</v>
      </c>
      <c r="G379" s="7">
        <f t="shared" si="51"/>
        <v>1.0213028478756274</v>
      </c>
      <c r="H379" s="7">
        <f t="shared" si="52"/>
        <v>0.94871200192423011</v>
      </c>
      <c r="I379" s="7">
        <f t="shared" si="53"/>
        <v>1.1968132126328794</v>
      </c>
      <c r="J379" s="7">
        <f t="shared" si="49"/>
        <v>0.69224169428082127</v>
      </c>
      <c r="K379" s="7">
        <f t="shared" si="54"/>
        <v>0.57169396305317544</v>
      </c>
      <c r="L379" s="7">
        <f t="shared" si="55"/>
        <v>0.40742280858582092</v>
      </c>
      <c r="M379" s="7">
        <f t="shared" si="56"/>
        <v>0.74448623812828751</v>
      </c>
      <c r="N379" s="8">
        <f t="shared" si="50"/>
        <v>4.2744295872112564E-2</v>
      </c>
      <c r="O379" s="8">
        <f t="shared" si="57"/>
        <v>4.9947703153828932E-2</v>
      </c>
      <c r="P379" s="8">
        <f t="shared" si="58"/>
        <v>4.5833356037627546E-2</v>
      </c>
      <c r="Q379" s="8">
        <f t="shared" si="59"/>
        <v>5.0818163313850001E-2</v>
      </c>
    </row>
    <row r="380" spans="1:17" x14ac:dyDescent="0.25">
      <c r="A380" s="5">
        <v>40868</v>
      </c>
      <c r="B380">
        <v>563</v>
      </c>
      <c r="C380">
        <v>1158.67</v>
      </c>
      <c r="D380" s="6">
        <f t="shared" si="46"/>
        <v>-5.3590640129101641E-2</v>
      </c>
      <c r="E380" s="6">
        <f t="shared" si="47"/>
        <v>-4.6872043762596127E-2</v>
      </c>
      <c r="F380" s="7">
        <f t="shared" si="48"/>
        <v>0.96540228475842005</v>
      </c>
      <c r="G380" s="7">
        <f t="shared" si="51"/>
        <v>1.0213028478756274</v>
      </c>
      <c r="H380" s="7">
        <f t="shared" si="52"/>
        <v>0.94871200192423011</v>
      </c>
      <c r="I380" s="7">
        <f t="shared" si="53"/>
        <v>1.1968132126328794</v>
      </c>
      <c r="J380" s="7">
        <f t="shared" si="49"/>
        <v>0.67987721284133684</v>
      </c>
      <c r="K380" s="7">
        <f t="shared" si="54"/>
        <v>0.57169396305317544</v>
      </c>
      <c r="L380" s="7">
        <f t="shared" si="55"/>
        <v>0.40742280858582092</v>
      </c>
      <c r="M380" s="7">
        <f t="shared" si="56"/>
        <v>0.74448623812828751</v>
      </c>
      <c r="N380" s="8">
        <f t="shared" si="50"/>
        <v>4.2082752526724165E-2</v>
      </c>
      <c r="O380" s="8">
        <f t="shared" si="57"/>
        <v>4.9947703153828932E-2</v>
      </c>
      <c r="P380" s="8">
        <f t="shared" si="58"/>
        <v>4.5833356037627546E-2</v>
      </c>
      <c r="Q380" s="8">
        <f t="shared" si="59"/>
        <v>5.0818163313850001E-2</v>
      </c>
    </row>
    <row r="381" spans="1:17" x14ac:dyDescent="0.25">
      <c r="A381" s="5">
        <v>40875</v>
      </c>
      <c r="B381">
        <v>620.36</v>
      </c>
      <c r="C381">
        <v>1244.28</v>
      </c>
      <c r="D381" s="6">
        <f t="shared" si="46"/>
        <v>0.10188277087033759</v>
      </c>
      <c r="E381" s="6">
        <f t="shared" si="47"/>
        <v>7.3886438761683548E-2</v>
      </c>
      <c r="F381" s="7">
        <f t="shared" si="48"/>
        <v>0.97710583556378594</v>
      </c>
      <c r="G381" s="7">
        <f t="shared" si="51"/>
        <v>1.0213028478756274</v>
      </c>
      <c r="H381" s="7">
        <f t="shared" si="52"/>
        <v>0.94871200192423011</v>
      </c>
      <c r="I381" s="7">
        <f t="shared" si="53"/>
        <v>1.1968132126328794</v>
      </c>
      <c r="J381" s="7">
        <f t="shared" si="49"/>
        <v>0.68941142516825948</v>
      </c>
      <c r="K381" s="7">
        <f t="shared" si="54"/>
        <v>0.57169396305317544</v>
      </c>
      <c r="L381" s="7">
        <f t="shared" si="55"/>
        <v>0.40742280858582092</v>
      </c>
      <c r="M381" s="7">
        <f t="shared" si="56"/>
        <v>0.74448623812828751</v>
      </c>
      <c r="N381" s="8">
        <f t="shared" si="50"/>
        <v>4.2686708870283918E-2</v>
      </c>
      <c r="O381" s="8">
        <f t="shared" si="57"/>
        <v>4.9947703153828932E-2</v>
      </c>
      <c r="P381" s="8">
        <f t="shared" si="58"/>
        <v>4.5833356037627546E-2</v>
      </c>
      <c r="Q381" s="8">
        <f t="shared" si="59"/>
        <v>5.0818163313850001E-2</v>
      </c>
    </row>
    <row r="382" spans="1:17" x14ac:dyDescent="0.25">
      <c r="A382" s="5">
        <v>40882</v>
      </c>
      <c r="B382">
        <v>627.41999999999996</v>
      </c>
      <c r="C382">
        <v>1255.19</v>
      </c>
      <c r="D382" s="6">
        <f t="shared" si="46"/>
        <v>1.1380488748468531E-2</v>
      </c>
      <c r="E382" s="6">
        <f t="shared" si="47"/>
        <v>8.7681229305300867E-3</v>
      </c>
      <c r="F382" s="7">
        <f t="shared" si="48"/>
        <v>0.9760195946104081</v>
      </c>
      <c r="G382" s="7">
        <f t="shared" si="51"/>
        <v>1.0213028478756274</v>
      </c>
      <c r="H382" s="7">
        <f t="shared" si="52"/>
        <v>0.94871200192423011</v>
      </c>
      <c r="I382" s="7">
        <f t="shared" si="53"/>
        <v>1.1968132126328794</v>
      </c>
      <c r="J382" s="7">
        <f t="shared" si="49"/>
        <v>0.70278985452542986</v>
      </c>
      <c r="K382" s="7">
        <f t="shared" si="54"/>
        <v>0.57169396305317544</v>
      </c>
      <c r="L382" s="7">
        <f t="shared" si="55"/>
        <v>0.40742280858582092</v>
      </c>
      <c r="M382" s="7">
        <f t="shared" si="56"/>
        <v>0.74448623812828751</v>
      </c>
      <c r="N382" s="8">
        <f t="shared" si="50"/>
        <v>4.1832659783304062E-2</v>
      </c>
      <c r="O382" s="8">
        <f t="shared" si="57"/>
        <v>4.9947703153828932E-2</v>
      </c>
      <c r="P382" s="8">
        <f t="shared" si="58"/>
        <v>4.5833356037627546E-2</v>
      </c>
      <c r="Q382" s="8">
        <f t="shared" si="59"/>
        <v>5.0818163313850001E-2</v>
      </c>
    </row>
    <row r="383" spans="1:17" x14ac:dyDescent="0.25">
      <c r="A383" s="5">
        <v>40889</v>
      </c>
      <c r="B383">
        <v>625.96</v>
      </c>
      <c r="C383">
        <v>1219.6600000000001</v>
      </c>
      <c r="D383" s="6">
        <f t="shared" si="46"/>
        <v>-2.3269898951259194E-3</v>
      </c>
      <c r="E383" s="6">
        <f t="shared" si="47"/>
        <v>-2.8306471530206601E-2</v>
      </c>
      <c r="F383" s="7">
        <f t="shared" si="48"/>
        <v>0.97250832723756997</v>
      </c>
      <c r="G383" s="7">
        <f t="shared" si="51"/>
        <v>1.0213028478756274</v>
      </c>
      <c r="H383" s="7">
        <f t="shared" si="52"/>
        <v>0.94871200192423011</v>
      </c>
      <c r="I383" s="7">
        <f t="shared" si="53"/>
        <v>1.1968132126328794</v>
      </c>
      <c r="J383" s="7">
        <f t="shared" si="49"/>
        <v>0.70312105949793491</v>
      </c>
      <c r="K383" s="7">
        <f t="shared" si="54"/>
        <v>0.57169396305317544</v>
      </c>
      <c r="L383" s="7">
        <f t="shared" si="55"/>
        <v>0.40742280858582092</v>
      </c>
      <c r="M383" s="7">
        <f t="shared" si="56"/>
        <v>0.74448623812828751</v>
      </c>
      <c r="N383" s="8">
        <f t="shared" si="50"/>
        <v>4.1796502995889336E-2</v>
      </c>
      <c r="O383" s="8">
        <f t="shared" si="57"/>
        <v>4.9947703153828932E-2</v>
      </c>
      <c r="P383" s="8">
        <f t="shared" si="58"/>
        <v>4.5833356037627546E-2</v>
      </c>
      <c r="Q383" s="8">
        <f t="shared" si="59"/>
        <v>5.0818163313850001E-2</v>
      </c>
    </row>
    <row r="384" spans="1:17" x14ac:dyDescent="0.25">
      <c r="A384" s="5">
        <v>40896</v>
      </c>
      <c r="B384">
        <v>633.14</v>
      </c>
      <c r="C384">
        <v>1265.33</v>
      </c>
      <c r="D384" s="6">
        <f t="shared" si="46"/>
        <v>1.1470381494025128E-2</v>
      </c>
      <c r="E384" s="6">
        <f t="shared" si="47"/>
        <v>3.7444861682763841E-2</v>
      </c>
      <c r="F384" s="7">
        <f t="shared" si="48"/>
        <v>0.96327271769791656</v>
      </c>
      <c r="G384" s="7">
        <f t="shared" si="51"/>
        <v>1.0213028478756274</v>
      </c>
      <c r="H384" s="7">
        <f t="shared" si="52"/>
        <v>0.94871200192423011</v>
      </c>
      <c r="I384" s="7">
        <f t="shared" si="53"/>
        <v>1.1968132126328794</v>
      </c>
      <c r="J384" s="7">
        <f t="shared" si="49"/>
        <v>0.70018179131932534</v>
      </c>
      <c r="K384" s="7">
        <f t="shared" si="54"/>
        <v>0.57169396305317544</v>
      </c>
      <c r="L384" s="7">
        <f t="shared" si="55"/>
        <v>0.40742280858582092</v>
      </c>
      <c r="M384" s="7">
        <f t="shared" si="56"/>
        <v>0.74448623812828751</v>
      </c>
      <c r="N384" s="8">
        <f t="shared" si="50"/>
        <v>4.1693329267079492E-2</v>
      </c>
      <c r="O384" s="8">
        <f t="shared" si="57"/>
        <v>4.9947703153828932E-2</v>
      </c>
      <c r="P384" s="8">
        <f t="shared" si="58"/>
        <v>4.5833356037627546E-2</v>
      </c>
      <c r="Q384" s="8">
        <f t="shared" si="59"/>
        <v>5.0818163313850001E-2</v>
      </c>
    </row>
  </sheetData>
  <sortState ref="A2:C384">
    <sortCondition ref="A2:A38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85"/>
  <sheetViews>
    <sheetView workbookViewId="0"/>
  </sheetViews>
  <sheetFormatPr defaultRowHeight="15" x14ac:dyDescent="0.25"/>
  <cols>
    <col min="1" max="1" width="10.7109375" bestFit="1" customWidth="1"/>
  </cols>
  <sheetData>
    <row r="1" spans="1:7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</row>
    <row r="2" spans="1:7" x14ac:dyDescent="0.25">
      <c r="A2" s="5">
        <v>40896</v>
      </c>
      <c r="B2">
        <v>628.01</v>
      </c>
      <c r="C2">
        <v>634.67999999999995</v>
      </c>
      <c r="D2">
        <v>618.96</v>
      </c>
      <c r="E2">
        <v>633.14</v>
      </c>
      <c r="F2">
        <v>2061100</v>
      </c>
      <c r="G2">
        <v>633.14</v>
      </c>
    </row>
    <row r="3" spans="1:7" x14ac:dyDescent="0.25">
      <c r="A3" s="5">
        <v>40889</v>
      </c>
      <c r="B3">
        <v>621.88</v>
      </c>
      <c r="C3">
        <v>636.55999999999995</v>
      </c>
      <c r="D3">
        <v>612.49</v>
      </c>
      <c r="E3">
        <v>625.96</v>
      </c>
      <c r="F3">
        <v>3396700</v>
      </c>
      <c r="G3">
        <v>625.96</v>
      </c>
    </row>
    <row r="4" spans="1:7" x14ac:dyDescent="0.25">
      <c r="A4" s="5">
        <v>40882</v>
      </c>
      <c r="B4">
        <v>627.64</v>
      </c>
      <c r="C4">
        <v>631.9</v>
      </c>
      <c r="D4">
        <v>615.29999999999995</v>
      </c>
      <c r="E4">
        <v>627.41999999999996</v>
      </c>
      <c r="F4">
        <v>2592100</v>
      </c>
      <c r="G4">
        <v>627.41999999999996</v>
      </c>
    </row>
    <row r="5" spans="1:7" x14ac:dyDescent="0.25">
      <c r="A5" s="5">
        <v>40875</v>
      </c>
      <c r="B5">
        <v>579.37</v>
      </c>
      <c r="C5">
        <v>624</v>
      </c>
      <c r="D5">
        <v>576.5</v>
      </c>
      <c r="E5">
        <v>620.36</v>
      </c>
      <c r="F5">
        <v>3152800</v>
      </c>
      <c r="G5">
        <v>620.36</v>
      </c>
    </row>
    <row r="6" spans="1:7" x14ac:dyDescent="0.25">
      <c r="A6" s="5">
        <v>40868</v>
      </c>
      <c r="B6">
        <v>587.76</v>
      </c>
      <c r="C6">
        <v>588.5</v>
      </c>
      <c r="D6">
        <v>561.33000000000004</v>
      </c>
      <c r="E6">
        <v>563</v>
      </c>
      <c r="F6">
        <v>2323700</v>
      </c>
      <c r="G6">
        <v>563</v>
      </c>
    </row>
    <row r="7" spans="1:7" x14ac:dyDescent="0.25">
      <c r="A7" s="5">
        <v>40861</v>
      </c>
      <c r="B7">
        <v>608</v>
      </c>
      <c r="C7">
        <v>618.29999999999995</v>
      </c>
      <c r="D7">
        <v>593.75</v>
      </c>
      <c r="E7">
        <v>594.88</v>
      </c>
      <c r="F7">
        <v>3050800</v>
      </c>
      <c r="G7">
        <v>594.88</v>
      </c>
    </row>
    <row r="8" spans="1:7" x14ac:dyDescent="0.25">
      <c r="A8" s="5">
        <v>40854</v>
      </c>
      <c r="B8">
        <v>593.32000000000005</v>
      </c>
      <c r="C8">
        <v>614.37</v>
      </c>
      <c r="D8">
        <v>591.55999999999995</v>
      </c>
      <c r="E8">
        <v>608.35</v>
      </c>
      <c r="F8">
        <v>3388600</v>
      </c>
      <c r="G8">
        <v>608.35</v>
      </c>
    </row>
    <row r="9" spans="1:7" x14ac:dyDescent="0.25">
      <c r="A9" s="5">
        <v>40847</v>
      </c>
      <c r="B9">
        <v>595.09</v>
      </c>
      <c r="C9">
        <v>599.74</v>
      </c>
      <c r="D9">
        <v>576.75</v>
      </c>
      <c r="E9">
        <v>596.14</v>
      </c>
      <c r="F9">
        <v>2661600</v>
      </c>
      <c r="G9">
        <v>596.14</v>
      </c>
    </row>
    <row r="10" spans="1:7" x14ac:dyDescent="0.25">
      <c r="A10" s="5">
        <v>40840</v>
      </c>
      <c r="B10">
        <v>586.72</v>
      </c>
      <c r="C10">
        <v>602.70000000000005</v>
      </c>
      <c r="D10">
        <v>572.86</v>
      </c>
      <c r="E10">
        <v>600.14</v>
      </c>
      <c r="F10">
        <v>3025700</v>
      </c>
      <c r="G10">
        <v>600.14</v>
      </c>
    </row>
    <row r="11" spans="1:7" x14ac:dyDescent="0.25">
      <c r="A11" s="5">
        <v>40833</v>
      </c>
      <c r="B11">
        <v>583.72</v>
      </c>
      <c r="C11">
        <v>592.75</v>
      </c>
      <c r="D11">
        <v>577.4</v>
      </c>
      <c r="E11">
        <v>590.49</v>
      </c>
      <c r="F11">
        <v>3502100</v>
      </c>
      <c r="G11">
        <v>590.49</v>
      </c>
    </row>
    <row r="12" spans="1:7" x14ac:dyDescent="0.25">
      <c r="A12" s="5">
        <v>40826</v>
      </c>
      <c r="B12">
        <v>525.17999999999995</v>
      </c>
      <c r="C12">
        <v>599.6</v>
      </c>
      <c r="D12">
        <v>523.20000000000005</v>
      </c>
      <c r="E12">
        <v>591.67999999999995</v>
      </c>
      <c r="F12">
        <v>4514100</v>
      </c>
      <c r="G12">
        <v>591.67999999999995</v>
      </c>
    </row>
    <row r="13" spans="1:7" x14ac:dyDescent="0.25">
      <c r="A13" s="5">
        <v>40819</v>
      </c>
      <c r="B13">
        <v>509.85</v>
      </c>
      <c r="C13">
        <v>520.5</v>
      </c>
      <c r="D13">
        <v>480.6</v>
      </c>
      <c r="E13">
        <v>515.12</v>
      </c>
      <c r="F13">
        <v>3889500</v>
      </c>
      <c r="G13">
        <v>515.12</v>
      </c>
    </row>
    <row r="14" spans="1:7" x14ac:dyDescent="0.25">
      <c r="A14" s="5">
        <v>40812</v>
      </c>
      <c r="B14">
        <v>527.25</v>
      </c>
      <c r="C14">
        <v>547.04999999999995</v>
      </c>
      <c r="D14">
        <v>513.25</v>
      </c>
      <c r="E14">
        <v>515.04</v>
      </c>
      <c r="F14">
        <v>2707700</v>
      </c>
      <c r="G14">
        <v>515.04</v>
      </c>
    </row>
    <row r="15" spans="1:7" x14ac:dyDescent="0.25">
      <c r="A15" s="5">
        <v>40805</v>
      </c>
      <c r="B15">
        <v>540.35</v>
      </c>
      <c r="C15">
        <v>558.52</v>
      </c>
      <c r="D15">
        <v>514</v>
      </c>
      <c r="E15">
        <v>525.51</v>
      </c>
      <c r="F15">
        <v>2987800</v>
      </c>
      <c r="G15">
        <v>525.51</v>
      </c>
    </row>
    <row r="16" spans="1:7" x14ac:dyDescent="0.25">
      <c r="A16" s="5">
        <v>40798</v>
      </c>
      <c r="B16">
        <v>517.96</v>
      </c>
      <c r="C16">
        <v>546.84</v>
      </c>
      <c r="D16">
        <v>517.5</v>
      </c>
      <c r="E16">
        <v>546.67999999999995</v>
      </c>
      <c r="F16">
        <v>2842800</v>
      </c>
      <c r="G16">
        <v>546.67999999999995</v>
      </c>
    </row>
    <row r="17" spans="1:7" x14ac:dyDescent="0.25">
      <c r="A17" s="5">
        <v>40792</v>
      </c>
      <c r="B17">
        <v>510.8</v>
      </c>
      <c r="C17">
        <v>539.1</v>
      </c>
      <c r="D17">
        <v>510.5</v>
      </c>
      <c r="E17">
        <v>524.85</v>
      </c>
      <c r="F17">
        <v>2780200</v>
      </c>
      <c r="G17">
        <v>524.85</v>
      </c>
    </row>
    <row r="18" spans="1:7" x14ac:dyDescent="0.25">
      <c r="A18" s="5">
        <v>40784</v>
      </c>
      <c r="B18">
        <v>534.55999999999995</v>
      </c>
      <c r="C18">
        <v>546.29999999999995</v>
      </c>
      <c r="D18">
        <v>520.73</v>
      </c>
      <c r="E18">
        <v>524.84</v>
      </c>
      <c r="F18">
        <v>2566900</v>
      </c>
      <c r="G18">
        <v>524.84</v>
      </c>
    </row>
    <row r="19" spans="1:7" x14ac:dyDescent="0.25">
      <c r="A19" s="5">
        <v>40777</v>
      </c>
      <c r="B19">
        <v>504</v>
      </c>
      <c r="C19">
        <v>537.27</v>
      </c>
      <c r="D19">
        <v>494.53</v>
      </c>
      <c r="E19">
        <v>526.86</v>
      </c>
      <c r="F19">
        <v>3947300</v>
      </c>
      <c r="G19">
        <v>526.86</v>
      </c>
    </row>
    <row r="20" spans="1:7" x14ac:dyDescent="0.25">
      <c r="A20" s="5">
        <v>40770</v>
      </c>
      <c r="B20">
        <v>553.42999999999995</v>
      </c>
      <c r="C20">
        <v>564.99</v>
      </c>
      <c r="D20">
        <v>490.86</v>
      </c>
      <c r="E20">
        <v>490.92</v>
      </c>
      <c r="F20">
        <v>5972800</v>
      </c>
      <c r="G20">
        <v>490.92</v>
      </c>
    </row>
    <row r="21" spans="1:7" x14ac:dyDescent="0.25">
      <c r="A21" s="5">
        <v>40763</v>
      </c>
      <c r="B21">
        <v>562.98</v>
      </c>
      <c r="C21">
        <v>574.61</v>
      </c>
      <c r="D21">
        <v>541.01</v>
      </c>
      <c r="E21">
        <v>563.77</v>
      </c>
      <c r="F21">
        <v>5464100</v>
      </c>
      <c r="G21">
        <v>563.77</v>
      </c>
    </row>
    <row r="22" spans="1:7" x14ac:dyDescent="0.25">
      <c r="A22" s="5">
        <v>40756</v>
      </c>
      <c r="B22">
        <v>611.22</v>
      </c>
      <c r="C22">
        <v>615.5</v>
      </c>
      <c r="D22">
        <v>562</v>
      </c>
      <c r="E22">
        <v>579.04</v>
      </c>
      <c r="F22">
        <v>4367200</v>
      </c>
      <c r="G22">
        <v>579.04</v>
      </c>
    </row>
    <row r="23" spans="1:7" x14ac:dyDescent="0.25">
      <c r="A23" s="5">
        <v>40749</v>
      </c>
      <c r="B23">
        <v>613.36</v>
      </c>
      <c r="C23">
        <v>627.5</v>
      </c>
      <c r="D23">
        <v>603</v>
      </c>
      <c r="E23">
        <v>603.69000000000005</v>
      </c>
      <c r="F23">
        <v>3330900</v>
      </c>
      <c r="G23">
        <v>603.69000000000005</v>
      </c>
    </row>
    <row r="24" spans="1:7" x14ac:dyDescent="0.25">
      <c r="A24" s="5">
        <v>40742</v>
      </c>
      <c r="B24">
        <v>592.49</v>
      </c>
      <c r="C24">
        <v>619.5</v>
      </c>
      <c r="D24">
        <v>592</v>
      </c>
      <c r="E24">
        <v>618.23</v>
      </c>
      <c r="F24">
        <v>3332200</v>
      </c>
      <c r="G24">
        <v>618.23</v>
      </c>
    </row>
    <row r="25" spans="1:7" x14ac:dyDescent="0.25">
      <c r="A25" s="5">
        <v>40735</v>
      </c>
      <c r="B25">
        <v>528.17999999999995</v>
      </c>
      <c r="C25">
        <v>600.25</v>
      </c>
      <c r="D25">
        <v>525.5</v>
      </c>
      <c r="E25">
        <v>597.62</v>
      </c>
      <c r="F25">
        <v>5770400</v>
      </c>
      <c r="G25">
        <v>597.62</v>
      </c>
    </row>
    <row r="26" spans="1:7" x14ac:dyDescent="0.25">
      <c r="A26" s="5">
        <v>40729</v>
      </c>
      <c r="B26">
        <v>525.29999999999995</v>
      </c>
      <c r="C26">
        <v>550.67999999999995</v>
      </c>
      <c r="D26">
        <v>525.29999999999995</v>
      </c>
      <c r="E26">
        <v>531.99</v>
      </c>
      <c r="F26">
        <v>3812600</v>
      </c>
      <c r="G26">
        <v>531.99</v>
      </c>
    </row>
    <row r="27" spans="1:7" x14ac:dyDescent="0.25">
      <c r="A27" s="5">
        <v>40721</v>
      </c>
      <c r="B27">
        <v>474</v>
      </c>
      <c r="C27">
        <v>521.17999999999995</v>
      </c>
      <c r="D27">
        <v>473.6</v>
      </c>
      <c r="E27">
        <v>521.03</v>
      </c>
      <c r="F27">
        <v>2913500</v>
      </c>
      <c r="G27">
        <v>521.03</v>
      </c>
    </row>
    <row r="28" spans="1:7" x14ac:dyDescent="0.25">
      <c r="A28" s="5">
        <v>40714</v>
      </c>
      <c r="B28">
        <v>485</v>
      </c>
      <c r="C28">
        <v>493.94</v>
      </c>
      <c r="D28">
        <v>473.02</v>
      </c>
      <c r="E28">
        <v>474.88</v>
      </c>
      <c r="F28">
        <v>3361600</v>
      </c>
      <c r="G28">
        <v>474.88</v>
      </c>
    </row>
    <row r="29" spans="1:7" x14ac:dyDescent="0.25">
      <c r="A29" s="5">
        <v>40707</v>
      </c>
      <c r="B29">
        <v>510</v>
      </c>
      <c r="C29">
        <v>514.08000000000004</v>
      </c>
      <c r="D29">
        <v>484.8</v>
      </c>
      <c r="E29">
        <v>485.02</v>
      </c>
      <c r="F29">
        <v>2968900</v>
      </c>
      <c r="G29">
        <v>485.02</v>
      </c>
    </row>
    <row r="30" spans="1:7" x14ac:dyDescent="0.25">
      <c r="A30" s="5">
        <v>40700</v>
      </c>
      <c r="B30">
        <v>523.54</v>
      </c>
      <c r="C30">
        <v>526.82000000000005</v>
      </c>
      <c r="D30">
        <v>509.29</v>
      </c>
      <c r="E30">
        <v>509.51</v>
      </c>
      <c r="F30">
        <v>1926400</v>
      </c>
      <c r="G30">
        <v>509.51</v>
      </c>
    </row>
    <row r="31" spans="1:7" x14ac:dyDescent="0.25">
      <c r="A31" s="5">
        <v>40694</v>
      </c>
      <c r="B31">
        <v>525</v>
      </c>
      <c r="C31">
        <v>533.20000000000005</v>
      </c>
      <c r="D31">
        <v>521.5</v>
      </c>
      <c r="E31">
        <v>523.08000000000004</v>
      </c>
      <c r="F31">
        <v>2399000</v>
      </c>
      <c r="G31">
        <v>523.08000000000004</v>
      </c>
    </row>
    <row r="32" spans="1:7" x14ac:dyDescent="0.25">
      <c r="A32" s="5">
        <v>40686</v>
      </c>
      <c r="B32">
        <v>516.6</v>
      </c>
      <c r="C32">
        <v>523.96</v>
      </c>
      <c r="D32">
        <v>513.4</v>
      </c>
      <c r="E32">
        <v>520.9</v>
      </c>
      <c r="F32">
        <v>1873100</v>
      </c>
      <c r="G32">
        <v>520.9</v>
      </c>
    </row>
    <row r="33" spans="1:7" x14ac:dyDescent="0.25">
      <c r="A33" s="5">
        <v>40679</v>
      </c>
      <c r="B33">
        <v>526.30999999999995</v>
      </c>
      <c r="C33">
        <v>536.54</v>
      </c>
      <c r="D33">
        <v>515.03</v>
      </c>
      <c r="E33">
        <v>524.03</v>
      </c>
      <c r="F33">
        <v>2600200</v>
      </c>
      <c r="G33">
        <v>524.03</v>
      </c>
    </row>
    <row r="34" spans="1:7" x14ac:dyDescent="0.25">
      <c r="A34" s="5">
        <v>40672</v>
      </c>
      <c r="B34">
        <v>535</v>
      </c>
      <c r="C34">
        <v>544.42999999999995</v>
      </c>
      <c r="D34">
        <v>529.04999999999995</v>
      </c>
      <c r="E34">
        <v>529.54999999999995</v>
      </c>
      <c r="F34">
        <v>1977400</v>
      </c>
      <c r="G34">
        <v>529.54999999999995</v>
      </c>
    </row>
    <row r="35" spans="1:7" x14ac:dyDescent="0.25">
      <c r="A35" s="5">
        <v>40665</v>
      </c>
      <c r="B35">
        <v>545.70000000000005</v>
      </c>
      <c r="C35">
        <v>545.73</v>
      </c>
      <c r="D35">
        <v>529.63</v>
      </c>
      <c r="E35">
        <v>535.29999999999995</v>
      </c>
      <c r="F35">
        <v>2077200</v>
      </c>
      <c r="G35">
        <v>535.29999999999995</v>
      </c>
    </row>
    <row r="36" spans="1:7" x14ac:dyDescent="0.25">
      <c r="A36" s="5">
        <v>40658</v>
      </c>
      <c r="B36">
        <v>525.25</v>
      </c>
      <c r="C36">
        <v>544.1</v>
      </c>
      <c r="D36">
        <v>522.01</v>
      </c>
      <c r="E36">
        <v>544.1</v>
      </c>
      <c r="F36">
        <v>2731500</v>
      </c>
      <c r="G36">
        <v>544.1</v>
      </c>
    </row>
    <row r="37" spans="1:7" x14ac:dyDescent="0.25">
      <c r="A37" s="5">
        <v>40651</v>
      </c>
      <c r="B37">
        <v>526.41999999999996</v>
      </c>
      <c r="C37">
        <v>530.88</v>
      </c>
      <c r="D37">
        <v>519</v>
      </c>
      <c r="E37">
        <v>525.1</v>
      </c>
      <c r="F37">
        <v>3313500</v>
      </c>
      <c r="G37">
        <v>525.1</v>
      </c>
    </row>
    <row r="38" spans="1:7" x14ac:dyDescent="0.25">
      <c r="A38" s="5">
        <v>40644</v>
      </c>
      <c r="B38">
        <v>576.20000000000005</v>
      </c>
      <c r="C38">
        <v>579.45000000000005</v>
      </c>
      <c r="D38">
        <v>530.05999999999995</v>
      </c>
      <c r="E38">
        <v>530.70000000000005</v>
      </c>
      <c r="F38">
        <v>5102600</v>
      </c>
      <c r="G38">
        <v>530.70000000000005</v>
      </c>
    </row>
    <row r="39" spans="1:7" x14ac:dyDescent="0.25">
      <c r="A39" s="5">
        <v>40637</v>
      </c>
      <c r="B39">
        <v>593</v>
      </c>
      <c r="C39">
        <v>594.74</v>
      </c>
      <c r="D39">
        <v>565.67999999999995</v>
      </c>
      <c r="E39">
        <v>578.16</v>
      </c>
      <c r="F39">
        <v>3040700</v>
      </c>
      <c r="G39">
        <v>578.16</v>
      </c>
    </row>
    <row r="40" spans="1:7" x14ac:dyDescent="0.25">
      <c r="A40" s="5">
        <v>40630</v>
      </c>
      <c r="B40">
        <v>582.07000000000005</v>
      </c>
      <c r="C40">
        <v>595.19000000000005</v>
      </c>
      <c r="D40">
        <v>573.01</v>
      </c>
      <c r="E40">
        <v>591.79999999999995</v>
      </c>
      <c r="F40">
        <v>1977600</v>
      </c>
      <c r="G40">
        <v>591.79999999999995</v>
      </c>
    </row>
    <row r="41" spans="1:7" x14ac:dyDescent="0.25">
      <c r="A41" s="5">
        <v>40623</v>
      </c>
      <c r="B41">
        <v>570.22</v>
      </c>
      <c r="C41">
        <v>588.39</v>
      </c>
      <c r="D41">
        <v>569.02</v>
      </c>
      <c r="E41">
        <v>579.74</v>
      </c>
      <c r="F41">
        <v>2336200</v>
      </c>
      <c r="G41">
        <v>579.74</v>
      </c>
    </row>
    <row r="42" spans="1:7" x14ac:dyDescent="0.25">
      <c r="A42" s="5">
        <v>40616</v>
      </c>
      <c r="B42">
        <v>572.79999999999995</v>
      </c>
      <c r="C42">
        <v>578.29</v>
      </c>
      <c r="D42">
        <v>551.28</v>
      </c>
      <c r="E42">
        <v>561.05999999999995</v>
      </c>
      <c r="F42">
        <v>3363600</v>
      </c>
      <c r="G42">
        <v>561.05999999999995</v>
      </c>
    </row>
    <row r="43" spans="1:7" x14ac:dyDescent="0.25">
      <c r="A43" s="5">
        <v>40609</v>
      </c>
      <c r="B43">
        <v>600.54999999999995</v>
      </c>
      <c r="C43">
        <v>603.69000000000005</v>
      </c>
      <c r="D43">
        <v>573.33000000000004</v>
      </c>
      <c r="E43">
        <v>576.71</v>
      </c>
      <c r="F43">
        <v>2811700</v>
      </c>
      <c r="G43">
        <v>576.71</v>
      </c>
    </row>
    <row r="44" spans="1:7" x14ac:dyDescent="0.25">
      <c r="A44" s="5">
        <v>40602</v>
      </c>
      <c r="B44">
        <v>610</v>
      </c>
      <c r="C44">
        <v>619.22</v>
      </c>
      <c r="D44">
        <v>595.19000000000005</v>
      </c>
      <c r="E44">
        <v>600.62</v>
      </c>
      <c r="F44">
        <v>2517500</v>
      </c>
      <c r="G44">
        <v>600.62</v>
      </c>
    </row>
    <row r="45" spans="1:7" x14ac:dyDescent="0.25">
      <c r="A45" s="5">
        <v>40596</v>
      </c>
      <c r="B45">
        <v>620.03</v>
      </c>
      <c r="C45">
        <v>624.92999999999995</v>
      </c>
      <c r="D45">
        <v>601.35</v>
      </c>
      <c r="E45">
        <v>610.04</v>
      </c>
      <c r="F45">
        <v>2793400</v>
      </c>
      <c r="G45">
        <v>610.04</v>
      </c>
    </row>
    <row r="46" spans="1:7" x14ac:dyDescent="0.25">
      <c r="A46" s="5">
        <v>40588</v>
      </c>
      <c r="B46">
        <v>623.34</v>
      </c>
      <c r="C46">
        <v>631.17999999999995</v>
      </c>
      <c r="D46">
        <v>620.04</v>
      </c>
      <c r="E46">
        <v>630.08000000000004</v>
      </c>
      <c r="F46">
        <v>2120100</v>
      </c>
      <c r="G46">
        <v>630.08000000000004</v>
      </c>
    </row>
    <row r="47" spans="1:7" x14ac:dyDescent="0.25">
      <c r="A47" s="5">
        <v>40581</v>
      </c>
      <c r="B47">
        <v>610.16</v>
      </c>
      <c r="C47">
        <v>625</v>
      </c>
      <c r="D47">
        <v>609.21</v>
      </c>
      <c r="E47">
        <v>624.5</v>
      </c>
      <c r="F47">
        <v>2052200</v>
      </c>
      <c r="G47">
        <v>624.5</v>
      </c>
    </row>
    <row r="48" spans="1:7" x14ac:dyDescent="0.25">
      <c r="A48" s="5">
        <v>40574</v>
      </c>
      <c r="B48">
        <v>603.6</v>
      </c>
      <c r="C48">
        <v>614.34</v>
      </c>
      <c r="D48">
        <v>595.54999999999995</v>
      </c>
      <c r="E48">
        <v>610.98</v>
      </c>
      <c r="F48">
        <v>2071300</v>
      </c>
      <c r="G48">
        <v>610.98</v>
      </c>
    </row>
    <row r="49" spans="1:7" x14ac:dyDescent="0.25">
      <c r="A49" s="5">
        <v>40567</v>
      </c>
      <c r="B49">
        <v>607.57000000000005</v>
      </c>
      <c r="C49">
        <v>622.49</v>
      </c>
      <c r="D49">
        <v>599.76</v>
      </c>
      <c r="E49">
        <v>600.99</v>
      </c>
      <c r="F49">
        <v>3306800</v>
      </c>
      <c r="G49">
        <v>600.99</v>
      </c>
    </row>
    <row r="50" spans="1:7" x14ac:dyDescent="0.25">
      <c r="A50" s="5">
        <v>40561</v>
      </c>
      <c r="B50">
        <v>626.05999999999995</v>
      </c>
      <c r="C50">
        <v>642.96</v>
      </c>
      <c r="D50">
        <v>611.36</v>
      </c>
      <c r="E50">
        <v>611.83000000000004</v>
      </c>
      <c r="F50">
        <v>5353300</v>
      </c>
      <c r="G50">
        <v>611.83000000000004</v>
      </c>
    </row>
    <row r="51" spans="1:7" x14ac:dyDescent="0.25">
      <c r="A51" s="5">
        <v>40553</v>
      </c>
      <c r="B51">
        <v>614.79999999999995</v>
      </c>
      <c r="C51">
        <v>624.27</v>
      </c>
      <c r="D51">
        <v>608.55999999999995</v>
      </c>
      <c r="E51">
        <v>624.17999999999995</v>
      </c>
      <c r="F51">
        <v>1670100</v>
      </c>
      <c r="G51">
        <v>624.17999999999995</v>
      </c>
    </row>
    <row r="52" spans="1:7" x14ac:dyDescent="0.25">
      <c r="A52" s="5">
        <v>40546</v>
      </c>
      <c r="B52">
        <v>596.48</v>
      </c>
      <c r="C52">
        <v>618.42999999999995</v>
      </c>
      <c r="D52">
        <v>596.48</v>
      </c>
      <c r="E52">
        <v>616.44000000000005</v>
      </c>
      <c r="F52">
        <v>2176200</v>
      </c>
      <c r="G52">
        <v>616.44000000000005</v>
      </c>
    </row>
    <row r="53" spans="1:7" x14ac:dyDescent="0.25">
      <c r="A53" s="5">
        <v>40539</v>
      </c>
      <c r="B53">
        <v>602.74</v>
      </c>
      <c r="C53">
        <v>603.87</v>
      </c>
      <c r="D53">
        <v>592.03</v>
      </c>
      <c r="E53">
        <v>593.97</v>
      </c>
      <c r="F53">
        <v>1164100</v>
      </c>
      <c r="G53">
        <v>593.97</v>
      </c>
    </row>
    <row r="54" spans="1:7" x14ac:dyDescent="0.25">
      <c r="A54" s="5">
        <v>40532</v>
      </c>
      <c r="B54">
        <v>594.65</v>
      </c>
      <c r="C54">
        <v>607</v>
      </c>
      <c r="D54">
        <v>588.66</v>
      </c>
      <c r="E54">
        <v>604.23</v>
      </c>
      <c r="F54">
        <v>1542700</v>
      </c>
      <c r="G54">
        <v>604.23</v>
      </c>
    </row>
    <row r="55" spans="1:7" x14ac:dyDescent="0.25">
      <c r="A55" s="5">
        <v>40525</v>
      </c>
      <c r="B55">
        <v>597.12</v>
      </c>
      <c r="C55">
        <v>603</v>
      </c>
      <c r="D55">
        <v>587.66999999999996</v>
      </c>
      <c r="E55">
        <v>590.79999999999995</v>
      </c>
      <c r="F55">
        <v>2178700</v>
      </c>
      <c r="G55">
        <v>590.79999999999995</v>
      </c>
    </row>
    <row r="56" spans="1:7" x14ac:dyDescent="0.25">
      <c r="A56" s="5">
        <v>40518</v>
      </c>
      <c r="B56">
        <v>580.57000000000005</v>
      </c>
      <c r="C56">
        <v>595.58000000000004</v>
      </c>
      <c r="D56">
        <v>576.61</v>
      </c>
      <c r="E56">
        <v>592.21</v>
      </c>
      <c r="F56">
        <v>2093300</v>
      </c>
      <c r="G56">
        <v>592.21</v>
      </c>
    </row>
    <row r="57" spans="1:7" x14ac:dyDescent="0.25">
      <c r="A57" s="5">
        <v>40511</v>
      </c>
      <c r="B57">
        <v>589.16999999999996</v>
      </c>
      <c r="C57">
        <v>589.79999999999995</v>
      </c>
      <c r="D57">
        <v>553.30999999999995</v>
      </c>
      <c r="E57">
        <v>573</v>
      </c>
      <c r="F57">
        <v>3782000</v>
      </c>
      <c r="G57">
        <v>573</v>
      </c>
    </row>
    <row r="58" spans="1:7" x14ac:dyDescent="0.25">
      <c r="A58" s="5">
        <v>40504</v>
      </c>
      <c r="B58">
        <v>587.47</v>
      </c>
      <c r="C58">
        <v>596.6</v>
      </c>
      <c r="D58">
        <v>578.20000000000005</v>
      </c>
      <c r="E58">
        <v>590</v>
      </c>
      <c r="F58">
        <v>2014100</v>
      </c>
      <c r="G58">
        <v>590</v>
      </c>
    </row>
    <row r="59" spans="1:7" x14ac:dyDescent="0.25">
      <c r="A59" s="5">
        <v>40497</v>
      </c>
      <c r="B59">
        <v>603.08000000000004</v>
      </c>
      <c r="C59">
        <v>604</v>
      </c>
      <c r="D59">
        <v>581.37</v>
      </c>
      <c r="E59">
        <v>590.83000000000004</v>
      </c>
      <c r="F59">
        <v>2823200</v>
      </c>
      <c r="G59">
        <v>590.83000000000004</v>
      </c>
    </row>
    <row r="60" spans="1:7" x14ac:dyDescent="0.25">
      <c r="A60" s="5">
        <v>40490</v>
      </c>
      <c r="B60">
        <v>624.02</v>
      </c>
      <c r="C60">
        <v>630.85</v>
      </c>
      <c r="D60">
        <v>601.21</v>
      </c>
      <c r="E60">
        <v>603.29</v>
      </c>
      <c r="F60">
        <v>2498000</v>
      </c>
      <c r="G60">
        <v>603.29</v>
      </c>
    </row>
    <row r="61" spans="1:7" x14ac:dyDescent="0.25">
      <c r="A61" s="5">
        <v>40483</v>
      </c>
      <c r="B61">
        <v>615.73</v>
      </c>
      <c r="C61">
        <v>629.91999999999996</v>
      </c>
      <c r="D61">
        <v>611.21</v>
      </c>
      <c r="E61">
        <v>625.08000000000004</v>
      </c>
      <c r="F61">
        <v>2760300</v>
      </c>
      <c r="G61">
        <v>625.08000000000004</v>
      </c>
    </row>
    <row r="62" spans="1:7" x14ac:dyDescent="0.25">
      <c r="A62" s="5">
        <v>40476</v>
      </c>
      <c r="B62">
        <v>615.59</v>
      </c>
      <c r="C62">
        <v>624.74</v>
      </c>
      <c r="D62">
        <v>611.03</v>
      </c>
      <c r="E62">
        <v>613.70000000000005</v>
      </c>
      <c r="F62">
        <v>2475100</v>
      </c>
      <c r="G62">
        <v>613.70000000000005</v>
      </c>
    </row>
    <row r="63" spans="1:7" x14ac:dyDescent="0.25">
      <c r="A63" s="5">
        <v>40469</v>
      </c>
      <c r="B63">
        <v>600.54999999999995</v>
      </c>
      <c r="C63">
        <v>619.69000000000005</v>
      </c>
      <c r="D63">
        <v>600.54999999999995</v>
      </c>
      <c r="E63">
        <v>612.53</v>
      </c>
      <c r="F63">
        <v>4077500</v>
      </c>
      <c r="G63">
        <v>612.53</v>
      </c>
    </row>
    <row r="64" spans="1:7" x14ac:dyDescent="0.25">
      <c r="A64" s="5">
        <v>40462</v>
      </c>
      <c r="B64">
        <v>538.48</v>
      </c>
      <c r="C64">
        <v>601.64</v>
      </c>
      <c r="D64">
        <v>537.11</v>
      </c>
      <c r="E64">
        <v>601.45000000000005</v>
      </c>
      <c r="F64">
        <v>6178800</v>
      </c>
      <c r="G64">
        <v>601.45000000000005</v>
      </c>
    </row>
    <row r="65" spans="1:7" x14ac:dyDescent="0.25">
      <c r="A65" s="5">
        <v>40455</v>
      </c>
      <c r="B65">
        <v>524.95000000000005</v>
      </c>
      <c r="C65">
        <v>540</v>
      </c>
      <c r="D65">
        <v>518.85</v>
      </c>
      <c r="E65">
        <v>536.35</v>
      </c>
      <c r="F65">
        <v>2692900</v>
      </c>
      <c r="G65">
        <v>536.35</v>
      </c>
    </row>
    <row r="66" spans="1:7" x14ac:dyDescent="0.25">
      <c r="A66" s="5">
        <v>40448</v>
      </c>
      <c r="B66">
        <v>528.85</v>
      </c>
      <c r="C66">
        <v>536.85</v>
      </c>
      <c r="D66">
        <v>518.45000000000005</v>
      </c>
      <c r="E66">
        <v>525.62</v>
      </c>
      <c r="F66">
        <v>2880600</v>
      </c>
      <c r="G66">
        <v>525.62</v>
      </c>
    </row>
    <row r="67" spans="1:7" x14ac:dyDescent="0.25">
      <c r="A67" s="5">
        <v>40441</v>
      </c>
      <c r="B67">
        <v>492.5</v>
      </c>
      <c r="C67">
        <v>527.83000000000004</v>
      </c>
      <c r="D67">
        <v>492.06</v>
      </c>
      <c r="E67">
        <v>527.29</v>
      </c>
      <c r="F67">
        <v>3416200</v>
      </c>
      <c r="G67">
        <v>527.29</v>
      </c>
    </row>
    <row r="68" spans="1:7" x14ac:dyDescent="0.25">
      <c r="A68" s="5">
        <v>40434</v>
      </c>
      <c r="B68">
        <v>480.9</v>
      </c>
      <c r="C68">
        <v>491.2</v>
      </c>
      <c r="D68">
        <v>478.5</v>
      </c>
      <c r="E68">
        <v>490.15</v>
      </c>
      <c r="F68">
        <v>2894300</v>
      </c>
      <c r="G68">
        <v>490.15</v>
      </c>
    </row>
    <row r="69" spans="1:7" x14ac:dyDescent="0.25">
      <c r="A69" s="5">
        <v>40428</v>
      </c>
      <c r="B69">
        <v>464.5</v>
      </c>
      <c r="C69">
        <v>480.4</v>
      </c>
      <c r="D69">
        <v>463.02</v>
      </c>
      <c r="E69">
        <v>476.14</v>
      </c>
      <c r="F69">
        <v>2129100</v>
      </c>
      <c r="G69">
        <v>476.14</v>
      </c>
    </row>
    <row r="70" spans="1:7" x14ac:dyDescent="0.25">
      <c r="A70" s="5">
        <v>40420</v>
      </c>
      <c r="B70">
        <v>459.15</v>
      </c>
      <c r="C70">
        <v>471.88</v>
      </c>
      <c r="D70">
        <v>448</v>
      </c>
      <c r="E70">
        <v>470.3</v>
      </c>
      <c r="F70">
        <v>2126200</v>
      </c>
      <c r="G70">
        <v>470.3</v>
      </c>
    </row>
    <row r="71" spans="1:7" x14ac:dyDescent="0.25">
      <c r="A71" s="5">
        <v>40413</v>
      </c>
      <c r="B71">
        <v>461.5</v>
      </c>
      <c r="C71">
        <v>468.25</v>
      </c>
      <c r="D71">
        <v>447.65</v>
      </c>
      <c r="E71">
        <v>458.83</v>
      </c>
      <c r="F71">
        <v>2486000</v>
      </c>
      <c r="G71">
        <v>458.83</v>
      </c>
    </row>
    <row r="72" spans="1:7" x14ac:dyDescent="0.25">
      <c r="A72" s="5">
        <v>40406</v>
      </c>
      <c r="B72">
        <v>483.68</v>
      </c>
      <c r="C72">
        <v>494.7</v>
      </c>
      <c r="D72">
        <v>461.02</v>
      </c>
      <c r="E72">
        <v>462.02</v>
      </c>
      <c r="F72">
        <v>2744900</v>
      </c>
      <c r="G72">
        <v>462.02</v>
      </c>
    </row>
    <row r="73" spans="1:7" x14ac:dyDescent="0.25">
      <c r="A73" s="5">
        <v>40399</v>
      </c>
      <c r="B73">
        <v>502.25</v>
      </c>
      <c r="C73">
        <v>506</v>
      </c>
      <c r="D73">
        <v>482.51</v>
      </c>
      <c r="E73">
        <v>486.35</v>
      </c>
      <c r="F73">
        <v>2061700</v>
      </c>
      <c r="G73">
        <v>486.35</v>
      </c>
    </row>
    <row r="74" spans="1:7" x14ac:dyDescent="0.25">
      <c r="A74" s="5">
        <v>40392</v>
      </c>
      <c r="B74">
        <v>488.99</v>
      </c>
      <c r="C74">
        <v>508.6</v>
      </c>
      <c r="D74">
        <v>486.76</v>
      </c>
      <c r="E74">
        <v>500.22</v>
      </c>
      <c r="F74">
        <v>2642600</v>
      </c>
      <c r="G74">
        <v>500.22</v>
      </c>
    </row>
    <row r="75" spans="1:7" x14ac:dyDescent="0.25">
      <c r="A75" s="5">
        <v>40385</v>
      </c>
      <c r="B75">
        <v>489.09</v>
      </c>
      <c r="C75">
        <v>497.5</v>
      </c>
      <c r="D75">
        <v>479.14</v>
      </c>
      <c r="E75">
        <v>484.85</v>
      </c>
      <c r="F75">
        <v>2352400</v>
      </c>
      <c r="G75">
        <v>484.85</v>
      </c>
    </row>
    <row r="76" spans="1:7" x14ac:dyDescent="0.25">
      <c r="A76" s="5">
        <v>40378</v>
      </c>
      <c r="B76">
        <v>461.01</v>
      </c>
      <c r="C76">
        <v>490.59</v>
      </c>
      <c r="D76">
        <v>457.52</v>
      </c>
      <c r="E76">
        <v>490.06</v>
      </c>
      <c r="F76">
        <v>3259300</v>
      </c>
      <c r="G76">
        <v>490.06</v>
      </c>
    </row>
    <row r="77" spans="1:7" x14ac:dyDescent="0.25">
      <c r="A77" s="5">
        <v>40371</v>
      </c>
      <c r="B77">
        <v>472.37</v>
      </c>
      <c r="C77">
        <v>494.7</v>
      </c>
      <c r="D77">
        <v>459.52</v>
      </c>
      <c r="E77">
        <v>459.61</v>
      </c>
      <c r="F77">
        <v>4622300</v>
      </c>
      <c r="G77">
        <v>459.61</v>
      </c>
    </row>
    <row r="78" spans="1:7" x14ac:dyDescent="0.25">
      <c r="A78" s="5">
        <v>40365</v>
      </c>
      <c r="B78">
        <v>444</v>
      </c>
      <c r="C78">
        <v>473.26</v>
      </c>
      <c r="D78">
        <v>433.63</v>
      </c>
      <c r="E78">
        <v>467.49</v>
      </c>
      <c r="F78">
        <v>3172500</v>
      </c>
      <c r="G78">
        <v>467.49</v>
      </c>
    </row>
    <row r="79" spans="1:7" x14ac:dyDescent="0.25">
      <c r="A79" s="5">
        <v>40357</v>
      </c>
      <c r="B79">
        <v>472.59</v>
      </c>
      <c r="C79">
        <v>477.55</v>
      </c>
      <c r="D79">
        <v>433.63</v>
      </c>
      <c r="E79">
        <v>436.55</v>
      </c>
      <c r="F79">
        <v>2863400</v>
      </c>
      <c r="G79">
        <v>436.55</v>
      </c>
    </row>
    <row r="80" spans="1:7" x14ac:dyDescent="0.25">
      <c r="A80" s="5">
        <v>40350</v>
      </c>
      <c r="B80">
        <v>499.9</v>
      </c>
      <c r="C80">
        <v>500.97</v>
      </c>
      <c r="D80">
        <v>470.56</v>
      </c>
      <c r="E80">
        <v>472.68</v>
      </c>
      <c r="F80">
        <v>2274200</v>
      </c>
      <c r="G80">
        <v>472.68</v>
      </c>
    </row>
    <row r="81" spans="1:7" x14ac:dyDescent="0.25">
      <c r="A81" s="5">
        <v>40343</v>
      </c>
      <c r="B81">
        <v>494.48</v>
      </c>
      <c r="C81">
        <v>505.87</v>
      </c>
      <c r="D81">
        <v>482.18</v>
      </c>
      <c r="E81">
        <v>500.03</v>
      </c>
      <c r="F81">
        <v>2687900</v>
      </c>
      <c r="G81">
        <v>500.03</v>
      </c>
    </row>
    <row r="82" spans="1:7" x14ac:dyDescent="0.25">
      <c r="A82" s="5">
        <v>40336</v>
      </c>
      <c r="B82">
        <v>499.06</v>
      </c>
      <c r="C82">
        <v>500.91</v>
      </c>
      <c r="D82">
        <v>472</v>
      </c>
      <c r="E82">
        <v>488.5</v>
      </c>
      <c r="F82">
        <v>2681200</v>
      </c>
      <c r="G82">
        <v>488.5</v>
      </c>
    </row>
    <row r="83" spans="1:7" x14ac:dyDescent="0.25">
      <c r="A83" s="5">
        <v>40330</v>
      </c>
      <c r="B83">
        <v>480.43</v>
      </c>
      <c r="C83">
        <v>509.25</v>
      </c>
      <c r="D83">
        <v>480.12</v>
      </c>
      <c r="E83">
        <v>498.72</v>
      </c>
      <c r="F83">
        <v>3194600</v>
      </c>
      <c r="G83">
        <v>498.72</v>
      </c>
    </row>
    <row r="84" spans="1:7" x14ac:dyDescent="0.25">
      <c r="A84" s="5">
        <v>40322</v>
      </c>
      <c r="B84">
        <v>480.73</v>
      </c>
      <c r="C84">
        <v>493.45</v>
      </c>
      <c r="D84">
        <v>464.01</v>
      </c>
      <c r="E84">
        <v>485.63</v>
      </c>
      <c r="F84">
        <v>3308500</v>
      </c>
      <c r="G84">
        <v>485.63</v>
      </c>
    </row>
    <row r="85" spans="1:7" x14ac:dyDescent="0.25">
      <c r="A85" s="5">
        <v>40315</v>
      </c>
      <c r="B85">
        <v>506.78</v>
      </c>
      <c r="C85">
        <v>510.97</v>
      </c>
      <c r="D85">
        <v>464.4</v>
      </c>
      <c r="E85">
        <v>472.05</v>
      </c>
      <c r="F85">
        <v>4733800</v>
      </c>
      <c r="G85">
        <v>472.05</v>
      </c>
    </row>
    <row r="86" spans="1:7" x14ac:dyDescent="0.25">
      <c r="A86" s="5">
        <v>40308</v>
      </c>
      <c r="B86">
        <v>513.97</v>
      </c>
      <c r="C86">
        <v>522.82000000000005</v>
      </c>
      <c r="D86">
        <v>496.25</v>
      </c>
      <c r="E86">
        <v>507.53</v>
      </c>
      <c r="F86">
        <v>3748800</v>
      </c>
      <c r="G86">
        <v>507.53</v>
      </c>
    </row>
    <row r="87" spans="1:7" x14ac:dyDescent="0.25">
      <c r="A87" s="5">
        <v>40301</v>
      </c>
      <c r="B87">
        <v>526.5</v>
      </c>
      <c r="C87">
        <v>532.91999999999996</v>
      </c>
      <c r="D87">
        <v>460</v>
      </c>
      <c r="E87">
        <v>493.14</v>
      </c>
      <c r="F87">
        <v>4521000</v>
      </c>
      <c r="G87">
        <v>493.14</v>
      </c>
    </row>
    <row r="88" spans="1:7" x14ac:dyDescent="0.25">
      <c r="A88" s="5">
        <v>40294</v>
      </c>
      <c r="B88">
        <v>544.97</v>
      </c>
      <c r="C88">
        <v>544.99</v>
      </c>
      <c r="D88">
        <v>521.03</v>
      </c>
      <c r="E88">
        <v>525.70000000000005</v>
      </c>
      <c r="F88">
        <v>3422700</v>
      </c>
      <c r="G88">
        <v>525.70000000000005</v>
      </c>
    </row>
    <row r="89" spans="1:7" x14ac:dyDescent="0.25">
      <c r="A89" s="5">
        <v>40287</v>
      </c>
      <c r="B89">
        <v>548.75</v>
      </c>
      <c r="C89">
        <v>560.25</v>
      </c>
      <c r="D89">
        <v>542.27</v>
      </c>
      <c r="E89">
        <v>544.99</v>
      </c>
      <c r="F89">
        <v>2926600</v>
      </c>
      <c r="G89">
        <v>544.99</v>
      </c>
    </row>
    <row r="90" spans="1:7" x14ac:dyDescent="0.25">
      <c r="A90" s="5">
        <v>40280</v>
      </c>
      <c r="B90">
        <v>567.35</v>
      </c>
      <c r="C90">
        <v>597.84</v>
      </c>
      <c r="D90">
        <v>549.63</v>
      </c>
      <c r="E90">
        <v>550.15</v>
      </c>
      <c r="F90">
        <v>5732900</v>
      </c>
      <c r="G90">
        <v>550.15</v>
      </c>
    </row>
    <row r="91" spans="1:7" x14ac:dyDescent="0.25">
      <c r="A91" s="5">
        <v>40273</v>
      </c>
      <c r="B91">
        <v>570.9</v>
      </c>
      <c r="C91">
        <v>574.88</v>
      </c>
      <c r="D91">
        <v>560.04999999999995</v>
      </c>
      <c r="E91">
        <v>566.22</v>
      </c>
      <c r="F91">
        <v>2109300</v>
      </c>
      <c r="G91">
        <v>566.22</v>
      </c>
    </row>
    <row r="92" spans="1:7" x14ac:dyDescent="0.25">
      <c r="A92" s="5">
        <v>40266</v>
      </c>
      <c r="B92">
        <v>563</v>
      </c>
      <c r="C92">
        <v>573.45000000000005</v>
      </c>
      <c r="D92">
        <v>560.28</v>
      </c>
      <c r="E92">
        <v>568.79999999999995</v>
      </c>
      <c r="F92">
        <v>2553900</v>
      </c>
      <c r="G92">
        <v>568.79999999999995</v>
      </c>
    </row>
    <row r="93" spans="1:7" x14ac:dyDescent="0.25">
      <c r="A93" s="5">
        <v>40259</v>
      </c>
      <c r="B93">
        <v>556.11</v>
      </c>
      <c r="C93">
        <v>572</v>
      </c>
      <c r="D93">
        <v>539.70000000000005</v>
      </c>
      <c r="E93">
        <v>562.69000000000005</v>
      </c>
      <c r="F93">
        <v>4539600</v>
      </c>
      <c r="G93">
        <v>562.69000000000005</v>
      </c>
    </row>
    <row r="94" spans="1:7" x14ac:dyDescent="0.25">
      <c r="A94" s="5">
        <v>40252</v>
      </c>
      <c r="B94">
        <v>566.67999999999995</v>
      </c>
      <c r="C94">
        <v>571.45000000000005</v>
      </c>
      <c r="D94">
        <v>556</v>
      </c>
      <c r="E94">
        <v>560</v>
      </c>
      <c r="F94">
        <v>3595300</v>
      </c>
      <c r="G94">
        <v>560</v>
      </c>
    </row>
    <row r="95" spans="1:7" x14ac:dyDescent="0.25">
      <c r="A95" s="5">
        <v>40245</v>
      </c>
      <c r="B95">
        <v>564.78</v>
      </c>
      <c r="C95">
        <v>588.28</v>
      </c>
      <c r="D95">
        <v>556.5</v>
      </c>
      <c r="E95">
        <v>579.54</v>
      </c>
      <c r="F95">
        <v>3640900</v>
      </c>
      <c r="G95">
        <v>579.54</v>
      </c>
    </row>
    <row r="96" spans="1:7" x14ac:dyDescent="0.25">
      <c r="A96" s="5">
        <v>40238</v>
      </c>
      <c r="B96">
        <v>529.20000000000005</v>
      </c>
      <c r="C96">
        <v>567.66999999999996</v>
      </c>
      <c r="D96">
        <v>527.74</v>
      </c>
      <c r="E96">
        <v>564.21</v>
      </c>
      <c r="F96">
        <v>3356000</v>
      </c>
      <c r="G96">
        <v>564.21</v>
      </c>
    </row>
    <row r="97" spans="1:7" x14ac:dyDescent="0.25">
      <c r="A97" s="5">
        <v>40231</v>
      </c>
      <c r="B97">
        <v>547.35</v>
      </c>
      <c r="C97">
        <v>547.5</v>
      </c>
      <c r="D97">
        <v>520</v>
      </c>
      <c r="E97">
        <v>526.79999999999995</v>
      </c>
      <c r="F97">
        <v>2540400</v>
      </c>
      <c r="G97">
        <v>526.79999999999995</v>
      </c>
    </row>
    <row r="98" spans="1:7" x14ac:dyDescent="0.25">
      <c r="A98" s="5">
        <v>40225</v>
      </c>
      <c r="B98">
        <v>536.87</v>
      </c>
      <c r="C98">
        <v>545.01</v>
      </c>
      <c r="D98">
        <v>534.29999999999995</v>
      </c>
      <c r="E98">
        <v>540.76</v>
      </c>
      <c r="F98">
        <v>2643500</v>
      </c>
      <c r="G98">
        <v>540.76</v>
      </c>
    </row>
    <row r="99" spans="1:7" x14ac:dyDescent="0.25">
      <c r="A99" s="5">
        <v>40217</v>
      </c>
      <c r="B99">
        <v>532.5</v>
      </c>
      <c r="C99">
        <v>542</v>
      </c>
      <c r="D99">
        <v>527.69000000000005</v>
      </c>
      <c r="E99">
        <v>533.12</v>
      </c>
      <c r="F99">
        <v>2575600</v>
      </c>
      <c r="G99">
        <v>533.12</v>
      </c>
    </row>
    <row r="100" spans="1:7" x14ac:dyDescent="0.25">
      <c r="A100" s="5">
        <v>40210</v>
      </c>
      <c r="B100">
        <v>534.6</v>
      </c>
      <c r="C100">
        <v>542.1</v>
      </c>
      <c r="D100">
        <v>522.46</v>
      </c>
      <c r="E100">
        <v>531.29</v>
      </c>
      <c r="F100">
        <v>3175900</v>
      </c>
      <c r="G100">
        <v>531.29</v>
      </c>
    </row>
    <row r="101" spans="1:7" x14ac:dyDescent="0.25">
      <c r="A101" s="5">
        <v>40203</v>
      </c>
      <c r="B101">
        <v>546.59</v>
      </c>
      <c r="C101">
        <v>549.88</v>
      </c>
      <c r="D101">
        <v>525.61</v>
      </c>
      <c r="E101">
        <v>529.94000000000005</v>
      </c>
      <c r="F101">
        <v>4021800</v>
      </c>
      <c r="G101">
        <v>529.94000000000005</v>
      </c>
    </row>
    <row r="102" spans="1:7" x14ac:dyDescent="0.25">
      <c r="A102" s="5">
        <v>40197</v>
      </c>
      <c r="B102">
        <v>581.20000000000005</v>
      </c>
      <c r="C102">
        <v>590.41999999999996</v>
      </c>
      <c r="D102">
        <v>534.86</v>
      </c>
      <c r="E102">
        <v>550.01</v>
      </c>
      <c r="F102">
        <v>5168800</v>
      </c>
      <c r="G102">
        <v>550.01</v>
      </c>
    </row>
    <row r="103" spans="1:7" x14ac:dyDescent="0.25">
      <c r="A103" s="5">
        <v>40189</v>
      </c>
      <c r="B103">
        <v>604.46</v>
      </c>
      <c r="C103">
        <v>604.46</v>
      </c>
      <c r="D103">
        <v>573.9</v>
      </c>
      <c r="E103">
        <v>580</v>
      </c>
      <c r="F103">
        <v>5647400</v>
      </c>
      <c r="G103">
        <v>580</v>
      </c>
    </row>
    <row r="104" spans="1:7" x14ac:dyDescent="0.25">
      <c r="A104" s="5">
        <v>40182</v>
      </c>
      <c r="B104">
        <v>626.95000000000005</v>
      </c>
      <c r="C104">
        <v>629.51</v>
      </c>
      <c r="D104">
        <v>589.11</v>
      </c>
      <c r="E104">
        <v>602.02</v>
      </c>
      <c r="F104">
        <v>4015600</v>
      </c>
      <c r="G104">
        <v>602.02</v>
      </c>
    </row>
    <row r="105" spans="1:7" x14ac:dyDescent="0.25">
      <c r="A105" s="5">
        <v>40175</v>
      </c>
      <c r="B105">
        <v>621.66</v>
      </c>
      <c r="C105">
        <v>625.99</v>
      </c>
      <c r="D105">
        <v>618.01</v>
      </c>
      <c r="E105">
        <v>619.98</v>
      </c>
      <c r="F105">
        <v>1452000</v>
      </c>
      <c r="G105">
        <v>619.98</v>
      </c>
    </row>
    <row r="106" spans="1:7" x14ac:dyDescent="0.25">
      <c r="A106" s="5">
        <v>40168</v>
      </c>
      <c r="B106">
        <v>597.61</v>
      </c>
      <c r="C106">
        <v>619.52</v>
      </c>
      <c r="D106">
        <v>595.66999999999996</v>
      </c>
      <c r="E106">
        <v>618.48</v>
      </c>
      <c r="F106">
        <v>1845800</v>
      </c>
      <c r="G106">
        <v>618.48</v>
      </c>
    </row>
    <row r="107" spans="1:7" x14ac:dyDescent="0.25">
      <c r="A107" s="5">
        <v>40161</v>
      </c>
      <c r="B107">
        <v>595.35</v>
      </c>
      <c r="C107">
        <v>600.37</v>
      </c>
      <c r="D107">
        <v>590.99</v>
      </c>
      <c r="E107">
        <v>596.41999999999996</v>
      </c>
      <c r="F107">
        <v>2634700</v>
      </c>
      <c r="G107">
        <v>596.41999999999996</v>
      </c>
    </row>
    <row r="108" spans="1:7" x14ac:dyDescent="0.25">
      <c r="A108" s="5">
        <v>40154</v>
      </c>
      <c r="B108">
        <v>584.21</v>
      </c>
      <c r="C108">
        <v>594.75</v>
      </c>
      <c r="D108">
        <v>581</v>
      </c>
      <c r="E108">
        <v>590.51</v>
      </c>
      <c r="F108">
        <v>1665900</v>
      </c>
      <c r="G108">
        <v>590.51</v>
      </c>
    </row>
    <row r="109" spans="1:7" x14ac:dyDescent="0.25">
      <c r="A109" s="5">
        <v>40147</v>
      </c>
      <c r="B109">
        <v>580.63</v>
      </c>
      <c r="C109">
        <v>594.83000000000004</v>
      </c>
      <c r="D109">
        <v>577.11</v>
      </c>
      <c r="E109">
        <v>585.01</v>
      </c>
      <c r="F109">
        <v>1930100</v>
      </c>
      <c r="G109">
        <v>585.01</v>
      </c>
    </row>
    <row r="110" spans="1:7" x14ac:dyDescent="0.25">
      <c r="A110" s="5">
        <v>40140</v>
      </c>
      <c r="B110">
        <v>576.49</v>
      </c>
      <c r="C110">
        <v>587.05999999999995</v>
      </c>
      <c r="D110">
        <v>570.97</v>
      </c>
      <c r="E110">
        <v>579.76</v>
      </c>
      <c r="F110">
        <v>1749600</v>
      </c>
      <c r="G110">
        <v>579.76</v>
      </c>
    </row>
    <row r="111" spans="1:7" x14ac:dyDescent="0.25">
      <c r="A111" s="5">
        <v>40133</v>
      </c>
      <c r="B111">
        <v>575</v>
      </c>
      <c r="C111">
        <v>578.78</v>
      </c>
      <c r="D111">
        <v>569.4</v>
      </c>
      <c r="E111">
        <v>569.96</v>
      </c>
      <c r="F111">
        <v>1967900</v>
      </c>
      <c r="G111">
        <v>569.96</v>
      </c>
    </row>
    <row r="112" spans="1:7" x14ac:dyDescent="0.25">
      <c r="A112" s="5">
        <v>40126</v>
      </c>
      <c r="B112">
        <v>555.45000000000005</v>
      </c>
      <c r="C112">
        <v>573.5</v>
      </c>
      <c r="D112">
        <v>554.23</v>
      </c>
      <c r="E112">
        <v>572.04999999999995</v>
      </c>
      <c r="F112">
        <v>2150700</v>
      </c>
      <c r="G112">
        <v>572.04999999999995</v>
      </c>
    </row>
    <row r="113" spans="1:7" x14ac:dyDescent="0.25">
      <c r="A113" s="5">
        <v>40119</v>
      </c>
      <c r="B113">
        <v>537.08000000000004</v>
      </c>
      <c r="C113">
        <v>551.78</v>
      </c>
      <c r="D113">
        <v>528.24</v>
      </c>
      <c r="E113">
        <v>551.1</v>
      </c>
      <c r="F113">
        <v>2317800</v>
      </c>
      <c r="G113">
        <v>551.1</v>
      </c>
    </row>
    <row r="114" spans="1:7" x14ac:dyDescent="0.25">
      <c r="A114" s="5">
        <v>40112</v>
      </c>
      <c r="B114">
        <v>555.75</v>
      </c>
      <c r="C114">
        <v>561.64</v>
      </c>
      <c r="D114">
        <v>534.24</v>
      </c>
      <c r="E114">
        <v>536.12</v>
      </c>
      <c r="F114">
        <v>2949100</v>
      </c>
      <c r="G114">
        <v>536.12</v>
      </c>
    </row>
    <row r="115" spans="1:7" x14ac:dyDescent="0.25">
      <c r="A115" s="5">
        <v>40105</v>
      </c>
      <c r="B115">
        <v>552.69000000000005</v>
      </c>
      <c r="C115">
        <v>559.35</v>
      </c>
      <c r="D115">
        <v>540.70000000000005</v>
      </c>
      <c r="E115">
        <v>553.69000000000005</v>
      </c>
      <c r="F115">
        <v>3132200</v>
      </c>
      <c r="G115">
        <v>553.69000000000005</v>
      </c>
    </row>
    <row r="116" spans="1:7" x14ac:dyDescent="0.25">
      <c r="A116" s="5">
        <v>40098</v>
      </c>
      <c r="B116">
        <v>523.41999999999996</v>
      </c>
      <c r="C116">
        <v>554.75</v>
      </c>
      <c r="D116">
        <v>519.32000000000005</v>
      </c>
      <c r="E116">
        <v>549.85</v>
      </c>
      <c r="F116">
        <v>4912000</v>
      </c>
      <c r="G116">
        <v>549.85</v>
      </c>
    </row>
    <row r="117" spans="1:7" x14ac:dyDescent="0.25">
      <c r="A117" s="5">
        <v>40091</v>
      </c>
      <c r="B117">
        <v>487.65</v>
      </c>
      <c r="C117">
        <v>523.25</v>
      </c>
      <c r="D117">
        <v>483.34</v>
      </c>
      <c r="E117">
        <v>516.25</v>
      </c>
      <c r="F117">
        <v>3358600</v>
      </c>
      <c r="G117">
        <v>516.25</v>
      </c>
    </row>
    <row r="118" spans="1:7" x14ac:dyDescent="0.25">
      <c r="A118" s="5">
        <v>40084</v>
      </c>
      <c r="B118">
        <v>494.84</v>
      </c>
      <c r="C118">
        <v>501.5</v>
      </c>
      <c r="D118">
        <v>482.6</v>
      </c>
      <c r="E118">
        <v>484.58</v>
      </c>
      <c r="F118">
        <v>2498800</v>
      </c>
      <c r="G118">
        <v>484.58</v>
      </c>
    </row>
    <row r="119" spans="1:7" x14ac:dyDescent="0.25">
      <c r="A119" s="5">
        <v>40077</v>
      </c>
      <c r="B119">
        <v>487.74</v>
      </c>
      <c r="C119">
        <v>507</v>
      </c>
      <c r="D119">
        <v>486.22</v>
      </c>
      <c r="E119">
        <v>492.48</v>
      </c>
      <c r="F119">
        <v>2487800</v>
      </c>
      <c r="G119">
        <v>492.48</v>
      </c>
    </row>
    <row r="120" spans="1:7" x14ac:dyDescent="0.25">
      <c r="A120" s="5">
        <v>40070</v>
      </c>
      <c r="B120">
        <v>470.51</v>
      </c>
      <c r="C120">
        <v>497.37</v>
      </c>
      <c r="D120">
        <v>470.05</v>
      </c>
      <c r="E120">
        <v>491.46</v>
      </c>
      <c r="F120">
        <v>2945100</v>
      </c>
      <c r="G120">
        <v>491.46</v>
      </c>
    </row>
    <row r="121" spans="1:7" x14ac:dyDescent="0.25">
      <c r="A121" s="5">
        <v>40064</v>
      </c>
      <c r="B121">
        <v>464.29</v>
      </c>
      <c r="C121">
        <v>473.3</v>
      </c>
      <c r="D121">
        <v>455.84</v>
      </c>
      <c r="E121">
        <v>472.14</v>
      </c>
      <c r="F121">
        <v>2322400</v>
      </c>
      <c r="G121">
        <v>472.14</v>
      </c>
    </row>
    <row r="122" spans="1:7" x14ac:dyDescent="0.25">
      <c r="A122" s="5">
        <v>40056</v>
      </c>
      <c r="B122">
        <v>459.79</v>
      </c>
      <c r="C122">
        <v>466.82</v>
      </c>
      <c r="D122">
        <v>452.59</v>
      </c>
      <c r="E122">
        <v>461.3</v>
      </c>
      <c r="F122">
        <v>1900600</v>
      </c>
      <c r="G122">
        <v>461.3</v>
      </c>
    </row>
    <row r="123" spans="1:7" x14ac:dyDescent="0.25">
      <c r="A123" s="5">
        <v>40049</v>
      </c>
      <c r="B123">
        <v>467.35</v>
      </c>
      <c r="C123">
        <v>474.35</v>
      </c>
      <c r="D123">
        <v>460.73</v>
      </c>
      <c r="E123">
        <v>464.75</v>
      </c>
      <c r="F123">
        <v>2110500</v>
      </c>
      <c r="G123">
        <v>464.75</v>
      </c>
    </row>
    <row r="124" spans="1:7" x14ac:dyDescent="0.25">
      <c r="A124" s="5">
        <v>40042</v>
      </c>
      <c r="B124">
        <v>451.5</v>
      </c>
      <c r="C124">
        <v>466.09</v>
      </c>
      <c r="D124">
        <v>438.56</v>
      </c>
      <c r="E124">
        <v>465.24</v>
      </c>
      <c r="F124">
        <v>2957100</v>
      </c>
      <c r="G124">
        <v>465.24</v>
      </c>
    </row>
    <row r="125" spans="1:7" x14ac:dyDescent="0.25">
      <c r="A125" s="5">
        <v>40035</v>
      </c>
      <c r="B125">
        <v>455.14</v>
      </c>
      <c r="C125">
        <v>464.72</v>
      </c>
      <c r="D125">
        <v>452.38</v>
      </c>
      <c r="E125">
        <v>460</v>
      </c>
      <c r="F125">
        <v>1893200</v>
      </c>
      <c r="G125">
        <v>460</v>
      </c>
    </row>
    <row r="126" spans="1:7" x14ac:dyDescent="0.25">
      <c r="A126" s="5">
        <v>40028</v>
      </c>
      <c r="B126">
        <v>448.74</v>
      </c>
      <c r="C126">
        <v>459.42</v>
      </c>
      <c r="D126">
        <v>447.64</v>
      </c>
      <c r="E126">
        <v>457.1</v>
      </c>
      <c r="F126">
        <v>2395200</v>
      </c>
      <c r="G126">
        <v>457.1</v>
      </c>
    </row>
    <row r="127" spans="1:7" x14ac:dyDescent="0.25">
      <c r="A127" s="5">
        <v>40021</v>
      </c>
      <c r="B127">
        <v>446.04</v>
      </c>
      <c r="C127">
        <v>452.7</v>
      </c>
      <c r="D127">
        <v>431.89</v>
      </c>
      <c r="E127">
        <v>443.05</v>
      </c>
      <c r="F127">
        <v>2616500</v>
      </c>
      <c r="G127">
        <v>443.05</v>
      </c>
    </row>
    <row r="128" spans="1:7" x14ac:dyDescent="0.25">
      <c r="A128" s="5">
        <v>40014</v>
      </c>
      <c r="B128">
        <v>429.88</v>
      </c>
      <c r="C128">
        <v>450.49</v>
      </c>
      <c r="D128">
        <v>423.5</v>
      </c>
      <c r="E128">
        <v>446.72</v>
      </c>
      <c r="F128">
        <v>3162700</v>
      </c>
      <c r="G128">
        <v>446.72</v>
      </c>
    </row>
    <row r="129" spans="1:7" x14ac:dyDescent="0.25">
      <c r="A129" s="5">
        <v>40007</v>
      </c>
      <c r="B129">
        <v>416.17</v>
      </c>
      <c r="C129">
        <v>445.75</v>
      </c>
      <c r="D129">
        <v>415.18</v>
      </c>
      <c r="E129">
        <v>430.25</v>
      </c>
      <c r="F129">
        <v>4825400</v>
      </c>
      <c r="G129">
        <v>430.25</v>
      </c>
    </row>
    <row r="130" spans="1:7" x14ac:dyDescent="0.25">
      <c r="A130" s="5">
        <v>40000</v>
      </c>
      <c r="B130">
        <v>406.5</v>
      </c>
      <c r="C130">
        <v>417.37</v>
      </c>
      <c r="D130">
        <v>395.98</v>
      </c>
      <c r="E130">
        <v>414.4</v>
      </c>
      <c r="F130">
        <v>3033000</v>
      </c>
      <c r="G130">
        <v>414.4</v>
      </c>
    </row>
    <row r="131" spans="1:7" x14ac:dyDescent="0.25">
      <c r="A131" s="5">
        <v>39993</v>
      </c>
      <c r="B131">
        <v>426</v>
      </c>
      <c r="C131">
        <v>427.8</v>
      </c>
      <c r="D131">
        <v>406.81</v>
      </c>
      <c r="E131">
        <v>408.49</v>
      </c>
      <c r="F131">
        <v>2397900</v>
      </c>
      <c r="G131">
        <v>408.49</v>
      </c>
    </row>
    <row r="132" spans="1:7" x14ac:dyDescent="0.25">
      <c r="A132" s="5">
        <v>39986</v>
      </c>
      <c r="B132">
        <v>416.95</v>
      </c>
      <c r="C132">
        <v>428.23</v>
      </c>
      <c r="D132">
        <v>401.89</v>
      </c>
      <c r="E132">
        <v>425.32</v>
      </c>
      <c r="F132">
        <v>3156600</v>
      </c>
      <c r="G132">
        <v>425.32</v>
      </c>
    </row>
    <row r="133" spans="1:7" x14ac:dyDescent="0.25">
      <c r="A133" s="5">
        <v>39979</v>
      </c>
      <c r="B133">
        <v>421.5</v>
      </c>
      <c r="C133">
        <v>421.5</v>
      </c>
      <c r="D133">
        <v>411.56</v>
      </c>
      <c r="E133">
        <v>420.09</v>
      </c>
      <c r="F133">
        <v>3524200</v>
      </c>
      <c r="G133">
        <v>420.09</v>
      </c>
    </row>
    <row r="134" spans="1:7" x14ac:dyDescent="0.25">
      <c r="A134" s="5">
        <v>39972</v>
      </c>
      <c r="B134">
        <v>439.5</v>
      </c>
      <c r="C134">
        <v>440.92</v>
      </c>
      <c r="D134">
        <v>421.21</v>
      </c>
      <c r="E134">
        <v>424.84</v>
      </c>
      <c r="F134">
        <v>3099200</v>
      </c>
      <c r="G134">
        <v>424.84</v>
      </c>
    </row>
    <row r="135" spans="1:7" x14ac:dyDescent="0.25">
      <c r="A135" s="5">
        <v>39965</v>
      </c>
      <c r="B135">
        <v>418.73</v>
      </c>
      <c r="C135">
        <v>447.34</v>
      </c>
      <c r="D135">
        <v>418.53</v>
      </c>
      <c r="E135">
        <v>444.32</v>
      </c>
      <c r="F135">
        <v>3359500</v>
      </c>
      <c r="G135">
        <v>444.32</v>
      </c>
    </row>
    <row r="136" spans="1:7" x14ac:dyDescent="0.25">
      <c r="A136" s="5">
        <v>39959</v>
      </c>
      <c r="B136">
        <v>391.95</v>
      </c>
      <c r="C136">
        <v>417.23</v>
      </c>
      <c r="D136">
        <v>390</v>
      </c>
      <c r="E136">
        <v>417.23</v>
      </c>
      <c r="F136">
        <v>2863900</v>
      </c>
      <c r="G136">
        <v>417.23</v>
      </c>
    </row>
    <row r="137" spans="1:7" x14ac:dyDescent="0.25">
      <c r="A137" s="5">
        <v>39951</v>
      </c>
      <c r="B137">
        <v>394.73</v>
      </c>
      <c r="C137">
        <v>405.67</v>
      </c>
      <c r="D137">
        <v>385.4</v>
      </c>
      <c r="E137">
        <v>393.5</v>
      </c>
      <c r="F137">
        <v>2582300</v>
      </c>
      <c r="G137">
        <v>393.5</v>
      </c>
    </row>
    <row r="138" spans="1:7" x14ac:dyDescent="0.25">
      <c r="A138" s="5">
        <v>39944</v>
      </c>
      <c r="B138">
        <v>402.8</v>
      </c>
      <c r="C138">
        <v>412</v>
      </c>
      <c r="D138">
        <v>384.69</v>
      </c>
      <c r="E138">
        <v>390</v>
      </c>
      <c r="F138">
        <v>3027700</v>
      </c>
      <c r="G138">
        <v>390</v>
      </c>
    </row>
    <row r="139" spans="1:7" x14ac:dyDescent="0.25">
      <c r="A139" s="5">
        <v>39937</v>
      </c>
      <c r="B139">
        <v>398.17</v>
      </c>
      <c r="C139">
        <v>410.13</v>
      </c>
      <c r="D139">
        <v>392.5</v>
      </c>
      <c r="E139">
        <v>407.33</v>
      </c>
      <c r="F139">
        <v>3020300</v>
      </c>
      <c r="G139">
        <v>407.33</v>
      </c>
    </row>
    <row r="140" spans="1:7" x14ac:dyDescent="0.25">
      <c r="A140" s="5">
        <v>39930</v>
      </c>
      <c r="B140">
        <v>384.34</v>
      </c>
      <c r="C140">
        <v>403.75</v>
      </c>
      <c r="D140">
        <v>381.54</v>
      </c>
      <c r="E140">
        <v>393.69</v>
      </c>
      <c r="F140">
        <v>3125500</v>
      </c>
      <c r="G140">
        <v>393.69</v>
      </c>
    </row>
    <row r="141" spans="1:7" x14ac:dyDescent="0.25">
      <c r="A141" s="5">
        <v>39923</v>
      </c>
      <c r="B141">
        <v>386.15</v>
      </c>
      <c r="C141">
        <v>393.18</v>
      </c>
      <c r="D141">
        <v>375.89</v>
      </c>
      <c r="E141">
        <v>389.49</v>
      </c>
      <c r="F141">
        <v>3524100</v>
      </c>
      <c r="G141">
        <v>389.49</v>
      </c>
    </row>
    <row r="142" spans="1:7" x14ac:dyDescent="0.25">
      <c r="A142" s="5">
        <v>39916</v>
      </c>
      <c r="B142">
        <v>371.33</v>
      </c>
      <c r="C142">
        <v>399.82</v>
      </c>
      <c r="D142">
        <v>364.16</v>
      </c>
      <c r="E142">
        <v>392.24</v>
      </c>
      <c r="F142">
        <v>6465000</v>
      </c>
      <c r="G142">
        <v>392.24</v>
      </c>
    </row>
    <row r="143" spans="1:7" x14ac:dyDescent="0.25">
      <c r="A143" s="5">
        <v>39909</v>
      </c>
      <c r="B143">
        <v>367</v>
      </c>
      <c r="C143">
        <v>374.35</v>
      </c>
      <c r="D143">
        <v>355.31</v>
      </c>
      <c r="E143">
        <v>372.5</v>
      </c>
      <c r="F143">
        <v>3277000</v>
      </c>
      <c r="G143">
        <v>372.5</v>
      </c>
    </row>
    <row r="144" spans="1:7" x14ac:dyDescent="0.25">
      <c r="A144" s="5">
        <v>39902</v>
      </c>
      <c r="B144">
        <v>342.55</v>
      </c>
      <c r="C144">
        <v>371.72</v>
      </c>
      <c r="D144">
        <v>336.05</v>
      </c>
      <c r="E144">
        <v>369.78</v>
      </c>
      <c r="F144">
        <v>3665600</v>
      </c>
      <c r="G144">
        <v>369.78</v>
      </c>
    </row>
    <row r="145" spans="1:7" x14ac:dyDescent="0.25">
      <c r="A145" s="5">
        <v>39895</v>
      </c>
      <c r="B145">
        <v>333.56</v>
      </c>
      <c r="C145">
        <v>359.16</v>
      </c>
      <c r="D145">
        <v>333.03</v>
      </c>
      <c r="E145">
        <v>347.7</v>
      </c>
      <c r="F145">
        <v>4350700</v>
      </c>
      <c r="G145">
        <v>347.7</v>
      </c>
    </row>
    <row r="146" spans="1:7" x14ac:dyDescent="0.25">
      <c r="A146" s="5">
        <v>39888</v>
      </c>
      <c r="B146">
        <v>325.99</v>
      </c>
      <c r="C146">
        <v>340</v>
      </c>
      <c r="D146">
        <v>318.58999999999997</v>
      </c>
      <c r="E146">
        <v>330.16</v>
      </c>
      <c r="F146">
        <v>4704100</v>
      </c>
      <c r="G146">
        <v>330.16</v>
      </c>
    </row>
    <row r="147" spans="1:7" x14ac:dyDescent="0.25">
      <c r="A147" s="5">
        <v>39881</v>
      </c>
      <c r="B147">
        <v>299.98</v>
      </c>
      <c r="C147">
        <v>327.45999999999998</v>
      </c>
      <c r="D147">
        <v>289.45</v>
      </c>
      <c r="E147">
        <v>324.42</v>
      </c>
      <c r="F147">
        <v>5611100</v>
      </c>
      <c r="G147">
        <v>324.42</v>
      </c>
    </row>
    <row r="148" spans="1:7" x14ac:dyDescent="0.25">
      <c r="A148" s="5">
        <v>39874</v>
      </c>
      <c r="B148">
        <v>333.33</v>
      </c>
      <c r="C148">
        <v>340.7</v>
      </c>
      <c r="D148">
        <v>294.25</v>
      </c>
      <c r="E148">
        <v>308.57</v>
      </c>
      <c r="F148">
        <v>6779100</v>
      </c>
      <c r="G148">
        <v>308.57</v>
      </c>
    </row>
    <row r="149" spans="1:7" x14ac:dyDescent="0.25">
      <c r="A149" s="5">
        <v>39867</v>
      </c>
      <c r="B149">
        <v>347</v>
      </c>
      <c r="C149">
        <v>352.49</v>
      </c>
      <c r="D149">
        <v>329.55</v>
      </c>
      <c r="E149">
        <v>337.99</v>
      </c>
      <c r="F149">
        <v>5756300</v>
      </c>
      <c r="G149">
        <v>337.99</v>
      </c>
    </row>
    <row r="150" spans="1:7" x14ac:dyDescent="0.25">
      <c r="A150" s="5">
        <v>39861</v>
      </c>
      <c r="B150">
        <v>346.51</v>
      </c>
      <c r="C150">
        <v>359.8</v>
      </c>
      <c r="D150">
        <v>335</v>
      </c>
      <c r="E150">
        <v>346.45</v>
      </c>
      <c r="F150">
        <v>5727600</v>
      </c>
      <c r="G150">
        <v>346.45</v>
      </c>
    </row>
    <row r="151" spans="1:7" x14ac:dyDescent="0.25">
      <c r="A151" s="5">
        <v>39853</v>
      </c>
      <c r="B151">
        <v>371.28</v>
      </c>
      <c r="C151">
        <v>381</v>
      </c>
      <c r="D151">
        <v>351.48</v>
      </c>
      <c r="E151">
        <v>357.68</v>
      </c>
      <c r="F151">
        <v>5401900</v>
      </c>
      <c r="G151">
        <v>357.68</v>
      </c>
    </row>
    <row r="152" spans="1:7" x14ac:dyDescent="0.25">
      <c r="A152" s="5">
        <v>39846</v>
      </c>
      <c r="B152">
        <v>334.29</v>
      </c>
      <c r="C152">
        <v>373.81</v>
      </c>
      <c r="D152">
        <v>332</v>
      </c>
      <c r="E152">
        <v>371.28</v>
      </c>
      <c r="F152">
        <v>6576600</v>
      </c>
      <c r="G152">
        <v>371.28</v>
      </c>
    </row>
    <row r="153" spans="1:7" x14ac:dyDescent="0.25">
      <c r="A153" s="5">
        <v>39839</v>
      </c>
      <c r="B153">
        <v>324.85000000000002</v>
      </c>
      <c r="C153">
        <v>352.33</v>
      </c>
      <c r="D153">
        <v>320.56</v>
      </c>
      <c r="E153">
        <v>338.53</v>
      </c>
      <c r="F153">
        <v>5837000</v>
      </c>
      <c r="G153">
        <v>338.53</v>
      </c>
    </row>
    <row r="154" spans="1:7" x14ac:dyDescent="0.25">
      <c r="A154" s="5">
        <v>39833</v>
      </c>
      <c r="B154">
        <v>299.14</v>
      </c>
      <c r="C154">
        <v>331.96</v>
      </c>
      <c r="D154">
        <v>282.75</v>
      </c>
      <c r="E154">
        <v>324.7</v>
      </c>
      <c r="F154">
        <v>7243100</v>
      </c>
      <c r="G154">
        <v>324.7</v>
      </c>
    </row>
    <row r="155" spans="1:7" x14ac:dyDescent="0.25">
      <c r="A155" s="5">
        <v>39825</v>
      </c>
      <c r="B155">
        <v>316.31</v>
      </c>
      <c r="C155">
        <v>320.60000000000002</v>
      </c>
      <c r="D155">
        <v>286.79000000000002</v>
      </c>
      <c r="E155">
        <v>299.67</v>
      </c>
      <c r="F155">
        <v>4872700</v>
      </c>
      <c r="G155">
        <v>299.67</v>
      </c>
    </row>
    <row r="156" spans="1:7" x14ac:dyDescent="0.25">
      <c r="A156" s="5">
        <v>39818</v>
      </c>
      <c r="B156">
        <v>321</v>
      </c>
      <c r="C156">
        <v>340.8</v>
      </c>
      <c r="D156">
        <v>313.39999999999998</v>
      </c>
      <c r="E156">
        <v>315.07</v>
      </c>
      <c r="F156">
        <v>4749900</v>
      </c>
      <c r="G156">
        <v>315.07</v>
      </c>
    </row>
    <row r="157" spans="1:7" x14ac:dyDescent="0.25">
      <c r="A157" s="5">
        <v>39811</v>
      </c>
      <c r="B157">
        <v>300.22000000000003</v>
      </c>
      <c r="C157">
        <v>321.82</v>
      </c>
      <c r="D157">
        <v>291.58</v>
      </c>
      <c r="E157">
        <v>321.32</v>
      </c>
      <c r="F157">
        <v>3510600</v>
      </c>
      <c r="G157">
        <v>321.32</v>
      </c>
    </row>
    <row r="158" spans="1:7" x14ac:dyDescent="0.25">
      <c r="A158" s="5">
        <v>39804</v>
      </c>
      <c r="B158">
        <v>308.56</v>
      </c>
      <c r="C158">
        <v>309.5</v>
      </c>
      <c r="D158">
        <v>290.63</v>
      </c>
      <c r="E158">
        <v>300.36</v>
      </c>
      <c r="F158">
        <v>2893900</v>
      </c>
      <c r="G158">
        <v>300.36</v>
      </c>
    </row>
    <row r="159" spans="1:7" x14ac:dyDescent="0.25">
      <c r="A159" s="5">
        <v>39797</v>
      </c>
      <c r="B159">
        <v>314.01</v>
      </c>
      <c r="C159">
        <v>329.5</v>
      </c>
      <c r="D159">
        <v>305.11</v>
      </c>
      <c r="E159">
        <v>310.17</v>
      </c>
      <c r="F159">
        <v>5992600</v>
      </c>
      <c r="G159">
        <v>310.17</v>
      </c>
    </row>
    <row r="160" spans="1:7" x14ac:dyDescent="0.25">
      <c r="A160" s="5">
        <v>39790</v>
      </c>
      <c r="B160">
        <v>289.99</v>
      </c>
      <c r="C160">
        <v>318</v>
      </c>
      <c r="D160">
        <v>282</v>
      </c>
      <c r="E160">
        <v>315.76</v>
      </c>
      <c r="F160">
        <v>6434500</v>
      </c>
      <c r="G160">
        <v>315.76</v>
      </c>
    </row>
    <row r="161" spans="1:7" x14ac:dyDescent="0.25">
      <c r="A161" s="5">
        <v>39783</v>
      </c>
      <c r="B161">
        <v>286.68</v>
      </c>
      <c r="C161">
        <v>287.38</v>
      </c>
      <c r="D161">
        <v>262.58</v>
      </c>
      <c r="E161">
        <v>283.99</v>
      </c>
      <c r="F161">
        <v>5772700</v>
      </c>
      <c r="G161">
        <v>283.99</v>
      </c>
    </row>
    <row r="162" spans="1:7" x14ac:dyDescent="0.25">
      <c r="A162" s="5">
        <v>39776</v>
      </c>
      <c r="B162">
        <v>269.26</v>
      </c>
      <c r="C162">
        <v>296.45</v>
      </c>
      <c r="D162">
        <v>249.01</v>
      </c>
      <c r="E162">
        <v>292.95999999999998</v>
      </c>
      <c r="F162">
        <v>7437000</v>
      </c>
      <c r="G162">
        <v>292.95999999999998</v>
      </c>
    </row>
    <row r="163" spans="1:7" x14ac:dyDescent="0.25">
      <c r="A163" s="5">
        <v>39769</v>
      </c>
      <c r="B163">
        <v>303</v>
      </c>
      <c r="C163">
        <v>310.16000000000003</v>
      </c>
      <c r="D163">
        <v>247.3</v>
      </c>
      <c r="E163">
        <v>262.43</v>
      </c>
      <c r="F163">
        <v>8749600</v>
      </c>
      <c r="G163">
        <v>262.43</v>
      </c>
    </row>
    <row r="164" spans="1:7" x14ac:dyDescent="0.25">
      <c r="A164" s="5">
        <v>39762</v>
      </c>
      <c r="B164">
        <v>328</v>
      </c>
      <c r="C164">
        <v>329.44</v>
      </c>
      <c r="D164">
        <v>280</v>
      </c>
      <c r="E164">
        <v>310.02</v>
      </c>
      <c r="F164">
        <v>10205900</v>
      </c>
      <c r="G164">
        <v>310.02</v>
      </c>
    </row>
    <row r="165" spans="1:7" x14ac:dyDescent="0.25">
      <c r="A165" s="5">
        <v>39755</v>
      </c>
      <c r="B165">
        <v>357.58</v>
      </c>
      <c r="C165">
        <v>372.36</v>
      </c>
      <c r="D165">
        <v>325.33</v>
      </c>
      <c r="E165">
        <v>331.14</v>
      </c>
      <c r="F165">
        <v>6701400</v>
      </c>
      <c r="G165">
        <v>331.14</v>
      </c>
    </row>
    <row r="166" spans="1:7" x14ac:dyDescent="0.25">
      <c r="A166" s="5">
        <v>39748</v>
      </c>
      <c r="B166">
        <v>334.81</v>
      </c>
      <c r="C166">
        <v>372</v>
      </c>
      <c r="D166">
        <v>325.60000000000002</v>
      </c>
      <c r="E166">
        <v>359.36</v>
      </c>
      <c r="F166">
        <v>7894900</v>
      </c>
      <c r="G166">
        <v>359.36</v>
      </c>
    </row>
    <row r="167" spans="1:7" x14ac:dyDescent="0.25">
      <c r="A167" s="5">
        <v>39741</v>
      </c>
      <c r="B167">
        <v>379.75</v>
      </c>
      <c r="C167">
        <v>383.78</v>
      </c>
      <c r="D167">
        <v>324.74</v>
      </c>
      <c r="E167">
        <v>339.29</v>
      </c>
      <c r="F167">
        <v>6586600</v>
      </c>
      <c r="G167">
        <v>339.29</v>
      </c>
    </row>
    <row r="168" spans="1:7" x14ac:dyDescent="0.25">
      <c r="A168" s="5">
        <v>39734</v>
      </c>
      <c r="B168">
        <v>355.79</v>
      </c>
      <c r="C168">
        <v>394.5</v>
      </c>
      <c r="D168">
        <v>309.44</v>
      </c>
      <c r="E168">
        <v>372.54</v>
      </c>
      <c r="F168">
        <v>10780100</v>
      </c>
      <c r="G168">
        <v>372.54</v>
      </c>
    </row>
    <row r="169" spans="1:7" x14ac:dyDescent="0.25">
      <c r="A169" s="5">
        <v>39727</v>
      </c>
      <c r="B169">
        <v>373.98</v>
      </c>
      <c r="C169">
        <v>375.99</v>
      </c>
      <c r="D169">
        <v>310.3</v>
      </c>
      <c r="E169">
        <v>332</v>
      </c>
      <c r="F169">
        <v>10554800</v>
      </c>
      <c r="G169">
        <v>332</v>
      </c>
    </row>
    <row r="170" spans="1:7" x14ac:dyDescent="0.25">
      <c r="A170" s="5">
        <v>39720</v>
      </c>
      <c r="B170">
        <v>419.51</v>
      </c>
      <c r="C170">
        <v>425.08</v>
      </c>
      <c r="D170">
        <v>380.71</v>
      </c>
      <c r="E170">
        <v>386.91</v>
      </c>
      <c r="F170">
        <v>6812300</v>
      </c>
      <c r="G170">
        <v>386.91</v>
      </c>
    </row>
    <row r="171" spans="1:7" x14ac:dyDescent="0.25">
      <c r="A171" s="5">
        <v>39713</v>
      </c>
      <c r="B171">
        <v>454.13</v>
      </c>
      <c r="C171">
        <v>454.13</v>
      </c>
      <c r="D171">
        <v>421.03</v>
      </c>
      <c r="E171">
        <v>431.04</v>
      </c>
      <c r="F171">
        <v>4833200</v>
      </c>
      <c r="G171">
        <v>431.04</v>
      </c>
    </row>
    <row r="172" spans="1:7" x14ac:dyDescent="0.25">
      <c r="A172" s="5">
        <v>39706</v>
      </c>
      <c r="B172">
        <v>424</v>
      </c>
      <c r="C172">
        <v>462.07</v>
      </c>
      <c r="D172">
        <v>410.5</v>
      </c>
      <c r="E172">
        <v>449.15</v>
      </c>
      <c r="F172">
        <v>8256000</v>
      </c>
      <c r="G172">
        <v>449.15</v>
      </c>
    </row>
    <row r="173" spans="1:7" x14ac:dyDescent="0.25">
      <c r="A173" s="5">
        <v>39699</v>
      </c>
      <c r="B173">
        <v>452.02</v>
      </c>
      <c r="C173">
        <v>452.94</v>
      </c>
      <c r="D173">
        <v>406.38</v>
      </c>
      <c r="E173">
        <v>437.66</v>
      </c>
      <c r="F173">
        <v>6994700</v>
      </c>
      <c r="G173">
        <v>437.66</v>
      </c>
    </row>
    <row r="174" spans="1:7" x14ac:dyDescent="0.25">
      <c r="A174" s="5">
        <v>39693</v>
      </c>
      <c r="B174">
        <v>476.77</v>
      </c>
      <c r="C174">
        <v>482.18</v>
      </c>
      <c r="D174">
        <v>440.08</v>
      </c>
      <c r="E174">
        <v>444.25</v>
      </c>
      <c r="F174">
        <v>4952200</v>
      </c>
      <c r="G174">
        <v>444.25</v>
      </c>
    </row>
    <row r="175" spans="1:7" x14ac:dyDescent="0.25">
      <c r="A175" s="5">
        <v>39685</v>
      </c>
      <c r="B175">
        <v>486.11</v>
      </c>
      <c r="C175">
        <v>497</v>
      </c>
      <c r="D175">
        <v>462.33</v>
      </c>
      <c r="E175">
        <v>463.29</v>
      </c>
      <c r="F175">
        <v>3317500</v>
      </c>
      <c r="G175">
        <v>463.29</v>
      </c>
    </row>
    <row r="176" spans="1:7" x14ac:dyDescent="0.25">
      <c r="A176" s="5">
        <v>39678</v>
      </c>
      <c r="B176">
        <v>509.84</v>
      </c>
      <c r="C176">
        <v>510</v>
      </c>
      <c r="D176">
        <v>479.27</v>
      </c>
      <c r="E176">
        <v>490.59</v>
      </c>
      <c r="F176">
        <v>3234700</v>
      </c>
      <c r="G176">
        <v>490.59</v>
      </c>
    </row>
    <row r="177" spans="1:7" x14ac:dyDescent="0.25">
      <c r="A177" s="5">
        <v>39671</v>
      </c>
      <c r="B177">
        <v>492.47</v>
      </c>
      <c r="C177">
        <v>510.66</v>
      </c>
      <c r="D177">
        <v>491.78</v>
      </c>
      <c r="E177">
        <v>510.15</v>
      </c>
      <c r="F177">
        <v>3416900</v>
      </c>
      <c r="G177">
        <v>510.15</v>
      </c>
    </row>
    <row r="178" spans="1:7" x14ac:dyDescent="0.25">
      <c r="A178" s="5">
        <v>39664</v>
      </c>
      <c r="B178">
        <v>468.12</v>
      </c>
      <c r="C178">
        <v>495.75</v>
      </c>
      <c r="D178">
        <v>461.9</v>
      </c>
      <c r="E178">
        <v>495.01</v>
      </c>
      <c r="F178">
        <v>3192000</v>
      </c>
      <c r="G178">
        <v>495.01</v>
      </c>
    </row>
    <row r="179" spans="1:7" x14ac:dyDescent="0.25">
      <c r="A179" s="5">
        <v>39657</v>
      </c>
      <c r="B179">
        <v>492.09</v>
      </c>
      <c r="C179">
        <v>492.09</v>
      </c>
      <c r="D179">
        <v>462.5</v>
      </c>
      <c r="E179">
        <v>467.86</v>
      </c>
      <c r="F179">
        <v>3065300</v>
      </c>
      <c r="G179">
        <v>467.86</v>
      </c>
    </row>
    <row r="180" spans="1:7" x14ac:dyDescent="0.25">
      <c r="A180" s="5">
        <v>39650</v>
      </c>
      <c r="B180">
        <v>480.88</v>
      </c>
      <c r="C180">
        <v>497.23</v>
      </c>
      <c r="D180">
        <v>465.6</v>
      </c>
      <c r="E180">
        <v>491.98</v>
      </c>
      <c r="F180">
        <v>4442300</v>
      </c>
      <c r="G180">
        <v>491.98</v>
      </c>
    </row>
    <row r="181" spans="1:7" x14ac:dyDescent="0.25">
      <c r="A181" s="5">
        <v>39643</v>
      </c>
      <c r="B181">
        <v>539</v>
      </c>
      <c r="C181">
        <v>540.05999999999995</v>
      </c>
      <c r="D181">
        <v>478.19</v>
      </c>
      <c r="E181">
        <v>481.32</v>
      </c>
      <c r="F181">
        <v>7063500</v>
      </c>
      <c r="G181">
        <v>481.32</v>
      </c>
    </row>
    <row r="182" spans="1:7" x14ac:dyDescent="0.25">
      <c r="A182" s="5">
        <v>39636</v>
      </c>
      <c r="B182">
        <v>542.29999999999995</v>
      </c>
      <c r="C182">
        <v>555.67999999999995</v>
      </c>
      <c r="D182">
        <v>519.42999999999995</v>
      </c>
      <c r="E182">
        <v>533.79999999999995</v>
      </c>
      <c r="F182">
        <v>4530900</v>
      </c>
      <c r="G182">
        <v>533.79999999999995</v>
      </c>
    </row>
    <row r="183" spans="1:7" x14ac:dyDescent="0.25">
      <c r="A183" s="5">
        <v>39629</v>
      </c>
      <c r="B183">
        <v>532.47</v>
      </c>
      <c r="C183">
        <v>540.38</v>
      </c>
      <c r="D183">
        <v>517</v>
      </c>
      <c r="E183">
        <v>537</v>
      </c>
      <c r="F183">
        <v>3837100</v>
      </c>
      <c r="G183">
        <v>537</v>
      </c>
    </row>
    <row r="184" spans="1:7" x14ac:dyDescent="0.25">
      <c r="A184" s="5">
        <v>39622</v>
      </c>
      <c r="B184">
        <v>545.36</v>
      </c>
      <c r="C184">
        <v>557.79999999999995</v>
      </c>
      <c r="D184">
        <v>515.09</v>
      </c>
      <c r="E184">
        <v>528.07000000000005</v>
      </c>
      <c r="F184">
        <v>4707500</v>
      </c>
      <c r="G184">
        <v>528.07000000000005</v>
      </c>
    </row>
    <row r="185" spans="1:7" x14ac:dyDescent="0.25">
      <c r="A185" s="5">
        <v>39615</v>
      </c>
      <c r="B185">
        <v>566.5</v>
      </c>
      <c r="C185">
        <v>579.1</v>
      </c>
      <c r="D185">
        <v>544.51</v>
      </c>
      <c r="E185">
        <v>546.42999999999995</v>
      </c>
      <c r="F185">
        <v>4410600</v>
      </c>
      <c r="G185">
        <v>546.42999999999995</v>
      </c>
    </row>
    <row r="186" spans="1:7" x14ac:dyDescent="0.25">
      <c r="A186" s="5">
        <v>39608</v>
      </c>
      <c r="B186">
        <v>568.05999999999995</v>
      </c>
      <c r="C186">
        <v>575.70000000000005</v>
      </c>
      <c r="D186">
        <v>544.46</v>
      </c>
      <c r="E186">
        <v>571.51</v>
      </c>
      <c r="F186">
        <v>4886900</v>
      </c>
      <c r="G186">
        <v>571.51</v>
      </c>
    </row>
    <row r="187" spans="1:7" x14ac:dyDescent="0.25">
      <c r="A187" s="5">
        <v>39601</v>
      </c>
      <c r="B187">
        <v>582.5</v>
      </c>
      <c r="C187">
        <v>588.04</v>
      </c>
      <c r="D187">
        <v>560.61</v>
      </c>
      <c r="E187">
        <v>567</v>
      </c>
      <c r="F187">
        <v>3998700</v>
      </c>
      <c r="G187">
        <v>567</v>
      </c>
    </row>
    <row r="188" spans="1:7" x14ac:dyDescent="0.25">
      <c r="A188" s="5">
        <v>39595</v>
      </c>
      <c r="B188">
        <v>544.96</v>
      </c>
      <c r="C188">
        <v>589.91999999999996</v>
      </c>
      <c r="D188">
        <v>543.85</v>
      </c>
      <c r="E188">
        <v>585.79999999999995</v>
      </c>
      <c r="F188">
        <v>3996500</v>
      </c>
      <c r="G188">
        <v>585.79999999999995</v>
      </c>
    </row>
    <row r="189" spans="1:7" x14ac:dyDescent="0.25">
      <c r="A189" s="5">
        <v>39587</v>
      </c>
      <c r="B189">
        <v>578.54999999999995</v>
      </c>
      <c r="C189">
        <v>588.88</v>
      </c>
      <c r="D189">
        <v>537.80999999999995</v>
      </c>
      <c r="E189">
        <v>544.62</v>
      </c>
      <c r="F189">
        <v>4978800</v>
      </c>
      <c r="G189">
        <v>544.62</v>
      </c>
    </row>
    <row r="190" spans="1:7" x14ac:dyDescent="0.25">
      <c r="A190" s="5">
        <v>39580</v>
      </c>
      <c r="B190">
        <v>574.75</v>
      </c>
      <c r="C190">
        <v>591.19000000000005</v>
      </c>
      <c r="D190">
        <v>568.91</v>
      </c>
      <c r="E190">
        <v>580.07000000000005</v>
      </c>
      <c r="F190">
        <v>4604000</v>
      </c>
      <c r="G190">
        <v>580.07000000000005</v>
      </c>
    </row>
    <row r="191" spans="1:7" x14ac:dyDescent="0.25">
      <c r="A191" s="5">
        <v>39573</v>
      </c>
      <c r="B191">
        <v>598.86</v>
      </c>
      <c r="C191">
        <v>599.49</v>
      </c>
      <c r="D191">
        <v>571.29999999999995</v>
      </c>
      <c r="E191">
        <v>573.20000000000005</v>
      </c>
      <c r="F191">
        <v>5426200</v>
      </c>
      <c r="G191">
        <v>573.20000000000005</v>
      </c>
    </row>
    <row r="192" spans="1:7" x14ac:dyDescent="0.25">
      <c r="A192" s="5">
        <v>39566</v>
      </c>
      <c r="B192">
        <v>545.88</v>
      </c>
      <c r="C192">
        <v>602.45000000000005</v>
      </c>
      <c r="D192">
        <v>539</v>
      </c>
      <c r="E192">
        <v>581.29</v>
      </c>
      <c r="F192">
        <v>5971800</v>
      </c>
      <c r="G192">
        <v>581.29</v>
      </c>
    </row>
    <row r="193" spans="1:7" x14ac:dyDescent="0.25">
      <c r="A193" s="5">
        <v>39559</v>
      </c>
      <c r="B193">
        <v>539.39</v>
      </c>
      <c r="C193">
        <v>560.83000000000004</v>
      </c>
      <c r="D193">
        <v>530.29</v>
      </c>
      <c r="E193">
        <v>544.05999999999995</v>
      </c>
      <c r="F193">
        <v>5719800</v>
      </c>
      <c r="G193">
        <v>544.05999999999995</v>
      </c>
    </row>
    <row r="194" spans="1:7" x14ac:dyDescent="0.25">
      <c r="A194" s="5">
        <v>39552</v>
      </c>
      <c r="B194">
        <v>457.16</v>
      </c>
      <c r="C194">
        <v>547.70000000000005</v>
      </c>
      <c r="D194">
        <v>441</v>
      </c>
      <c r="E194">
        <v>539.41</v>
      </c>
      <c r="F194">
        <v>9527900</v>
      </c>
      <c r="G194">
        <v>539.41</v>
      </c>
    </row>
    <row r="195" spans="1:7" x14ac:dyDescent="0.25">
      <c r="A195" s="5">
        <v>39545</v>
      </c>
      <c r="B195">
        <v>477.03</v>
      </c>
      <c r="C195">
        <v>485.44</v>
      </c>
      <c r="D195">
        <v>455.01</v>
      </c>
      <c r="E195">
        <v>457.45</v>
      </c>
      <c r="F195">
        <v>5156100</v>
      </c>
      <c r="G195">
        <v>457.45</v>
      </c>
    </row>
    <row r="196" spans="1:7" x14ac:dyDescent="0.25">
      <c r="A196" s="5">
        <v>39538</v>
      </c>
      <c r="B196">
        <v>435.64</v>
      </c>
      <c r="C196">
        <v>477.83</v>
      </c>
      <c r="D196">
        <v>432.01</v>
      </c>
      <c r="E196">
        <v>471.09</v>
      </c>
      <c r="F196">
        <v>5842800</v>
      </c>
      <c r="G196">
        <v>471.09</v>
      </c>
    </row>
    <row r="197" spans="1:7" x14ac:dyDescent="0.25">
      <c r="A197" s="5">
        <v>39531</v>
      </c>
      <c r="B197">
        <v>438.43</v>
      </c>
      <c r="C197">
        <v>465.78</v>
      </c>
      <c r="D197">
        <v>434.31</v>
      </c>
      <c r="E197">
        <v>438.08</v>
      </c>
      <c r="F197">
        <v>5605800</v>
      </c>
      <c r="G197">
        <v>438.08</v>
      </c>
    </row>
    <row r="198" spans="1:7" x14ac:dyDescent="0.25">
      <c r="A198" s="5">
        <v>39524</v>
      </c>
      <c r="B198">
        <v>427.99</v>
      </c>
      <c r="C198">
        <v>447.5</v>
      </c>
      <c r="D198">
        <v>412.11</v>
      </c>
      <c r="E198">
        <v>433.55</v>
      </c>
      <c r="F198">
        <v>7804400</v>
      </c>
      <c r="G198">
        <v>433.55</v>
      </c>
    </row>
    <row r="199" spans="1:7" x14ac:dyDescent="0.25">
      <c r="A199" s="5">
        <v>39517</v>
      </c>
      <c r="B199">
        <v>428.83</v>
      </c>
      <c r="C199">
        <v>449.34</v>
      </c>
      <c r="D199">
        <v>413.04</v>
      </c>
      <c r="E199">
        <v>437.92</v>
      </c>
      <c r="F199">
        <v>7553400</v>
      </c>
      <c r="G199">
        <v>437.92</v>
      </c>
    </row>
    <row r="200" spans="1:7" x14ac:dyDescent="0.25">
      <c r="A200" s="5">
        <v>39510</v>
      </c>
      <c r="B200">
        <v>471.51</v>
      </c>
      <c r="C200">
        <v>472.72</v>
      </c>
      <c r="D200">
        <v>426.24</v>
      </c>
      <c r="E200">
        <v>433.35</v>
      </c>
      <c r="F200">
        <v>8830900</v>
      </c>
      <c r="G200">
        <v>433.35</v>
      </c>
    </row>
    <row r="201" spans="1:7" x14ac:dyDescent="0.25">
      <c r="A201" s="5">
        <v>39503</v>
      </c>
      <c r="B201">
        <v>505.95</v>
      </c>
      <c r="C201">
        <v>506.5</v>
      </c>
      <c r="D201">
        <v>446.85</v>
      </c>
      <c r="E201">
        <v>471.18</v>
      </c>
      <c r="F201">
        <v>11558800</v>
      </c>
      <c r="G201">
        <v>471.18</v>
      </c>
    </row>
    <row r="202" spans="1:7" x14ac:dyDescent="0.25">
      <c r="A202" s="5">
        <v>39497</v>
      </c>
      <c r="B202">
        <v>534.94000000000005</v>
      </c>
      <c r="C202">
        <v>535.05999999999995</v>
      </c>
      <c r="D202">
        <v>497.55</v>
      </c>
      <c r="E202">
        <v>507.8</v>
      </c>
      <c r="F202">
        <v>6051500</v>
      </c>
      <c r="G202">
        <v>507.8</v>
      </c>
    </row>
    <row r="203" spans="1:7" x14ac:dyDescent="0.25">
      <c r="A203" s="5">
        <v>39489</v>
      </c>
      <c r="B203">
        <v>520.52</v>
      </c>
      <c r="C203">
        <v>541.04</v>
      </c>
      <c r="D203">
        <v>513.03</v>
      </c>
      <c r="E203">
        <v>529.64</v>
      </c>
      <c r="F203">
        <v>6165900</v>
      </c>
      <c r="G203">
        <v>529.64</v>
      </c>
    </row>
    <row r="204" spans="1:7" x14ac:dyDescent="0.25">
      <c r="A204" s="5">
        <v>39482</v>
      </c>
      <c r="B204">
        <v>509.07</v>
      </c>
      <c r="C204">
        <v>517.73</v>
      </c>
      <c r="D204">
        <v>488.52</v>
      </c>
      <c r="E204">
        <v>516.69000000000005</v>
      </c>
      <c r="F204">
        <v>9350900</v>
      </c>
      <c r="G204">
        <v>516.69000000000005</v>
      </c>
    </row>
    <row r="205" spans="1:7" x14ac:dyDescent="0.25">
      <c r="A205" s="5">
        <v>39475</v>
      </c>
      <c r="B205">
        <v>570.97</v>
      </c>
      <c r="C205">
        <v>573</v>
      </c>
      <c r="D205">
        <v>510</v>
      </c>
      <c r="E205">
        <v>515.9</v>
      </c>
      <c r="F205">
        <v>10502200</v>
      </c>
      <c r="G205">
        <v>515.9</v>
      </c>
    </row>
    <row r="206" spans="1:7" x14ac:dyDescent="0.25">
      <c r="A206" s="5">
        <v>39469</v>
      </c>
      <c r="B206">
        <v>562.03</v>
      </c>
      <c r="C206">
        <v>597.5</v>
      </c>
      <c r="D206">
        <v>519</v>
      </c>
      <c r="E206">
        <v>566.4</v>
      </c>
      <c r="F206">
        <v>10708500</v>
      </c>
      <c r="G206">
        <v>566.4</v>
      </c>
    </row>
    <row r="207" spans="1:7" x14ac:dyDescent="0.25">
      <c r="A207" s="5">
        <v>39461</v>
      </c>
      <c r="B207">
        <v>651.14</v>
      </c>
      <c r="C207">
        <v>657.4</v>
      </c>
      <c r="D207">
        <v>598.01</v>
      </c>
      <c r="E207">
        <v>600.25</v>
      </c>
      <c r="F207">
        <v>7466400</v>
      </c>
      <c r="G207">
        <v>600.25</v>
      </c>
    </row>
    <row r="208" spans="1:7" x14ac:dyDescent="0.25">
      <c r="A208" s="5">
        <v>39454</v>
      </c>
      <c r="B208">
        <v>653.94000000000005</v>
      </c>
      <c r="C208">
        <v>662.28</v>
      </c>
      <c r="D208">
        <v>622.51</v>
      </c>
      <c r="E208">
        <v>638.25</v>
      </c>
      <c r="F208">
        <v>5958600</v>
      </c>
      <c r="G208">
        <v>638.25</v>
      </c>
    </row>
    <row r="209" spans="1:7" x14ac:dyDescent="0.25">
      <c r="A209" s="5">
        <v>39447</v>
      </c>
      <c r="B209">
        <v>698.57</v>
      </c>
      <c r="C209">
        <v>702.49</v>
      </c>
      <c r="D209">
        <v>655</v>
      </c>
      <c r="E209">
        <v>657</v>
      </c>
      <c r="F209">
        <v>3823800</v>
      </c>
      <c r="G209">
        <v>657</v>
      </c>
    </row>
    <row r="210" spans="1:7" x14ac:dyDescent="0.25">
      <c r="A210" s="5">
        <v>39440</v>
      </c>
      <c r="B210">
        <v>694.99</v>
      </c>
      <c r="C210">
        <v>716</v>
      </c>
      <c r="D210">
        <v>693.06</v>
      </c>
      <c r="E210">
        <v>702.53</v>
      </c>
      <c r="F210">
        <v>2415900</v>
      </c>
      <c r="G210">
        <v>702.53</v>
      </c>
    </row>
    <row r="211" spans="1:7" x14ac:dyDescent="0.25">
      <c r="A211" s="5">
        <v>39433</v>
      </c>
      <c r="B211">
        <v>688</v>
      </c>
      <c r="C211">
        <v>699.26</v>
      </c>
      <c r="D211">
        <v>652.5</v>
      </c>
      <c r="E211">
        <v>696.69</v>
      </c>
      <c r="F211">
        <v>5375600</v>
      </c>
      <c r="G211">
        <v>696.69</v>
      </c>
    </row>
    <row r="212" spans="1:7" x14ac:dyDescent="0.25">
      <c r="A212" s="5">
        <v>39426</v>
      </c>
      <c r="B212">
        <v>715.99</v>
      </c>
      <c r="C212">
        <v>724.8</v>
      </c>
      <c r="D212">
        <v>681.21</v>
      </c>
      <c r="E212">
        <v>689.96</v>
      </c>
      <c r="F212">
        <v>4973700</v>
      </c>
      <c r="G212">
        <v>689.96</v>
      </c>
    </row>
    <row r="213" spans="1:7" x14ac:dyDescent="0.25">
      <c r="A213" s="5">
        <v>39419</v>
      </c>
      <c r="B213">
        <v>691.01</v>
      </c>
      <c r="C213">
        <v>718</v>
      </c>
      <c r="D213">
        <v>677.12</v>
      </c>
      <c r="E213">
        <v>714.87</v>
      </c>
      <c r="F213">
        <v>4305500</v>
      </c>
      <c r="G213">
        <v>714.87</v>
      </c>
    </row>
    <row r="214" spans="1:7" x14ac:dyDescent="0.25">
      <c r="A214" s="5">
        <v>39412</v>
      </c>
      <c r="B214">
        <v>680.2</v>
      </c>
      <c r="C214">
        <v>711.06</v>
      </c>
      <c r="D214">
        <v>650.26</v>
      </c>
      <c r="E214">
        <v>693</v>
      </c>
      <c r="F214">
        <v>7542900</v>
      </c>
      <c r="G214">
        <v>693</v>
      </c>
    </row>
    <row r="215" spans="1:7" x14ac:dyDescent="0.25">
      <c r="A215" s="5">
        <v>39405</v>
      </c>
      <c r="B215">
        <v>629.59</v>
      </c>
      <c r="C215">
        <v>678.28</v>
      </c>
      <c r="D215">
        <v>618.5</v>
      </c>
      <c r="E215">
        <v>676.7</v>
      </c>
      <c r="F215">
        <v>6280000</v>
      </c>
      <c r="G215">
        <v>676.7</v>
      </c>
    </row>
    <row r="216" spans="1:7" x14ac:dyDescent="0.25">
      <c r="A216" s="5">
        <v>39398</v>
      </c>
      <c r="B216">
        <v>657.74</v>
      </c>
      <c r="C216">
        <v>675.49</v>
      </c>
      <c r="D216">
        <v>616.02</v>
      </c>
      <c r="E216">
        <v>633.63</v>
      </c>
      <c r="F216">
        <v>8551700</v>
      </c>
      <c r="G216">
        <v>633.63</v>
      </c>
    </row>
    <row r="217" spans="1:7" x14ac:dyDescent="0.25">
      <c r="A217" s="5">
        <v>39391</v>
      </c>
      <c r="B217">
        <v>706.99</v>
      </c>
      <c r="C217">
        <v>747.24</v>
      </c>
      <c r="D217">
        <v>661.21</v>
      </c>
      <c r="E217">
        <v>663.97</v>
      </c>
      <c r="F217">
        <v>10694600</v>
      </c>
      <c r="G217">
        <v>663.97</v>
      </c>
    </row>
    <row r="218" spans="1:7" x14ac:dyDescent="0.25">
      <c r="A218" s="5">
        <v>39384</v>
      </c>
      <c r="B218">
        <v>677.77</v>
      </c>
      <c r="C218">
        <v>713.72</v>
      </c>
      <c r="D218">
        <v>672.09</v>
      </c>
      <c r="E218">
        <v>711.25</v>
      </c>
      <c r="F218">
        <v>5842400</v>
      </c>
      <c r="G218">
        <v>711.25</v>
      </c>
    </row>
    <row r="219" spans="1:7" x14ac:dyDescent="0.25">
      <c r="A219" s="5">
        <v>39377</v>
      </c>
      <c r="B219">
        <v>638.66999999999996</v>
      </c>
      <c r="C219">
        <v>678.97</v>
      </c>
      <c r="D219">
        <v>636.28</v>
      </c>
      <c r="E219">
        <v>674.6</v>
      </c>
      <c r="F219">
        <v>6002300</v>
      </c>
      <c r="G219">
        <v>674.6</v>
      </c>
    </row>
    <row r="220" spans="1:7" x14ac:dyDescent="0.25">
      <c r="A220" s="5">
        <v>39370</v>
      </c>
      <c r="B220">
        <v>638.47</v>
      </c>
      <c r="C220">
        <v>658.49</v>
      </c>
      <c r="D220">
        <v>611.99</v>
      </c>
      <c r="E220">
        <v>644.71</v>
      </c>
      <c r="F220">
        <v>9415500</v>
      </c>
      <c r="G220">
        <v>644.71</v>
      </c>
    </row>
    <row r="221" spans="1:7" x14ac:dyDescent="0.25">
      <c r="A221" s="5">
        <v>39363</v>
      </c>
      <c r="B221">
        <v>595</v>
      </c>
      <c r="C221">
        <v>641.41</v>
      </c>
      <c r="D221">
        <v>593.95000000000005</v>
      </c>
      <c r="E221">
        <v>637.39</v>
      </c>
      <c r="F221">
        <v>7560800</v>
      </c>
      <c r="G221">
        <v>637.39</v>
      </c>
    </row>
    <row r="222" spans="1:7" x14ac:dyDescent="0.25">
      <c r="A222" s="5">
        <v>39356</v>
      </c>
      <c r="B222">
        <v>569.97</v>
      </c>
      <c r="C222">
        <v>596.80999999999995</v>
      </c>
      <c r="D222">
        <v>569.61</v>
      </c>
      <c r="E222">
        <v>594.04999999999995</v>
      </c>
      <c r="F222">
        <v>4742700</v>
      </c>
      <c r="G222">
        <v>594.04999999999995</v>
      </c>
    </row>
    <row r="223" spans="1:7" x14ac:dyDescent="0.25">
      <c r="A223" s="5">
        <v>39349</v>
      </c>
      <c r="B223">
        <v>561</v>
      </c>
      <c r="C223">
        <v>571.79</v>
      </c>
      <c r="D223">
        <v>560</v>
      </c>
      <c r="E223">
        <v>567.27</v>
      </c>
      <c r="F223">
        <v>3213900</v>
      </c>
      <c r="G223">
        <v>567.27</v>
      </c>
    </row>
    <row r="224" spans="1:7" x14ac:dyDescent="0.25">
      <c r="A224" s="5">
        <v>39342</v>
      </c>
      <c r="B224">
        <v>526.53</v>
      </c>
      <c r="C224">
        <v>560.79</v>
      </c>
      <c r="D224">
        <v>524.07000000000005</v>
      </c>
      <c r="E224">
        <v>560.1</v>
      </c>
      <c r="F224">
        <v>5095300</v>
      </c>
      <c r="G224">
        <v>560.1</v>
      </c>
    </row>
    <row r="225" spans="1:7" x14ac:dyDescent="0.25">
      <c r="A225" s="5">
        <v>39335</v>
      </c>
      <c r="B225">
        <v>521.28</v>
      </c>
      <c r="C225">
        <v>530.27</v>
      </c>
      <c r="D225">
        <v>510.88</v>
      </c>
      <c r="E225">
        <v>528.75</v>
      </c>
      <c r="F225">
        <v>2714200</v>
      </c>
      <c r="G225">
        <v>528.75</v>
      </c>
    </row>
    <row r="226" spans="1:7" x14ac:dyDescent="0.25">
      <c r="A226" s="5">
        <v>39329</v>
      </c>
      <c r="B226">
        <v>515.02</v>
      </c>
      <c r="C226">
        <v>529.83000000000004</v>
      </c>
      <c r="D226">
        <v>514.62</v>
      </c>
      <c r="E226">
        <v>519.35</v>
      </c>
      <c r="F226">
        <v>3574000</v>
      </c>
      <c r="G226">
        <v>519.35</v>
      </c>
    </row>
    <row r="227" spans="1:7" x14ac:dyDescent="0.25">
      <c r="A227" s="5">
        <v>39321</v>
      </c>
      <c r="B227">
        <v>514.42999999999995</v>
      </c>
      <c r="C227">
        <v>517.45000000000005</v>
      </c>
      <c r="D227">
        <v>505.79</v>
      </c>
      <c r="E227">
        <v>515.25</v>
      </c>
      <c r="F227">
        <v>2755500</v>
      </c>
      <c r="G227">
        <v>515.25</v>
      </c>
    </row>
    <row r="228" spans="1:7" x14ac:dyDescent="0.25">
      <c r="A228" s="5">
        <v>39314</v>
      </c>
      <c r="B228">
        <v>502.46</v>
      </c>
      <c r="C228">
        <v>516.25</v>
      </c>
      <c r="D228">
        <v>496</v>
      </c>
      <c r="E228">
        <v>515</v>
      </c>
      <c r="F228">
        <v>3022000</v>
      </c>
      <c r="G228">
        <v>515</v>
      </c>
    </row>
    <row r="229" spans="1:7" x14ac:dyDescent="0.25">
      <c r="A229" s="5">
        <v>39307</v>
      </c>
      <c r="B229">
        <v>519.54</v>
      </c>
      <c r="C229">
        <v>519.75</v>
      </c>
      <c r="D229">
        <v>480.46</v>
      </c>
      <c r="E229">
        <v>500.04</v>
      </c>
      <c r="F229">
        <v>5269500</v>
      </c>
      <c r="G229">
        <v>500.04</v>
      </c>
    </row>
    <row r="230" spans="1:7" x14ac:dyDescent="0.25">
      <c r="A230" s="5">
        <v>39300</v>
      </c>
      <c r="B230">
        <v>503</v>
      </c>
      <c r="C230">
        <v>526.82000000000005</v>
      </c>
      <c r="D230">
        <v>502.5</v>
      </c>
      <c r="E230">
        <v>515.75</v>
      </c>
      <c r="F230">
        <v>4541200</v>
      </c>
      <c r="G230">
        <v>515.75</v>
      </c>
    </row>
    <row r="231" spans="1:7" x14ac:dyDescent="0.25">
      <c r="A231" s="5">
        <v>39293</v>
      </c>
      <c r="B231">
        <v>512.91999999999996</v>
      </c>
      <c r="C231">
        <v>520.44000000000005</v>
      </c>
      <c r="D231">
        <v>503</v>
      </c>
      <c r="E231">
        <v>503</v>
      </c>
      <c r="F231">
        <v>3797200</v>
      </c>
      <c r="G231">
        <v>503</v>
      </c>
    </row>
    <row r="232" spans="1:7" x14ac:dyDescent="0.25">
      <c r="A232" s="5">
        <v>39286</v>
      </c>
      <c r="B232">
        <v>519.01</v>
      </c>
      <c r="C232">
        <v>520</v>
      </c>
      <c r="D232">
        <v>498.88</v>
      </c>
      <c r="E232">
        <v>511.89</v>
      </c>
      <c r="F232">
        <v>5973200</v>
      </c>
      <c r="G232">
        <v>511.89</v>
      </c>
    </row>
    <row r="233" spans="1:7" x14ac:dyDescent="0.25">
      <c r="A233" s="5">
        <v>39279</v>
      </c>
      <c r="B233">
        <v>550.29999999999995</v>
      </c>
      <c r="C233">
        <v>558.58000000000004</v>
      </c>
      <c r="D233">
        <v>509.5</v>
      </c>
      <c r="E233">
        <v>520.12</v>
      </c>
      <c r="F233">
        <v>9181500</v>
      </c>
      <c r="G233">
        <v>520.12</v>
      </c>
    </row>
    <row r="234" spans="1:7" x14ac:dyDescent="0.25">
      <c r="A234" s="5">
        <v>39272</v>
      </c>
      <c r="B234">
        <v>543</v>
      </c>
      <c r="C234">
        <v>552.66999999999996</v>
      </c>
      <c r="D234">
        <v>540.01</v>
      </c>
      <c r="E234">
        <v>552.16</v>
      </c>
      <c r="F234">
        <v>3914700</v>
      </c>
      <c r="G234">
        <v>552.16</v>
      </c>
    </row>
    <row r="235" spans="1:7" x14ac:dyDescent="0.25">
      <c r="A235" s="5">
        <v>39265</v>
      </c>
      <c r="B235">
        <v>525.49</v>
      </c>
      <c r="C235">
        <v>544.4</v>
      </c>
      <c r="D235">
        <v>524.20000000000005</v>
      </c>
      <c r="E235">
        <v>539.4</v>
      </c>
      <c r="F235">
        <v>3262300</v>
      </c>
      <c r="G235">
        <v>539.4</v>
      </c>
    </row>
    <row r="236" spans="1:7" x14ac:dyDescent="0.25">
      <c r="A236" s="5">
        <v>39258</v>
      </c>
      <c r="B236">
        <v>528.98</v>
      </c>
      <c r="C236">
        <v>534.99</v>
      </c>
      <c r="D236">
        <v>519.46</v>
      </c>
      <c r="E236">
        <v>522.70000000000005</v>
      </c>
      <c r="F236">
        <v>5557300</v>
      </c>
      <c r="G236">
        <v>522.70000000000005</v>
      </c>
    </row>
    <row r="237" spans="1:7" x14ac:dyDescent="0.25">
      <c r="A237" s="5">
        <v>39251</v>
      </c>
      <c r="B237">
        <v>506.18</v>
      </c>
      <c r="C237">
        <v>524.99</v>
      </c>
      <c r="D237">
        <v>504.24</v>
      </c>
      <c r="E237">
        <v>524.98</v>
      </c>
      <c r="F237">
        <v>5028500</v>
      </c>
      <c r="G237">
        <v>524.98</v>
      </c>
    </row>
    <row r="238" spans="1:7" x14ac:dyDescent="0.25">
      <c r="A238" s="5">
        <v>39244</v>
      </c>
      <c r="B238">
        <v>514.02</v>
      </c>
      <c r="C238">
        <v>518.25</v>
      </c>
      <c r="D238">
        <v>498.69</v>
      </c>
      <c r="E238">
        <v>505.89</v>
      </c>
      <c r="F238">
        <v>5779300</v>
      </c>
      <c r="G238">
        <v>505.89</v>
      </c>
    </row>
    <row r="239" spans="1:7" x14ac:dyDescent="0.25">
      <c r="A239" s="5">
        <v>39237</v>
      </c>
      <c r="B239">
        <v>497.91</v>
      </c>
      <c r="C239">
        <v>526.5</v>
      </c>
      <c r="D239">
        <v>497.59</v>
      </c>
      <c r="E239">
        <v>515.49</v>
      </c>
      <c r="F239">
        <v>8484700</v>
      </c>
      <c r="G239">
        <v>515.49</v>
      </c>
    </row>
    <row r="240" spans="1:7" x14ac:dyDescent="0.25">
      <c r="A240" s="5">
        <v>39231</v>
      </c>
      <c r="B240">
        <v>485</v>
      </c>
      <c r="C240">
        <v>508.78</v>
      </c>
      <c r="D240">
        <v>483</v>
      </c>
      <c r="E240">
        <v>500.4</v>
      </c>
      <c r="F240">
        <v>6546700</v>
      </c>
      <c r="G240">
        <v>500.4</v>
      </c>
    </row>
    <row r="241" spans="1:7" x14ac:dyDescent="0.25">
      <c r="A241" s="5">
        <v>39223</v>
      </c>
      <c r="B241">
        <v>469.53</v>
      </c>
      <c r="C241">
        <v>484.95</v>
      </c>
      <c r="D241">
        <v>466.72</v>
      </c>
      <c r="E241">
        <v>483.52</v>
      </c>
      <c r="F241">
        <v>4916100</v>
      </c>
      <c r="G241">
        <v>483.52</v>
      </c>
    </row>
    <row r="242" spans="1:7" x14ac:dyDescent="0.25">
      <c r="A242" s="5">
        <v>39216</v>
      </c>
      <c r="B242">
        <v>465.48</v>
      </c>
      <c r="C242">
        <v>475.22</v>
      </c>
      <c r="D242">
        <v>457.41</v>
      </c>
      <c r="E242">
        <v>470.32</v>
      </c>
      <c r="F242">
        <v>4580400</v>
      </c>
      <c r="G242">
        <v>470.32</v>
      </c>
    </row>
    <row r="243" spans="1:7" x14ac:dyDescent="0.25">
      <c r="A243" s="5">
        <v>39209</v>
      </c>
      <c r="B243">
        <v>472.14</v>
      </c>
      <c r="C243">
        <v>472.82</v>
      </c>
      <c r="D243">
        <v>461</v>
      </c>
      <c r="E243">
        <v>466.74</v>
      </c>
      <c r="F243">
        <v>3289100</v>
      </c>
      <c r="G243">
        <v>466.74</v>
      </c>
    </row>
    <row r="244" spans="1:7" x14ac:dyDescent="0.25">
      <c r="A244" s="5">
        <v>39202</v>
      </c>
      <c r="B244">
        <v>479.15</v>
      </c>
      <c r="C244">
        <v>481.35</v>
      </c>
      <c r="D244">
        <v>464.17</v>
      </c>
      <c r="E244">
        <v>471.12</v>
      </c>
      <c r="F244">
        <v>3581200</v>
      </c>
      <c r="G244">
        <v>471.12</v>
      </c>
    </row>
    <row r="245" spans="1:7" x14ac:dyDescent="0.25">
      <c r="A245" s="5">
        <v>39195</v>
      </c>
      <c r="B245">
        <v>480.1</v>
      </c>
      <c r="C245">
        <v>485</v>
      </c>
      <c r="D245">
        <v>475.55</v>
      </c>
      <c r="E245">
        <v>479.01</v>
      </c>
      <c r="F245">
        <v>4077300</v>
      </c>
      <c r="G245">
        <v>479.01</v>
      </c>
    </row>
    <row r="246" spans="1:7" x14ac:dyDescent="0.25">
      <c r="A246" s="5">
        <v>39188</v>
      </c>
      <c r="B246">
        <v>468.46</v>
      </c>
      <c r="C246">
        <v>492.5</v>
      </c>
      <c r="D246">
        <v>468.15</v>
      </c>
      <c r="E246">
        <v>482.48</v>
      </c>
      <c r="F246">
        <v>7425900</v>
      </c>
      <c r="G246">
        <v>482.48</v>
      </c>
    </row>
    <row r="247" spans="1:7" x14ac:dyDescent="0.25">
      <c r="A247" s="5">
        <v>39181</v>
      </c>
      <c r="B247">
        <v>472.98</v>
      </c>
      <c r="C247">
        <v>473</v>
      </c>
      <c r="D247">
        <v>462.24</v>
      </c>
      <c r="E247">
        <v>466.29</v>
      </c>
      <c r="F247">
        <v>3071200</v>
      </c>
      <c r="G247">
        <v>466.29</v>
      </c>
    </row>
    <row r="248" spans="1:7" x14ac:dyDescent="0.25">
      <c r="A248" s="5">
        <v>39174</v>
      </c>
      <c r="B248">
        <v>457.76</v>
      </c>
      <c r="C248">
        <v>474.25</v>
      </c>
      <c r="D248">
        <v>452.12</v>
      </c>
      <c r="E248">
        <v>471.51</v>
      </c>
      <c r="F248">
        <v>4111200</v>
      </c>
      <c r="G248">
        <v>471.51</v>
      </c>
    </row>
    <row r="249" spans="1:7" x14ac:dyDescent="0.25">
      <c r="A249" s="5">
        <v>39167</v>
      </c>
      <c r="B249">
        <v>460.55</v>
      </c>
      <c r="C249">
        <v>466</v>
      </c>
      <c r="D249">
        <v>455</v>
      </c>
      <c r="E249">
        <v>458.16</v>
      </c>
      <c r="F249">
        <v>4082300</v>
      </c>
      <c r="G249">
        <v>458.16</v>
      </c>
    </row>
    <row r="250" spans="1:7" x14ac:dyDescent="0.25">
      <c r="A250" s="5">
        <v>39160</v>
      </c>
      <c r="B250">
        <v>443.25</v>
      </c>
      <c r="C250">
        <v>463.39</v>
      </c>
      <c r="D250">
        <v>440.63</v>
      </c>
      <c r="E250">
        <v>461.83</v>
      </c>
      <c r="F250">
        <v>4841900</v>
      </c>
      <c r="G250">
        <v>461.83</v>
      </c>
    </row>
    <row r="251" spans="1:7" x14ac:dyDescent="0.25">
      <c r="A251" s="5">
        <v>39153</v>
      </c>
      <c r="B251">
        <v>452.57</v>
      </c>
      <c r="C251">
        <v>455.25</v>
      </c>
      <c r="D251">
        <v>439</v>
      </c>
      <c r="E251">
        <v>440.85</v>
      </c>
      <c r="F251">
        <v>5492500</v>
      </c>
      <c r="G251">
        <v>440.85</v>
      </c>
    </row>
    <row r="252" spans="1:7" x14ac:dyDescent="0.25">
      <c r="A252" s="5">
        <v>39146</v>
      </c>
      <c r="B252">
        <v>437.02</v>
      </c>
      <c r="C252">
        <v>465.5</v>
      </c>
      <c r="D252">
        <v>437</v>
      </c>
      <c r="E252">
        <v>452.96</v>
      </c>
      <c r="F252">
        <v>6152600</v>
      </c>
      <c r="G252">
        <v>452.96</v>
      </c>
    </row>
    <row r="253" spans="1:7" x14ac:dyDescent="0.25">
      <c r="A253" s="5">
        <v>39139</v>
      </c>
      <c r="B253">
        <v>472.83</v>
      </c>
      <c r="C253">
        <v>475.25</v>
      </c>
      <c r="D253">
        <v>438.68</v>
      </c>
      <c r="E253">
        <v>438.68</v>
      </c>
      <c r="F253">
        <v>7316700</v>
      </c>
      <c r="G253">
        <v>438.68</v>
      </c>
    </row>
    <row r="254" spans="1:7" x14ac:dyDescent="0.25">
      <c r="A254" s="5">
        <v>39133</v>
      </c>
      <c r="B254">
        <v>468.47</v>
      </c>
      <c r="C254">
        <v>484.24</v>
      </c>
      <c r="D254">
        <v>464.71</v>
      </c>
      <c r="E254">
        <v>470.62</v>
      </c>
      <c r="F254">
        <v>4833600</v>
      </c>
      <c r="G254">
        <v>470.62</v>
      </c>
    </row>
    <row r="255" spans="1:7" x14ac:dyDescent="0.25">
      <c r="A255" s="5">
        <v>39125</v>
      </c>
      <c r="B255">
        <v>460.68</v>
      </c>
      <c r="C255">
        <v>470.15</v>
      </c>
      <c r="D255">
        <v>455.02</v>
      </c>
      <c r="E255">
        <v>469.94</v>
      </c>
      <c r="F255">
        <v>5147000</v>
      </c>
      <c r="G255">
        <v>469.94</v>
      </c>
    </row>
    <row r="256" spans="1:7" x14ac:dyDescent="0.25">
      <c r="A256" s="5">
        <v>39118</v>
      </c>
      <c r="B256">
        <v>477.5</v>
      </c>
      <c r="C256">
        <v>478</v>
      </c>
      <c r="D256">
        <v>461.5</v>
      </c>
      <c r="E256">
        <v>461.89</v>
      </c>
      <c r="F256">
        <v>5116700</v>
      </c>
      <c r="G256">
        <v>461.89</v>
      </c>
    </row>
    <row r="257" spans="1:7" x14ac:dyDescent="0.25">
      <c r="A257" s="5">
        <v>39111</v>
      </c>
      <c r="B257">
        <v>498</v>
      </c>
      <c r="C257">
        <v>506.01</v>
      </c>
      <c r="D257">
        <v>477.81</v>
      </c>
      <c r="E257">
        <v>481.5</v>
      </c>
      <c r="F257">
        <v>8621500</v>
      </c>
      <c r="G257">
        <v>481.5</v>
      </c>
    </row>
    <row r="258" spans="1:7" x14ac:dyDescent="0.25">
      <c r="A258" s="5">
        <v>39104</v>
      </c>
      <c r="B258">
        <v>492.5</v>
      </c>
      <c r="C258">
        <v>504.5</v>
      </c>
      <c r="D258">
        <v>477.29</v>
      </c>
      <c r="E258">
        <v>495.84</v>
      </c>
      <c r="F258">
        <v>5598800</v>
      </c>
      <c r="G258">
        <v>495.84</v>
      </c>
    </row>
    <row r="259" spans="1:7" x14ac:dyDescent="0.25">
      <c r="A259" s="5">
        <v>39098</v>
      </c>
      <c r="B259">
        <v>507.55</v>
      </c>
      <c r="C259">
        <v>513</v>
      </c>
      <c r="D259">
        <v>486.74</v>
      </c>
      <c r="E259">
        <v>489.75</v>
      </c>
      <c r="F259">
        <v>6294500</v>
      </c>
      <c r="G259">
        <v>489.75</v>
      </c>
    </row>
    <row r="260" spans="1:7" x14ac:dyDescent="0.25">
      <c r="A260" s="5">
        <v>39090</v>
      </c>
      <c r="B260">
        <v>487.69</v>
      </c>
      <c r="C260">
        <v>505</v>
      </c>
      <c r="D260">
        <v>481.2</v>
      </c>
      <c r="E260">
        <v>505</v>
      </c>
      <c r="F260">
        <v>5557200</v>
      </c>
      <c r="G260">
        <v>505</v>
      </c>
    </row>
    <row r="261" spans="1:7" x14ac:dyDescent="0.25">
      <c r="A261" s="5">
        <v>39085</v>
      </c>
      <c r="B261">
        <v>466</v>
      </c>
      <c r="C261">
        <v>487.5</v>
      </c>
      <c r="D261">
        <v>461.11</v>
      </c>
      <c r="E261">
        <v>487.19</v>
      </c>
      <c r="F261">
        <v>7488700</v>
      </c>
      <c r="G261">
        <v>487.19</v>
      </c>
    </row>
    <row r="262" spans="1:7" x14ac:dyDescent="0.25">
      <c r="A262" s="5">
        <v>39077</v>
      </c>
      <c r="B262">
        <v>456.52</v>
      </c>
      <c r="C262">
        <v>468.58</v>
      </c>
      <c r="D262">
        <v>454.59</v>
      </c>
      <c r="E262">
        <v>460.48</v>
      </c>
      <c r="F262">
        <v>2995300</v>
      </c>
      <c r="G262">
        <v>460.48</v>
      </c>
    </row>
    <row r="263" spans="1:7" x14ac:dyDescent="0.25">
      <c r="A263" s="5">
        <v>39069</v>
      </c>
      <c r="B263">
        <v>482.51</v>
      </c>
      <c r="C263">
        <v>482.74</v>
      </c>
      <c r="D263">
        <v>452.34</v>
      </c>
      <c r="E263">
        <v>455.58</v>
      </c>
      <c r="F263">
        <v>5982600</v>
      </c>
      <c r="G263">
        <v>455.58</v>
      </c>
    </row>
    <row r="264" spans="1:7" x14ac:dyDescent="0.25">
      <c r="A264" s="5">
        <v>39062</v>
      </c>
      <c r="B264">
        <v>484.92</v>
      </c>
      <c r="C264">
        <v>488.9</v>
      </c>
      <c r="D264">
        <v>477.02</v>
      </c>
      <c r="E264">
        <v>480.3</v>
      </c>
      <c r="F264">
        <v>4409200</v>
      </c>
      <c r="G264">
        <v>480.3</v>
      </c>
    </row>
    <row r="265" spans="1:7" x14ac:dyDescent="0.25">
      <c r="A265" s="5">
        <v>39055</v>
      </c>
      <c r="B265">
        <v>483</v>
      </c>
      <c r="C265">
        <v>492.4</v>
      </c>
      <c r="D265">
        <v>479.35</v>
      </c>
      <c r="E265">
        <v>484.11</v>
      </c>
      <c r="F265">
        <v>4418400</v>
      </c>
      <c r="G265">
        <v>484.11</v>
      </c>
    </row>
    <row r="266" spans="1:7" x14ac:dyDescent="0.25">
      <c r="A266" s="5">
        <v>39048</v>
      </c>
      <c r="B266">
        <v>501.37</v>
      </c>
      <c r="C266">
        <v>501.78</v>
      </c>
      <c r="D266">
        <v>477.03</v>
      </c>
      <c r="E266">
        <v>480.8</v>
      </c>
      <c r="F266">
        <v>6529300</v>
      </c>
      <c r="G266">
        <v>480.8</v>
      </c>
    </row>
    <row r="267" spans="1:7" x14ac:dyDescent="0.25">
      <c r="A267" s="5">
        <v>39041</v>
      </c>
      <c r="B267">
        <v>498.4</v>
      </c>
      <c r="C267">
        <v>513</v>
      </c>
      <c r="D267">
        <v>492.65</v>
      </c>
      <c r="E267">
        <v>505</v>
      </c>
      <c r="F267">
        <v>4946300</v>
      </c>
      <c r="G267">
        <v>505</v>
      </c>
    </row>
    <row r="268" spans="1:7" x14ac:dyDescent="0.25">
      <c r="A268" s="5">
        <v>39034</v>
      </c>
      <c r="B268">
        <v>474.9</v>
      </c>
      <c r="C268">
        <v>499.85</v>
      </c>
      <c r="D268">
        <v>474.14</v>
      </c>
      <c r="E268">
        <v>498.79</v>
      </c>
      <c r="F268">
        <v>6107900</v>
      </c>
      <c r="G268">
        <v>498.79</v>
      </c>
    </row>
    <row r="269" spans="1:7" x14ac:dyDescent="0.25">
      <c r="A269" s="5">
        <v>39027</v>
      </c>
      <c r="B269">
        <v>473.77</v>
      </c>
      <c r="C269">
        <v>481.74</v>
      </c>
      <c r="D269">
        <v>468.6</v>
      </c>
      <c r="E269">
        <v>473.55</v>
      </c>
      <c r="F269">
        <v>5105900</v>
      </c>
      <c r="G269">
        <v>473.55</v>
      </c>
    </row>
    <row r="270" spans="1:7" x14ac:dyDescent="0.25">
      <c r="A270" s="5">
        <v>39020</v>
      </c>
      <c r="B270">
        <v>474.82</v>
      </c>
      <c r="C270">
        <v>482.16</v>
      </c>
      <c r="D270">
        <v>465.06</v>
      </c>
      <c r="E270">
        <v>471.8</v>
      </c>
      <c r="F270">
        <v>5683800</v>
      </c>
      <c r="G270">
        <v>471.8</v>
      </c>
    </row>
    <row r="271" spans="1:7" x14ac:dyDescent="0.25">
      <c r="A271" s="5">
        <v>39013</v>
      </c>
      <c r="B271">
        <v>462.28</v>
      </c>
      <c r="C271">
        <v>491.96</v>
      </c>
      <c r="D271">
        <v>460.37</v>
      </c>
      <c r="E271">
        <v>475.2</v>
      </c>
      <c r="F271">
        <v>9317500</v>
      </c>
      <c r="G271">
        <v>475.2</v>
      </c>
    </row>
    <row r="272" spans="1:7" x14ac:dyDescent="0.25">
      <c r="A272" s="5">
        <v>39006</v>
      </c>
      <c r="B272">
        <v>427.7</v>
      </c>
      <c r="C272">
        <v>460.1</v>
      </c>
      <c r="D272">
        <v>416.7</v>
      </c>
      <c r="E272">
        <v>459.67</v>
      </c>
      <c r="F272">
        <v>7739800</v>
      </c>
      <c r="G272">
        <v>459.67</v>
      </c>
    </row>
    <row r="273" spans="1:7" x14ac:dyDescent="0.25">
      <c r="A273" s="5">
        <v>38999</v>
      </c>
      <c r="B273">
        <v>424.8</v>
      </c>
      <c r="C273">
        <v>437.85</v>
      </c>
      <c r="D273">
        <v>422.39</v>
      </c>
      <c r="E273">
        <v>427.3</v>
      </c>
      <c r="F273">
        <v>6294700</v>
      </c>
      <c r="G273">
        <v>427.3</v>
      </c>
    </row>
    <row r="274" spans="1:7" x14ac:dyDescent="0.25">
      <c r="A274" s="5">
        <v>38992</v>
      </c>
      <c r="B274">
        <v>401.9</v>
      </c>
      <c r="C274">
        <v>421.91</v>
      </c>
      <c r="D274">
        <v>398.19</v>
      </c>
      <c r="E274">
        <v>420.5</v>
      </c>
      <c r="F274">
        <v>5780900</v>
      </c>
      <c r="G274">
        <v>420.5</v>
      </c>
    </row>
    <row r="275" spans="1:7" x14ac:dyDescent="0.25">
      <c r="A275" s="5">
        <v>38985</v>
      </c>
      <c r="B275">
        <v>405.58</v>
      </c>
      <c r="C275">
        <v>411.22</v>
      </c>
      <c r="D275">
        <v>400.54</v>
      </c>
      <c r="E275">
        <v>401.9</v>
      </c>
      <c r="F275">
        <v>5064300</v>
      </c>
      <c r="G275">
        <v>401.9</v>
      </c>
    </row>
    <row r="276" spans="1:7" x14ac:dyDescent="0.25">
      <c r="A276" s="5">
        <v>38978</v>
      </c>
      <c r="B276">
        <v>410</v>
      </c>
      <c r="C276">
        <v>418.69</v>
      </c>
      <c r="D276">
        <v>392.74</v>
      </c>
      <c r="E276">
        <v>403.78</v>
      </c>
      <c r="F276">
        <v>9177800</v>
      </c>
      <c r="G276">
        <v>403.78</v>
      </c>
    </row>
    <row r="277" spans="1:7" x14ac:dyDescent="0.25">
      <c r="A277" s="5">
        <v>38971</v>
      </c>
      <c r="B277">
        <v>378.26</v>
      </c>
      <c r="C277">
        <v>410.05</v>
      </c>
      <c r="D277">
        <v>377.77</v>
      </c>
      <c r="E277">
        <v>409.88</v>
      </c>
      <c r="F277">
        <v>6588700</v>
      </c>
      <c r="G277">
        <v>409.88</v>
      </c>
    </row>
    <row r="278" spans="1:7" x14ac:dyDescent="0.25">
      <c r="A278" s="5">
        <v>38965</v>
      </c>
      <c r="B278">
        <v>379.87</v>
      </c>
      <c r="C278">
        <v>385.4</v>
      </c>
      <c r="D278">
        <v>376.72</v>
      </c>
      <c r="E278">
        <v>377.85</v>
      </c>
      <c r="F278">
        <v>3680900</v>
      </c>
      <c r="G278">
        <v>377.85</v>
      </c>
    </row>
    <row r="279" spans="1:7" x14ac:dyDescent="0.25">
      <c r="A279" s="5">
        <v>38957</v>
      </c>
      <c r="B279">
        <v>375.61</v>
      </c>
      <c r="C279">
        <v>384.65</v>
      </c>
      <c r="D279">
        <v>375</v>
      </c>
      <c r="E279">
        <v>378.6</v>
      </c>
      <c r="F279">
        <v>3660200</v>
      </c>
      <c r="G279">
        <v>378.6</v>
      </c>
    </row>
    <row r="280" spans="1:7" x14ac:dyDescent="0.25">
      <c r="A280" s="5">
        <v>38950</v>
      </c>
      <c r="B280">
        <v>378.1</v>
      </c>
      <c r="C280">
        <v>379.26</v>
      </c>
      <c r="D280">
        <v>372.26</v>
      </c>
      <c r="E280">
        <v>373.26</v>
      </c>
      <c r="F280">
        <v>3555700</v>
      </c>
      <c r="G280">
        <v>373.26</v>
      </c>
    </row>
    <row r="281" spans="1:7" x14ac:dyDescent="0.25">
      <c r="A281" s="5">
        <v>38943</v>
      </c>
      <c r="B281">
        <v>371.5</v>
      </c>
      <c r="C281">
        <v>390</v>
      </c>
      <c r="D281">
        <v>368.67</v>
      </c>
      <c r="E281">
        <v>383.36</v>
      </c>
      <c r="F281">
        <v>5510400</v>
      </c>
      <c r="G281">
        <v>383.36</v>
      </c>
    </row>
    <row r="282" spans="1:7" x14ac:dyDescent="0.25">
      <c r="A282" s="5">
        <v>38936</v>
      </c>
      <c r="B282">
        <v>371.5</v>
      </c>
      <c r="C282">
        <v>384.68</v>
      </c>
      <c r="D282">
        <v>368</v>
      </c>
      <c r="E282">
        <v>368.5</v>
      </c>
      <c r="F282">
        <v>4405900</v>
      </c>
      <c r="G282">
        <v>368.5</v>
      </c>
    </row>
    <row r="283" spans="1:7" x14ac:dyDescent="0.25">
      <c r="A283" s="5">
        <v>38929</v>
      </c>
      <c r="B283">
        <v>388</v>
      </c>
      <c r="C283">
        <v>389.17</v>
      </c>
      <c r="D283">
        <v>363.36</v>
      </c>
      <c r="E283">
        <v>373.85</v>
      </c>
      <c r="F283">
        <v>5715700</v>
      </c>
      <c r="G283">
        <v>373.85</v>
      </c>
    </row>
    <row r="284" spans="1:7" x14ac:dyDescent="0.25">
      <c r="A284" s="5">
        <v>38922</v>
      </c>
      <c r="B284">
        <v>392.82</v>
      </c>
      <c r="C284">
        <v>393.89</v>
      </c>
      <c r="D284">
        <v>377.95</v>
      </c>
      <c r="E284">
        <v>388.12</v>
      </c>
      <c r="F284">
        <v>5820700</v>
      </c>
      <c r="G284">
        <v>388.12</v>
      </c>
    </row>
    <row r="285" spans="1:7" x14ac:dyDescent="0.25">
      <c r="A285" s="5">
        <v>38915</v>
      </c>
      <c r="B285">
        <v>404.63</v>
      </c>
      <c r="C285">
        <v>411</v>
      </c>
      <c r="D285">
        <v>377.69</v>
      </c>
      <c r="E285">
        <v>390.11</v>
      </c>
      <c r="F285">
        <v>9432100</v>
      </c>
      <c r="G285">
        <v>390.11</v>
      </c>
    </row>
    <row r="286" spans="1:7" x14ac:dyDescent="0.25">
      <c r="A286" s="5">
        <v>38908</v>
      </c>
      <c r="B286">
        <v>423.44</v>
      </c>
      <c r="C286">
        <v>425.23</v>
      </c>
      <c r="D286">
        <v>398.61</v>
      </c>
      <c r="E286">
        <v>403.5</v>
      </c>
      <c r="F286">
        <v>5958200</v>
      </c>
      <c r="G286">
        <v>403.5</v>
      </c>
    </row>
    <row r="287" spans="1:7" x14ac:dyDescent="0.25">
      <c r="A287" s="5">
        <v>38901</v>
      </c>
      <c r="B287">
        <v>420.04</v>
      </c>
      <c r="C287">
        <v>427.89</v>
      </c>
      <c r="D287">
        <v>415.64</v>
      </c>
      <c r="E287">
        <v>420.45</v>
      </c>
      <c r="F287">
        <v>4217800</v>
      </c>
      <c r="G287">
        <v>420.45</v>
      </c>
    </row>
    <row r="288" spans="1:7" x14ac:dyDescent="0.25">
      <c r="A288" s="5">
        <v>38894</v>
      </c>
      <c r="B288">
        <v>406.75</v>
      </c>
      <c r="C288">
        <v>419.33</v>
      </c>
      <c r="D288">
        <v>401.01</v>
      </c>
      <c r="E288">
        <v>419.33</v>
      </c>
      <c r="F288">
        <v>4857000</v>
      </c>
      <c r="G288">
        <v>419.33</v>
      </c>
    </row>
    <row r="289" spans="1:7" x14ac:dyDescent="0.25">
      <c r="A289" s="5">
        <v>38887</v>
      </c>
      <c r="B289">
        <v>390.85</v>
      </c>
      <c r="C289">
        <v>409.75</v>
      </c>
      <c r="D289">
        <v>386.51</v>
      </c>
      <c r="E289">
        <v>404.86</v>
      </c>
      <c r="F289">
        <v>6328800</v>
      </c>
      <c r="G289">
        <v>404.86</v>
      </c>
    </row>
    <row r="290" spans="1:7" x14ac:dyDescent="0.25">
      <c r="A290" s="5">
        <v>38880</v>
      </c>
      <c r="B290">
        <v>388.34</v>
      </c>
      <c r="C290">
        <v>392.25</v>
      </c>
      <c r="D290">
        <v>378.12</v>
      </c>
      <c r="E290">
        <v>390.7</v>
      </c>
      <c r="F290">
        <v>6508100</v>
      </c>
      <c r="G290">
        <v>390.7</v>
      </c>
    </row>
    <row r="291" spans="1:7" x14ac:dyDescent="0.25">
      <c r="A291" s="5">
        <v>38873</v>
      </c>
      <c r="B291">
        <v>376.18</v>
      </c>
      <c r="C291">
        <v>395.43</v>
      </c>
      <c r="D291">
        <v>374.15</v>
      </c>
      <c r="E291">
        <v>386.57</v>
      </c>
      <c r="F291">
        <v>8249300</v>
      </c>
      <c r="G291">
        <v>386.57</v>
      </c>
    </row>
    <row r="292" spans="1:7" x14ac:dyDescent="0.25">
      <c r="A292" s="5">
        <v>38867</v>
      </c>
      <c r="B292">
        <v>378.28</v>
      </c>
      <c r="C292">
        <v>387.08</v>
      </c>
      <c r="D292">
        <v>366.78</v>
      </c>
      <c r="E292">
        <v>379.44</v>
      </c>
      <c r="F292">
        <v>6240400</v>
      </c>
      <c r="G292">
        <v>379.44</v>
      </c>
    </row>
    <row r="293" spans="1:7" x14ac:dyDescent="0.25">
      <c r="A293" s="5">
        <v>38859</v>
      </c>
      <c r="B293">
        <v>367.85</v>
      </c>
      <c r="C293">
        <v>385.88</v>
      </c>
      <c r="D293">
        <v>365.25</v>
      </c>
      <c r="E293">
        <v>381.35</v>
      </c>
      <c r="F293">
        <v>7800500</v>
      </c>
      <c r="G293">
        <v>381.35</v>
      </c>
    </row>
    <row r="294" spans="1:7" x14ac:dyDescent="0.25">
      <c r="A294" s="5">
        <v>38852</v>
      </c>
      <c r="B294">
        <v>375.93</v>
      </c>
      <c r="C294">
        <v>381.81</v>
      </c>
      <c r="D294">
        <v>360.57</v>
      </c>
      <c r="E294">
        <v>370.02</v>
      </c>
      <c r="F294">
        <v>8591600</v>
      </c>
      <c r="G294">
        <v>370.02</v>
      </c>
    </row>
    <row r="295" spans="1:7" x14ac:dyDescent="0.25">
      <c r="A295" s="5">
        <v>38845</v>
      </c>
      <c r="B295">
        <v>395.11</v>
      </c>
      <c r="C295">
        <v>411.71</v>
      </c>
      <c r="D295">
        <v>373.55</v>
      </c>
      <c r="E295">
        <v>374.13</v>
      </c>
      <c r="F295">
        <v>7885300</v>
      </c>
      <c r="G295">
        <v>374.13</v>
      </c>
    </row>
    <row r="296" spans="1:7" x14ac:dyDescent="0.25">
      <c r="A296" s="5">
        <v>38838</v>
      </c>
      <c r="B296">
        <v>418.47</v>
      </c>
      <c r="C296">
        <v>419.44</v>
      </c>
      <c r="D296">
        <v>388.4</v>
      </c>
      <c r="E296">
        <v>394.3</v>
      </c>
      <c r="F296">
        <v>8450900</v>
      </c>
      <c r="G296">
        <v>394.3</v>
      </c>
    </row>
    <row r="297" spans="1:7" x14ac:dyDescent="0.25">
      <c r="A297" s="5">
        <v>38831</v>
      </c>
      <c r="B297">
        <v>439.4</v>
      </c>
      <c r="C297">
        <v>444.7</v>
      </c>
      <c r="D297">
        <v>416.3</v>
      </c>
      <c r="E297">
        <v>417.94</v>
      </c>
      <c r="F297">
        <v>8288400</v>
      </c>
      <c r="G297">
        <v>417.94</v>
      </c>
    </row>
    <row r="298" spans="1:7" x14ac:dyDescent="0.25">
      <c r="A298" s="5">
        <v>38824</v>
      </c>
      <c r="B298">
        <v>403.45</v>
      </c>
      <c r="C298">
        <v>450.72</v>
      </c>
      <c r="D298">
        <v>400.84</v>
      </c>
      <c r="E298">
        <v>437.1</v>
      </c>
      <c r="F298">
        <v>11600300</v>
      </c>
      <c r="G298">
        <v>437.1</v>
      </c>
    </row>
    <row r="299" spans="1:7" x14ac:dyDescent="0.25">
      <c r="A299" s="5">
        <v>38817</v>
      </c>
      <c r="B299">
        <v>407.08</v>
      </c>
      <c r="C299">
        <v>419.1</v>
      </c>
      <c r="D299">
        <v>400.5</v>
      </c>
      <c r="E299">
        <v>402.16</v>
      </c>
      <c r="F299">
        <v>8249300</v>
      </c>
      <c r="G299">
        <v>402.16</v>
      </c>
    </row>
    <row r="300" spans="1:7" x14ac:dyDescent="0.25">
      <c r="A300" s="5">
        <v>38810</v>
      </c>
      <c r="B300">
        <v>389.53</v>
      </c>
      <c r="C300">
        <v>414.57</v>
      </c>
      <c r="D300">
        <v>387.93</v>
      </c>
      <c r="E300">
        <v>406.16</v>
      </c>
      <c r="F300">
        <v>10574600</v>
      </c>
      <c r="G300">
        <v>406.16</v>
      </c>
    </row>
    <row r="301" spans="1:7" x14ac:dyDescent="0.25">
      <c r="A301" s="5">
        <v>38803</v>
      </c>
      <c r="B301">
        <v>367.09</v>
      </c>
      <c r="C301">
        <v>399</v>
      </c>
      <c r="D301">
        <v>365</v>
      </c>
      <c r="E301">
        <v>390</v>
      </c>
      <c r="F301">
        <v>17246000</v>
      </c>
      <c r="G301">
        <v>390</v>
      </c>
    </row>
    <row r="302" spans="1:7" x14ac:dyDescent="0.25">
      <c r="A302" s="5">
        <v>38796</v>
      </c>
      <c r="B302">
        <v>342.34</v>
      </c>
      <c r="C302">
        <v>370.09</v>
      </c>
      <c r="D302">
        <v>337.5</v>
      </c>
      <c r="E302">
        <v>365.8</v>
      </c>
      <c r="F302">
        <v>10090000</v>
      </c>
      <c r="G302">
        <v>365.8</v>
      </c>
    </row>
    <row r="303" spans="1:7" x14ac:dyDescent="0.25">
      <c r="A303" s="5">
        <v>38789</v>
      </c>
      <c r="B303">
        <v>340.93</v>
      </c>
      <c r="C303">
        <v>352.37</v>
      </c>
      <c r="D303">
        <v>332.62</v>
      </c>
      <c r="E303">
        <v>339.79</v>
      </c>
      <c r="F303">
        <v>12686000</v>
      </c>
      <c r="G303">
        <v>339.79</v>
      </c>
    </row>
    <row r="304" spans="1:7" x14ac:dyDescent="0.25">
      <c r="A304" s="5">
        <v>38782</v>
      </c>
      <c r="B304">
        <v>380.91</v>
      </c>
      <c r="C304">
        <v>383.4</v>
      </c>
      <c r="D304">
        <v>331.55</v>
      </c>
      <c r="E304">
        <v>337.5</v>
      </c>
      <c r="F304">
        <v>12860000</v>
      </c>
      <c r="G304">
        <v>337.5</v>
      </c>
    </row>
    <row r="305" spans="1:7" x14ac:dyDescent="0.25">
      <c r="A305" s="5">
        <v>38775</v>
      </c>
      <c r="B305">
        <v>381.27</v>
      </c>
      <c r="C305">
        <v>397.54</v>
      </c>
      <c r="D305">
        <v>338.51</v>
      </c>
      <c r="E305">
        <v>378.18</v>
      </c>
      <c r="F305">
        <v>18400600</v>
      </c>
      <c r="G305">
        <v>378.18</v>
      </c>
    </row>
    <row r="306" spans="1:7" x14ac:dyDescent="0.25">
      <c r="A306" s="5">
        <v>38769</v>
      </c>
      <c r="B306">
        <v>366.44</v>
      </c>
      <c r="C306">
        <v>381.24</v>
      </c>
      <c r="D306">
        <v>363.86</v>
      </c>
      <c r="E306">
        <v>377.4</v>
      </c>
      <c r="F306">
        <v>8549500</v>
      </c>
      <c r="G306">
        <v>377.4</v>
      </c>
    </row>
    <row r="307" spans="1:7" x14ac:dyDescent="0.25">
      <c r="A307" s="5">
        <v>38761</v>
      </c>
      <c r="B307">
        <v>346.64</v>
      </c>
      <c r="C307">
        <v>372.14</v>
      </c>
      <c r="D307">
        <v>337.83</v>
      </c>
      <c r="E307">
        <v>368.75</v>
      </c>
      <c r="F307">
        <v>16590900</v>
      </c>
      <c r="G307">
        <v>368.75</v>
      </c>
    </row>
    <row r="308" spans="1:7" x14ac:dyDescent="0.25">
      <c r="A308" s="5">
        <v>38754</v>
      </c>
      <c r="B308">
        <v>385.31</v>
      </c>
      <c r="C308">
        <v>389.9</v>
      </c>
      <c r="D308">
        <v>353.14</v>
      </c>
      <c r="E308">
        <v>362.61</v>
      </c>
      <c r="F308">
        <v>14702100</v>
      </c>
      <c r="G308">
        <v>362.61</v>
      </c>
    </row>
    <row r="309" spans="1:7" x14ac:dyDescent="0.25">
      <c r="A309" s="5">
        <v>38747</v>
      </c>
      <c r="B309">
        <v>429.23</v>
      </c>
      <c r="C309">
        <v>439.6</v>
      </c>
      <c r="D309">
        <v>372.57</v>
      </c>
      <c r="E309">
        <v>381.55</v>
      </c>
      <c r="F309">
        <v>17573300</v>
      </c>
      <c r="G309">
        <v>381.55</v>
      </c>
    </row>
    <row r="310" spans="1:7" x14ac:dyDescent="0.25">
      <c r="A310" s="5">
        <v>38740</v>
      </c>
      <c r="B310">
        <v>407.38</v>
      </c>
      <c r="C310">
        <v>454.23</v>
      </c>
      <c r="D310">
        <v>405.73</v>
      </c>
      <c r="E310">
        <v>433.49</v>
      </c>
      <c r="F310">
        <v>15664800</v>
      </c>
      <c r="G310">
        <v>433.49</v>
      </c>
    </row>
    <row r="311" spans="1:7" x14ac:dyDescent="0.25">
      <c r="A311" s="5">
        <v>38734</v>
      </c>
      <c r="B311">
        <v>463.06</v>
      </c>
      <c r="C311">
        <v>469.9</v>
      </c>
      <c r="D311">
        <v>394.74</v>
      </c>
      <c r="E311">
        <v>399.46</v>
      </c>
      <c r="F311">
        <v>21102500</v>
      </c>
      <c r="G311">
        <v>399.46</v>
      </c>
    </row>
    <row r="312" spans="1:7" x14ac:dyDescent="0.25">
      <c r="A312" s="5">
        <v>38726</v>
      </c>
      <c r="B312">
        <v>466.41</v>
      </c>
      <c r="C312">
        <v>475.11</v>
      </c>
      <c r="D312">
        <v>460.94</v>
      </c>
      <c r="E312">
        <v>466.25</v>
      </c>
      <c r="F312">
        <v>9735600</v>
      </c>
      <c r="G312">
        <v>466.25</v>
      </c>
    </row>
    <row r="313" spans="1:7" x14ac:dyDescent="0.25">
      <c r="A313" s="5">
        <v>38720</v>
      </c>
      <c r="B313">
        <v>422.52</v>
      </c>
      <c r="C313">
        <v>470.5</v>
      </c>
      <c r="D313">
        <v>418.22</v>
      </c>
      <c r="E313">
        <v>465.66</v>
      </c>
      <c r="F313">
        <v>14243200</v>
      </c>
      <c r="G313">
        <v>465.66</v>
      </c>
    </row>
    <row r="314" spans="1:7" x14ac:dyDescent="0.25">
      <c r="A314" s="5">
        <v>38713</v>
      </c>
      <c r="B314">
        <v>431.86</v>
      </c>
      <c r="C314">
        <v>431.86</v>
      </c>
      <c r="D314">
        <v>413.74</v>
      </c>
      <c r="E314">
        <v>414.86</v>
      </c>
      <c r="F314">
        <v>7088400</v>
      </c>
      <c r="G314">
        <v>414.86</v>
      </c>
    </row>
    <row r="315" spans="1:7" x14ac:dyDescent="0.25">
      <c r="A315" s="5">
        <v>38705</v>
      </c>
      <c r="B315">
        <v>432.2</v>
      </c>
      <c r="C315">
        <v>446.21</v>
      </c>
      <c r="D315">
        <v>420.11</v>
      </c>
      <c r="E315">
        <v>430.93</v>
      </c>
      <c r="F315">
        <v>11077000</v>
      </c>
      <c r="G315">
        <v>430.93</v>
      </c>
    </row>
    <row r="316" spans="1:7" x14ac:dyDescent="0.25">
      <c r="A316" s="5">
        <v>38698</v>
      </c>
      <c r="B316">
        <v>414.63</v>
      </c>
      <c r="C316">
        <v>432.5</v>
      </c>
      <c r="D316">
        <v>409.95</v>
      </c>
      <c r="E316">
        <v>430.15</v>
      </c>
      <c r="F316">
        <v>8822700</v>
      </c>
      <c r="G316">
        <v>430.15</v>
      </c>
    </row>
    <row r="317" spans="1:7" x14ac:dyDescent="0.25">
      <c r="A317" s="5">
        <v>38691</v>
      </c>
      <c r="B317">
        <v>417</v>
      </c>
      <c r="C317">
        <v>417.5</v>
      </c>
      <c r="D317">
        <v>399.01</v>
      </c>
      <c r="E317">
        <v>409.2</v>
      </c>
      <c r="F317">
        <v>10724700</v>
      </c>
      <c r="G317">
        <v>409.2</v>
      </c>
    </row>
    <row r="318" spans="1:7" x14ac:dyDescent="0.25">
      <c r="A318" s="5">
        <v>38684</v>
      </c>
      <c r="B318">
        <v>429.82</v>
      </c>
      <c r="C318">
        <v>431.24</v>
      </c>
      <c r="D318">
        <v>395.56</v>
      </c>
      <c r="E318">
        <v>417.7</v>
      </c>
      <c r="F318">
        <v>13077800</v>
      </c>
      <c r="G318">
        <v>417.7</v>
      </c>
    </row>
    <row r="319" spans="1:7" x14ac:dyDescent="0.25">
      <c r="A319" s="5">
        <v>38677</v>
      </c>
      <c r="B319">
        <v>399.17</v>
      </c>
      <c r="C319">
        <v>428.75</v>
      </c>
      <c r="D319">
        <v>393.49</v>
      </c>
      <c r="E319">
        <v>428.62</v>
      </c>
      <c r="F319">
        <v>8714000</v>
      </c>
      <c r="G319">
        <v>428.62</v>
      </c>
    </row>
    <row r="320" spans="1:7" x14ac:dyDescent="0.25">
      <c r="A320" s="5">
        <v>38670</v>
      </c>
      <c r="B320">
        <v>392.12</v>
      </c>
      <c r="C320">
        <v>404.5</v>
      </c>
      <c r="D320">
        <v>390.95</v>
      </c>
      <c r="E320">
        <v>400.21</v>
      </c>
      <c r="F320">
        <v>8273100</v>
      </c>
      <c r="G320">
        <v>400.21</v>
      </c>
    </row>
    <row r="321" spans="1:7" x14ac:dyDescent="0.25">
      <c r="A321" s="5">
        <v>38663</v>
      </c>
      <c r="B321">
        <v>395.1</v>
      </c>
      <c r="C321">
        <v>397.47</v>
      </c>
      <c r="D321">
        <v>377.43</v>
      </c>
      <c r="E321">
        <v>390.4</v>
      </c>
      <c r="F321">
        <v>8829700</v>
      </c>
      <c r="G321">
        <v>390.4</v>
      </c>
    </row>
    <row r="322" spans="1:7" x14ac:dyDescent="0.25">
      <c r="A322" s="5">
        <v>38656</v>
      </c>
      <c r="B322">
        <v>360.24</v>
      </c>
      <c r="C322">
        <v>391.79</v>
      </c>
      <c r="D322">
        <v>359.51</v>
      </c>
      <c r="E322">
        <v>390.43</v>
      </c>
      <c r="F322">
        <v>11507500</v>
      </c>
      <c r="G322">
        <v>390.43</v>
      </c>
    </row>
    <row r="323" spans="1:7" x14ac:dyDescent="0.25">
      <c r="A323" s="5">
        <v>38649</v>
      </c>
      <c r="B323">
        <v>343.37</v>
      </c>
      <c r="C323">
        <v>358.95</v>
      </c>
      <c r="D323">
        <v>342.19</v>
      </c>
      <c r="E323">
        <v>358.17</v>
      </c>
      <c r="F323">
        <v>7251000</v>
      </c>
      <c r="G323">
        <v>358.17</v>
      </c>
    </row>
    <row r="324" spans="1:7" x14ac:dyDescent="0.25">
      <c r="A324" s="5">
        <v>38642</v>
      </c>
      <c r="B324">
        <v>297.5</v>
      </c>
      <c r="C324">
        <v>346.43</v>
      </c>
      <c r="D324">
        <v>294.56</v>
      </c>
      <c r="E324">
        <v>339.9</v>
      </c>
      <c r="F324">
        <v>11691800</v>
      </c>
      <c r="G324">
        <v>339.9</v>
      </c>
    </row>
    <row r="325" spans="1:7" x14ac:dyDescent="0.25">
      <c r="A325" s="5">
        <v>38635</v>
      </c>
      <c r="B325">
        <v>313.31</v>
      </c>
      <c r="C325">
        <v>314.82</v>
      </c>
      <c r="D325">
        <v>290.68</v>
      </c>
      <c r="E325">
        <v>296.14</v>
      </c>
      <c r="F325">
        <v>8501500</v>
      </c>
      <c r="G325">
        <v>296.14</v>
      </c>
    </row>
    <row r="326" spans="1:7" x14ac:dyDescent="0.25">
      <c r="A326" s="5">
        <v>38628</v>
      </c>
      <c r="B326">
        <v>313.63</v>
      </c>
      <c r="C326">
        <v>321.27999999999997</v>
      </c>
      <c r="D326">
        <v>308</v>
      </c>
      <c r="E326">
        <v>312.99</v>
      </c>
      <c r="F326">
        <v>8279400</v>
      </c>
      <c r="G326">
        <v>312.99</v>
      </c>
    </row>
    <row r="327" spans="1:7" x14ac:dyDescent="0.25">
      <c r="A327" s="5">
        <v>38621</v>
      </c>
      <c r="B327">
        <v>319.5</v>
      </c>
      <c r="C327">
        <v>320.95</v>
      </c>
      <c r="D327">
        <v>305.60000000000002</v>
      </c>
      <c r="E327">
        <v>316.45999999999998</v>
      </c>
      <c r="F327">
        <v>7906000</v>
      </c>
      <c r="G327">
        <v>316.45999999999998</v>
      </c>
    </row>
    <row r="328" spans="1:7" x14ac:dyDescent="0.25">
      <c r="A328" s="5">
        <v>38614</v>
      </c>
      <c r="B328">
        <v>301</v>
      </c>
      <c r="C328">
        <v>319.22000000000003</v>
      </c>
      <c r="D328">
        <v>300.70999999999998</v>
      </c>
      <c r="E328">
        <v>315.36</v>
      </c>
      <c r="F328">
        <v>9344500</v>
      </c>
      <c r="G328">
        <v>315.36</v>
      </c>
    </row>
    <row r="329" spans="1:7" x14ac:dyDescent="0.25">
      <c r="A329" s="5">
        <v>38607</v>
      </c>
      <c r="B329">
        <v>301.75</v>
      </c>
      <c r="C329">
        <v>315.52999999999997</v>
      </c>
      <c r="D329">
        <v>297.91000000000003</v>
      </c>
      <c r="E329">
        <v>300.2</v>
      </c>
      <c r="F329">
        <v>11001600</v>
      </c>
      <c r="G329">
        <v>300.2</v>
      </c>
    </row>
    <row r="330" spans="1:7" x14ac:dyDescent="0.25">
      <c r="A330" s="5">
        <v>38601</v>
      </c>
      <c r="B330">
        <v>289</v>
      </c>
      <c r="C330">
        <v>299.27999999999997</v>
      </c>
      <c r="D330">
        <v>285.27999999999997</v>
      </c>
      <c r="E330">
        <v>299.08999999999997</v>
      </c>
      <c r="F330">
        <v>5678900</v>
      </c>
      <c r="G330">
        <v>299.08999999999997</v>
      </c>
    </row>
    <row r="331" spans="1:7" x14ac:dyDescent="0.25">
      <c r="A331" s="5">
        <v>38593</v>
      </c>
      <c r="B331">
        <v>282.24</v>
      </c>
      <c r="C331">
        <v>289.99</v>
      </c>
      <c r="D331">
        <v>282.24</v>
      </c>
      <c r="E331">
        <v>288.45</v>
      </c>
      <c r="F331">
        <v>4381100</v>
      </c>
      <c r="G331">
        <v>288.45</v>
      </c>
    </row>
    <row r="332" spans="1:7" x14ac:dyDescent="0.25">
      <c r="A332" s="5">
        <v>38586</v>
      </c>
      <c r="B332">
        <v>281.24</v>
      </c>
      <c r="C332">
        <v>285.02</v>
      </c>
      <c r="D332">
        <v>273.35000000000002</v>
      </c>
      <c r="E332">
        <v>283.58</v>
      </c>
      <c r="F332">
        <v>5871900</v>
      </c>
      <c r="G332">
        <v>283.58</v>
      </c>
    </row>
    <row r="333" spans="1:7" x14ac:dyDescent="0.25">
      <c r="A333" s="5">
        <v>38579</v>
      </c>
      <c r="B333">
        <v>289.8</v>
      </c>
      <c r="C333">
        <v>292.77</v>
      </c>
      <c r="D333">
        <v>275</v>
      </c>
      <c r="E333">
        <v>280</v>
      </c>
      <c r="F333">
        <v>7316500</v>
      </c>
      <c r="G333">
        <v>280</v>
      </c>
    </row>
    <row r="334" spans="1:7" x14ac:dyDescent="0.25">
      <c r="A334" s="5">
        <v>38572</v>
      </c>
      <c r="B334">
        <v>293.60000000000002</v>
      </c>
      <c r="C334">
        <v>295.64999999999998</v>
      </c>
      <c r="D334">
        <v>280.62</v>
      </c>
      <c r="E334">
        <v>289.72000000000003</v>
      </c>
      <c r="F334">
        <v>6248100</v>
      </c>
      <c r="G334">
        <v>289.72000000000003</v>
      </c>
    </row>
    <row r="335" spans="1:7" x14ac:dyDescent="0.25">
      <c r="A335" s="5">
        <v>38565</v>
      </c>
      <c r="B335">
        <v>288.12</v>
      </c>
      <c r="C335">
        <v>299.72000000000003</v>
      </c>
      <c r="D335">
        <v>288.10000000000002</v>
      </c>
      <c r="E335">
        <v>292.35000000000002</v>
      </c>
      <c r="F335">
        <v>6011800</v>
      </c>
      <c r="G335">
        <v>292.35000000000002</v>
      </c>
    </row>
    <row r="336" spans="1:7" x14ac:dyDescent="0.25">
      <c r="A336" s="5">
        <v>38558</v>
      </c>
      <c r="B336">
        <v>302.39</v>
      </c>
      <c r="C336">
        <v>303.29000000000002</v>
      </c>
      <c r="D336">
        <v>286.99</v>
      </c>
      <c r="E336">
        <v>287.76</v>
      </c>
      <c r="F336">
        <v>8196500</v>
      </c>
      <c r="G336">
        <v>287.76</v>
      </c>
    </row>
    <row r="337" spans="1:7" x14ac:dyDescent="0.25">
      <c r="A337" s="5">
        <v>38551</v>
      </c>
      <c r="B337">
        <v>300</v>
      </c>
      <c r="C337">
        <v>317.8</v>
      </c>
      <c r="D337">
        <v>296.33</v>
      </c>
      <c r="E337">
        <v>302.39999999999998</v>
      </c>
      <c r="F337">
        <v>15263100</v>
      </c>
      <c r="G337">
        <v>302.39999999999998</v>
      </c>
    </row>
    <row r="338" spans="1:7" x14ac:dyDescent="0.25">
      <c r="A338" s="5">
        <v>38544</v>
      </c>
      <c r="B338">
        <v>296.39999999999998</v>
      </c>
      <c r="C338">
        <v>306.75</v>
      </c>
      <c r="D338">
        <v>290.93</v>
      </c>
      <c r="E338">
        <v>301.19</v>
      </c>
      <c r="F338">
        <v>8959800</v>
      </c>
      <c r="G338">
        <v>301.19</v>
      </c>
    </row>
    <row r="339" spans="1:7" x14ac:dyDescent="0.25">
      <c r="A339" s="5">
        <v>38538</v>
      </c>
      <c r="B339">
        <v>292.10000000000002</v>
      </c>
      <c r="C339">
        <v>297.60000000000002</v>
      </c>
      <c r="D339">
        <v>288.51</v>
      </c>
      <c r="E339">
        <v>296.23</v>
      </c>
      <c r="F339">
        <v>8406000</v>
      </c>
      <c r="G339">
        <v>296.23</v>
      </c>
    </row>
    <row r="340" spans="1:7" x14ac:dyDescent="0.25">
      <c r="A340" s="5">
        <v>38530</v>
      </c>
      <c r="B340">
        <v>298.89999999999998</v>
      </c>
      <c r="C340">
        <v>309.25</v>
      </c>
      <c r="D340">
        <v>289.22000000000003</v>
      </c>
      <c r="E340">
        <v>291.25</v>
      </c>
      <c r="F340">
        <v>15892000</v>
      </c>
      <c r="G340">
        <v>291.25</v>
      </c>
    </row>
    <row r="341" spans="1:7" x14ac:dyDescent="0.25">
      <c r="A341" s="5">
        <v>38523</v>
      </c>
      <c r="B341">
        <v>276.08999999999997</v>
      </c>
      <c r="C341">
        <v>298</v>
      </c>
      <c r="D341">
        <v>271.73</v>
      </c>
      <c r="E341">
        <v>297.25</v>
      </c>
      <c r="F341">
        <v>15691700</v>
      </c>
      <c r="G341">
        <v>297.25</v>
      </c>
    </row>
    <row r="342" spans="1:7" x14ac:dyDescent="0.25">
      <c r="A342" s="5">
        <v>38516</v>
      </c>
      <c r="B342">
        <v>279.82</v>
      </c>
      <c r="C342">
        <v>284.19</v>
      </c>
      <c r="D342">
        <v>267.43</v>
      </c>
      <c r="E342">
        <v>280.3</v>
      </c>
      <c r="F342">
        <v>13335000</v>
      </c>
      <c r="G342">
        <v>280.3</v>
      </c>
    </row>
    <row r="343" spans="1:7" x14ac:dyDescent="0.25">
      <c r="A343" s="5">
        <v>38509</v>
      </c>
      <c r="B343">
        <v>282.39</v>
      </c>
      <c r="C343">
        <v>299.58999999999997</v>
      </c>
      <c r="D343">
        <v>278</v>
      </c>
      <c r="E343">
        <v>282.5</v>
      </c>
      <c r="F343">
        <v>20337500</v>
      </c>
      <c r="G343">
        <v>282.5</v>
      </c>
    </row>
    <row r="344" spans="1:7" x14ac:dyDescent="0.25">
      <c r="A344" s="5">
        <v>38503</v>
      </c>
      <c r="B344">
        <v>269.43</v>
      </c>
      <c r="C344">
        <v>292.89</v>
      </c>
      <c r="D344">
        <v>269.37</v>
      </c>
      <c r="E344">
        <v>280.26</v>
      </c>
      <c r="F344">
        <v>23546200</v>
      </c>
      <c r="G344">
        <v>280.26</v>
      </c>
    </row>
    <row r="345" spans="1:7" x14ac:dyDescent="0.25">
      <c r="A345" s="5">
        <v>38495</v>
      </c>
      <c r="B345">
        <v>243.16</v>
      </c>
      <c r="C345">
        <v>266.05</v>
      </c>
      <c r="D345">
        <v>242.71</v>
      </c>
      <c r="E345">
        <v>266</v>
      </c>
      <c r="F345">
        <v>18844000</v>
      </c>
      <c r="G345">
        <v>266</v>
      </c>
    </row>
    <row r="346" spans="1:7" x14ac:dyDescent="0.25">
      <c r="A346" s="5">
        <v>38488</v>
      </c>
      <c r="B346">
        <v>229.68</v>
      </c>
      <c r="C346">
        <v>241.67</v>
      </c>
      <c r="D346">
        <v>228.57</v>
      </c>
      <c r="E346">
        <v>241.61</v>
      </c>
      <c r="F346">
        <v>8736400</v>
      </c>
      <c r="G346">
        <v>241.61</v>
      </c>
    </row>
    <row r="347" spans="1:7" x14ac:dyDescent="0.25">
      <c r="A347" s="5">
        <v>38481</v>
      </c>
      <c r="B347">
        <v>228</v>
      </c>
      <c r="C347">
        <v>232.23</v>
      </c>
      <c r="D347">
        <v>224.72</v>
      </c>
      <c r="E347">
        <v>229.24</v>
      </c>
      <c r="F347">
        <v>7945000</v>
      </c>
      <c r="G347">
        <v>229.24</v>
      </c>
    </row>
    <row r="348" spans="1:7" x14ac:dyDescent="0.25">
      <c r="A348" s="5">
        <v>38474</v>
      </c>
      <c r="B348">
        <v>222.05</v>
      </c>
      <c r="C348">
        <v>229.88</v>
      </c>
      <c r="D348">
        <v>220.21</v>
      </c>
      <c r="E348">
        <v>228.02</v>
      </c>
      <c r="F348">
        <v>10780900</v>
      </c>
      <c r="G348">
        <v>228.02</v>
      </c>
    </row>
    <row r="349" spans="1:7" x14ac:dyDescent="0.25">
      <c r="A349" s="5">
        <v>38467</v>
      </c>
      <c r="B349">
        <v>217.82</v>
      </c>
      <c r="C349">
        <v>224.74</v>
      </c>
      <c r="D349">
        <v>216.74</v>
      </c>
      <c r="E349">
        <v>220</v>
      </c>
      <c r="F349">
        <v>13045900</v>
      </c>
      <c r="G349">
        <v>220</v>
      </c>
    </row>
    <row r="350" spans="1:7" x14ac:dyDescent="0.25">
      <c r="A350" s="5">
        <v>38460</v>
      </c>
      <c r="B350">
        <v>184.58</v>
      </c>
      <c r="C350">
        <v>224</v>
      </c>
      <c r="D350">
        <v>183.49</v>
      </c>
      <c r="E350">
        <v>215.81</v>
      </c>
      <c r="F350">
        <v>16277700</v>
      </c>
      <c r="G350">
        <v>215.81</v>
      </c>
    </row>
    <row r="351" spans="1:7" x14ac:dyDescent="0.25">
      <c r="A351" s="5">
        <v>38453</v>
      </c>
      <c r="B351">
        <v>193.09</v>
      </c>
      <c r="C351">
        <v>194.8</v>
      </c>
      <c r="D351">
        <v>184.66</v>
      </c>
      <c r="E351">
        <v>185</v>
      </c>
      <c r="F351">
        <v>7403200</v>
      </c>
      <c r="G351">
        <v>185</v>
      </c>
    </row>
    <row r="352" spans="1:7" x14ac:dyDescent="0.25">
      <c r="A352" s="5">
        <v>38446</v>
      </c>
      <c r="B352">
        <v>179.95</v>
      </c>
      <c r="C352">
        <v>195.1</v>
      </c>
      <c r="D352">
        <v>179.84</v>
      </c>
      <c r="E352">
        <v>192.05</v>
      </c>
      <c r="F352">
        <v>7374900</v>
      </c>
      <c r="G352">
        <v>192.05</v>
      </c>
    </row>
    <row r="353" spans="1:7" x14ac:dyDescent="0.25">
      <c r="A353" s="5">
        <v>38439</v>
      </c>
      <c r="B353">
        <v>181.68</v>
      </c>
      <c r="C353">
        <v>184.8</v>
      </c>
      <c r="D353">
        <v>177.64</v>
      </c>
      <c r="E353">
        <v>180.04</v>
      </c>
      <c r="F353">
        <v>6879500</v>
      </c>
      <c r="G353">
        <v>180.04</v>
      </c>
    </row>
    <row r="354" spans="1:7" x14ac:dyDescent="0.25">
      <c r="A354" s="5">
        <v>38432</v>
      </c>
      <c r="B354">
        <v>179.27</v>
      </c>
      <c r="C354">
        <v>182.17</v>
      </c>
      <c r="D354">
        <v>177.25</v>
      </c>
      <c r="E354">
        <v>179.25</v>
      </c>
      <c r="F354">
        <v>5416400</v>
      </c>
      <c r="G354">
        <v>179.25</v>
      </c>
    </row>
    <row r="355" spans="1:7" x14ac:dyDescent="0.25">
      <c r="A355" s="5">
        <v>38425</v>
      </c>
      <c r="B355">
        <v>178.33</v>
      </c>
      <c r="C355">
        <v>180.4</v>
      </c>
      <c r="D355">
        <v>172.57</v>
      </c>
      <c r="E355">
        <v>180.04</v>
      </c>
      <c r="F355">
        <v>8805100</v>
      </c>
      <c r="G355">
        <v>180.04</v>
      </c>
    </row>
    <row r="356" spans="1:7" x14ac:dyDescent="0.25">
      <c r="A356" s="5">
        <v>38418</v>
      </c>
      <c r="B356">
        <v>187.78</v>
      </c>
      <c r="C356">
        <v>189.85</v>
      </c>
      <c r="D356">
        <v>177.15</v>
      </c>
      <c r="E356">
        <v>177.8</v>
      </c>
      <c r="F356">
        <v>9412500</v>
      </c>
      <c r="G356">
        <v>177.8</v>
      </c>
    </row>
    <row r="357" spans="1:7" x14ac:dyDescent="0.25">
      <c r="A357" s="5">
        <v>38411</v>
      </c>
      <c r="B357">
        <v>186</v>
      </c>
      <c r="C357">
        <v>189.87</v>
      </c>
      <c r="D357">
        <v>182</v>
      </c>
      <c r="E357">
        <v>185.9</v>
      </c>
      <c r="F357">
        <v>7759500</v>
      </c>
      <c r="G357">
        <v>185.9</v>
      </c>
    </row>
    <row r="358" spans="1:7" x14ac:dyDescent="0.25">
      <c r="A358" s="5">
        <v>38405</v>
      </c>
      <c r="B358">
        <v>196.5</v>
      </c>
      <c r="C358">
        <v>198.9</v>
      </c>
      <c r="D358">
        <v>182.23</v>
      </c>
      <c r="E358">
        <v>185.87</v>
      </c>
      <c r="F358">
        <v>16214300</v>
      </c>
      <c r="G358">
        <v>185.87</v>
      </c>
    </row>
    <row r="359" spans="1:7" x14ac:dyDescent="0.25">
      <c r="A359" s="5">
        <v>38397</v>
      </c>
      <c r="B359">
        <v>182.85</v>
      </c>
      <c r="C359">
        <v>199.84</v>
      </c>
      <c r="D359">
        <v>181</v>
      </c>
      <c r="E359">
        <v>197.95</v>
      </c>
      <c r="F359">
        <v>19955500</v>
      </c>
      <c r="G359">
        <v>197.95</v>
      </c>
    </row>
    <row r="360" spans="1:7" x14ac:dyDescent="0.25">
      <c r="A360" s="5">
        <v>38390</v>
      </c>
      <c r="B360">
        <v>205.26</v>
      </c>
      <c r="C360">
        <v>206.4</v>
      </c>
      <c r="D360">
        <v>185.25</v>
      </c>
      <c r="E360">
        <v>187.4</v>
      </c>
      <c r="F360">
        <v>14742100</v>
      </c>
      <c r="G360">
        <v>187.4</v>
      </c>
    </row>
    <row r="361" spans="1:7" x14ac:dyDescent="0.25">
      <c r="A361" s="5">
        <v>38383</v>
      </c>
      <c r="B361">
        <v>193.69</v>
      </c>
      <c r="C361">
        <v>216.8</v>
      </c>
      <c r="D361">
        <v>190.63</v>
      </c>
      <c r="E361">
        <v>204.36</v>
      </c>
      <c r="F361">
        <v>17808400</v>
      </c>
      <c r="G361">
        <v>204.36</v>
      </c>
    </row>
    <row r="362" spans="1:7" x14ac:dyDescent="0.25">
      <c r="A362" s="5">
        <v>38376</v>
      </c>
      <c r="B362">
        <v>188.69</v>
      </c>
      <c r="C362">
        <v>194.7</v>
      </c>
      <c r="D362">
        <v>176.29</v>
      </c>
      <c r="E362">
        <v>190.34</v>
      </c>
      <c r="F362">
        <v>11165000</v>
      </c>
      <c r="G362">
        <v>190.34</v>
      </c>
    </row>
    <row r="363" spans="1:7" x14ac:dyDescent="0.25">
      <c r="A363" s="5">
        <v>38370</v>
      </c>
      <c r="B363">
        <v>200.97</v>
      </c>
      <c r="C363">
        <v>205.3</v>
      </c>
      <c r="D363">
        <v>188.12</v>
      </c>
      <c r="E363">
        <v>188.28</v>
      </c>
      <c r="F363">
        <v>10672500</v>
      </c>
      <c r="G363">
        <v>188.28</v>
      </c>
    </row>
    <row r="364" spans="1:7" x14ac:dyDescent="0.25">
      <c r="A364" s="5">
        <v>38362</v>
      </c>
      <c r="B364">
        <v>194.5</v>
      </c>
      <c r="C364">
        <v>200.01</v>
      </c>
      <c r="D364">
        <v>190.5</v>
      </c>
      <c r="E364">
        <v>199.97</v>
      </c>
      <c r="F364">
        <v>7833100</v>
      </c>
      <c r="G364">
        <v>199.97</v>
      </c>
    </row>
    <row r="365" spans="1:7" x14ac:dyDescent="0.25">
      <c r="A365" s="5">
        <v>38355</v>
      </c>
      <c r="B365">
        <v>197.4</v>
      </c>
      <c r="C365">
        <v>203.64</v>
      </c>
      <c r="D365">
        <v>187.72</v>
      </c>
      <c r="E365">
        <v>193.85</v>
      </c>
      <c r="F365">
        <v>11577300</v>
      </c>
      <c r="G365">
        <v>193.85</v>
      </c>
    </row>
    <row r="366" spans="1:7" x14ac:dyDescent="0.25">
      <c r="A366" s="5">
        <v>38348</v>
      </c>
      <c r="B366">
        <v>189.15</v>
      </c>
      <c r="C366">
        <v>199.88</v>
      </c>
      <c r="D366">
        <v>189.1</v>
      </c>
      <c r="E366">
        <v>192.79</v>
      </c>
      <c r="F366">
        <v>5300100</v>
      </c>
      <c r="G366">
        <v>192.79</v>
      </c>
    </row>
    <row r="367" spans="1:7" x14ac:dyDescent="0.25">
      <c r="A367" s="5">
        <v>38341</v>
      </c>
      <c r="B367">
        <v>182</v>
      </c>
      <c r="C367">
        <v>188.6</v>
      </c>
      <c r="D367">
        <v>181.87</v>
      </c>
      <c r="E367">
        <v>187.9</v>
      </c>
      <c r="F367">
        <v>5718100</v>
      </c>
      <c r="G367">
        <v>187.9</v>
      </c>
    </row>
    <row r="368" spans="1:7" x14ac:dyDescent="0.25">
      <c r="A368" s="5">
        <v>38334</v>
      </c>
      <c r="B368">
        <v>172.17</v>
      </c>
      <c r="C368">
        <v>180.69</v>
      </c>
      <c r="D368">
        <v>169.45</v>
      </c>
      <c r="E368">
        <v>180.08</v>
      </c>
      <c r="F368">
        <v>8667400</v>
      </c>
      <c r="G368">
        <v>180.08</v>
      </c>
    </row>
    <row r="369" spans="1:7" x14ac:dyDescent="0.25">
      <c r="A369" s="5">
        <v>38327</v>
      </c>
      <c r="B369">
        <v>179.13</v>
      </c>
      <c r="C369">
        <v>180.7</v>
      </c>
      <c r="D369">
        <v>168.47</v>
      </c>
      <c r="E369">
        <v>171.65</v>
      </c>
      <c r="F369">
        <v>6527500</v>
      </c>
      <c r="G369">
        <v>171.65</v>
      </c>
    </row>
    <row r="370" spans="1:7" x14ac:dyDescent="0.25">
      <c r="A370" s="5">
        <v>38320</v>
      </c>
      <c r="B370">
        <v>180.36</v>
      </c>
      <c r="C370">
        <v>183</v>
      </c>
      <c r="D370">
        <v>177.51</v>
      </c>
      <c r="E370">
        <v>180.4</v>
      </c>
      <c r="F370">
        <v>7672100</v>
      </c>
      <c r="G370">
        <v>180.4</v>
      </c>
    </row>
    <row r="371" spans="1:7" x14ac:dyDescent="0.25">
      <c r="A371" s="5">
        <v>38313</v>
      </c>
      <c r="B371">
        <v>164.47</v>
      </c>
      <c r="C371">
        <v>180.03</v>
      </c>
      <c r="D371">
        <v>161.31</v>
      </c>
      <c r="E371">
        <v>179.39</v>
      </c>
      <c r="F371">
        <v>11635600</v>
      </c>
      <c r="G371">
        <v>179.39</v>
      </c>
    </row>
    <row r="372" spans="1:7" x14ac:dyDescent="0.25">
      <c r="A372" s="5">
        <v>38306</v>
      </c>
      <c r="B372">
        <v>180.45</v>
      </c>
      <c r="C372">
        <v>188.32</v>
      </c>
      <c r="D372">
        <v>165.73</v>
      </c>
      <c r="E372">
        <v>169.4</v>
      </c>
      <c r="F372">
        <v>15270100</v>
      </c>
      <c r="G372">
        <v>169.4</v>
      </c>
    </row>
    <row r="373" spans="1:7" x14ac:dyDescent="0.25">
      <c r="A373" s="5">
        <v>38299</v>
      </c>
      <c r="B373">
        <v>170.93</v>
      </c>
      <c r="C373">
        <v>189.8</v>
      </c>
      <c r="D373">
        <v>165.27</v>
      </c>
      <c r="E373">
        <v>182</v>
      </c>
      <c r="F373">
        <v>12926300</v>
      </c>
      <c r="G373">
        <v>182</v>
      </c>
    </row>
    <row r="374" spans="1:7" x14ac:dyDescent="0.25">
      <c r="A374" s="5">
        <v>38292</v>
      </c>
      <c r="B374">
        <v>193.55</v>
      </c>
      <c r="C374">
        <v>201.6</v>
      </c>
      <c r="D374">
        <v>168.55</v>
      </c>
      <c r="E374">
        <v>169.35</v>
      </c>
      <c r="F374">
        <v>14340500</v>
      </c>
      <c r="G374">
        <v>169.35</v>
      </c>
    </row>
    <row r="375" spans="1:7" x14ac:dyDescent="0.25">
      <c r="A375" s="5">
        <v>38285</v>
      </c>
      <c r="B375">
        <v>176.4</v>
      </c>
      <c r="C375">
        <v>199.95</v>
      </c>
      <c r="D375">
        <v>172.55</v>
      </c>
      <c r="E375">
        <v>190.64</v>
      </c>
      <c r="F375">
        <v>20887400</v>
      </c>
      <c r="G375">
        <v>190.64</v>
      </c>
    </row>
    <row r="376" spans="1:7" x14ac:dyDescent="0.25">
      <c r="A376" s="5">
        <v>38278</v>
      </c>
      <c r="B376">
        <v>143.19999999999999</v>
      </c>
      <c r="C376">
        <v>180.17</v>
      </c>
      <c r="D376">
        <v>139.6</v>
      </c>
      <c r="E376">
        <v>172.43</v>
      </c>
      <c r="F376">
        <v>15788600</v>
      </c>
      <c r="G376">
        <v>172.43</v>
      </c>
    </row>
    <row r="377" spans="1:7" x14ac:dyDescent="0.25">
      <c r="A377" s="5">
        <v>38271</v>
      </c>
      <c r="B377">
        <v>137</v>
      </c>
      <c r="C377">
        <v>145.5</v>
      </c>
      <c r="D377">
        <v>133.4</v>
      </c>
      <c r="E377">
        <v>144.11000000000001</v>
      </c>
      <c r="F377">
        <v>6560600</v>
      </c>
      <c r="G377">
        <v>144.11000000000001</v>
      </c>
    </row>
    <row r="378" spans="1:7" x14ac:dyDescent="0.25">
      <c r="A378" s="5">
        <v>38264</v>
      </c>
      <c r="B378">
        <v>135.25</v>
      </c>
      <c r="C378">
        <v>139.88</v>
      </c>
      <c r="D378">
        <v>132.24</v>
      </c>
      <c r="E378">
        <v>137.72999999999999</v>
      </c>
      <c r="F378">
        <v>6662800</v>
      </c>
      <c r="G378">
        <v>137.72999999999999</v>
      </c>
    </row>
    <row r="379" spans="1:7" x14ac:dyDescent="0.25">
      <c r="A379" s="5">
        <v>38257</v>
      </c>
      <c r="B379">
        <v>119.56</v>
      </c>
      <c r="C379">
        <v>135.02000000000001</v>
      </c>
      <c r="D379">
        <v>117.8</v>
      </c>
      <c r="E379">
        <v>132.58000000000001</v>
      </c>
      <c r="F379">
        <v>8347800</v>
      </c>
      <c r="G379">
        <v>132.58000000000001</v>
      </c>
    </row>
    <row r="380" spans="1:7" x14ac:dyDescent="0.25">
      <c r="A380" s="5">
        <v>38250</v>
      </c>
      <c r="B380">
        <v>116.95</v>
      </c>
      <c r="C380">
        <v>124.1</v>
      </c>
      <c r="D380">
        <v>116.77</v>
      </c>
      <c r="E380">
        <v>119.83</v>
      </c>
      <c r="F380">
        <v>4314100</v>
      </c>
      <c r="G380">
        <v>119.83</v>
      </c>
    </row>
    <row r="381" spans="1:7" x14ac:dyDescent="0.25">
      <c r="A381" s="5">
        <v>38243</v>
      </c>
      <c r="B381">
        <v>106.63</v>
      </c>
      <c r="C381">
        <v>117.49</v>
      </c>
      <c r="D381">
        <v>106.46</v>
      </c>
      <c r="E381">
        <v>117.49</v>
      </c>
      <c r="F381">
        <v>4817300</v>
      </c>
      <c r="G381">
        <v>117.49</v>
      </c>
    </row>
    <row r="382" spans="1:7" x14ac:dyDescent="0.25">
      <c r="A382" s="5">
        <v>38237</v>
      </c>
      <c r="B382">
        <v>101.01</v>
      </c>
      <c r="C382">
        <v>106.56</v>
      </c>
      <c r="D382">
        <v>99.61</v>
      </c>
      <c r="E382">
        <v>105.33</v>
      </c>
      <c r="F382">
        <v>2952100</v>
      </c>
      <c r="G382">
        <v>105.33</v>
      </c>
    </row>
    <row r="383" spans="1:7" x14ac:dyDescent="0.25">
      <c r="A383" s="5">
        <v>38229</v>
      </c>
      <c r="B383">
        <v>105.28</v>
      </c>
      <c r="C383">
        <v>105.49</v>
      </c>
      <c r="D383">
        <v>98.94</v>
      </c>
      <c r="E383">
        <v>100.01</v>
      </c>
      <c r="F383">
        <v>3956300</v>
      </c>
      <c r="G383">
        <v>100.01</v>
      </c>
    </row>
    <row r="384" spans="1:7" x14ac:dyDescent="0.25">
      <c r="A384" s="5">
        <v>38222</v>
      </c>
      <c r="B384">
        <v>110.75</v>
      </c>
      <c r="C384">
        <v>113.48</v>
      </c>
      <c r="D384">
        <v>103.57</v>
      </c>
      <c r="E384">
        <v>106.15</v>
      </c>
      <c r="F384">
        <v>5605400</v>
      </c>
      <c r="G384">
        <v>106.15</v>
      </c>
    </row>
    <row r="385" spans="1:7" x14ac:dyDescent="0.25">
      <c r="A385" s="5">
        <v>38218</v>
      </c>
      <c r="B385">
        <v>100</v>
      </c>
      <c r="C385">
        <v>109.08</v>
      </c>
      <c r="D385">
        <v>95.96</v>
      </c>
      <c r="E385">
        <v>108.31</v>
      </c>
      <c r="F385">
        <v>16890200</v>
      </c>
      <c r="G385">
        <v>108.31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234"/>
  <sheetViews>
    <sheetView workbookViewId="0"/>
  </sheetViews>
  <sheetFormatPr defaultRowHeight="15" x14ac:dyDescent="0.25"/>
  <cols>
    <col min="1" max="1" width="10.7109375" bestFit="1" customWidth="1"/>
  </cols>
  <sheetData>
    <row r="1" spans="1:7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</row>
    <row r="2" spans="1:7" x14ac:dyDescent="0.25">
      <c r="A2" s="5">
        <v>40896</v>
      </c>
      <c r="B2">
        <v>1219.74</v>
      </c>
      <c r="C2">
        <v>1265.42</v>
      </c>
      <c r="D2">
        <v>1202.3699999999999</v>
      </c>
      <c r="E2">
        <v>1265.33</v>
      </c>
      <c r="F2">
        <v>3280102000</v>
      </c>
      <c r="G2">
        <v>1265.33</v>
      </c>
    </row>
    <row r="3" spans="1:7" x14ac:dyDescent="0.25">
      <c r="A3" s="5">
        <v>40889</v>
      </c>
      <c r="B3">
        <v>1255.05</v>
      </c>
      <c r="C3">
        <v>1255.05</v>
      </c>
      <c r="D3">
        <v>1209.47</v>
      </c>
      <c r="E3">
        <v>1219.6600000000001</v>
      </c>
      <c r="F3">
        <v>4235314000</v>
      </c>
      <c r="G3">
        <v>1219.6600000000001</v>
      </c>
    </row>
    <row r="4" spans="1:7" x14ac:dyDescent="0.25">
      <c r="A4" s="5">
        <v>40882</v>
      </c>
      <c r="B4">
        <v>1244.33</v>
      </c>
      <c r="C4">
        <v>1267.06</v>
      </c>
      <c r="D4">
        <v>1231.47</v>
      </c>
      <c r="E4">
        <v>1255.19</v>
      </c>
      <c r="F4">
        <v>4034362000</v>
      </c>
      <c r="G4">
        <v>1255.19</v>
      </c>
    </row>
    <row r="5" spans="1:7" x14ac:dyDescent="0.25">
      <c r="A5" s="5">
        <v>40875</v>
      </c>
      <c r="B5">
        <v>1158.67</v>
      </c>
      <c r="C5">
        <v>1260.08</v>
      </c>
      <c r="D5">
        <v>1158.67</v>
      </c>
      <c r="E5">
        <v>1244.28</v>
      </c>
      <c r="F5">
        <v>4335660000</v>
      </c>
      <c r="G5">
        <v>1244.28</v>
      </c>
    </row>
    <row r="6" spans="1:7" x14ac:dyDescent="0.25">
      <c r="A6" s="5">
        <v>40868</v>
      </c>
      <c r="B6">
        <v>1215.6199999999999</v>
      </c>
      <c r="C6">
        <v>1215.6199999999999</v>
      </c>
      <c r="D6">
        <v>1158.6600000000001</v>
      </c>
      <c r="E6">
        <v>1158.67</v>
      </c>
      <c r="F6">
        <v>3356230000</v>
      </c>
      <c r="G6">
        <v>1158.67</v>
      </c>
    </row>
    <row r="7" spans="1:7" x14ac:dyDescent="0.25">
      <c r="A7" s="5">
        <v>40861</v>
      </c>
      <c r="B7">
        <v>1263.8499999999999</v>
      </c>
      <c r="C7">
        <v>1264.25</v>
      </c>
      <c r="D7">
        <v>1209.43</v>
      </c>
      <c r="E7">
        <v>1215.6500000000001</v>
      </c>
      <c r="F7">
        <v>3865610000</v>
      </c>
      <c r="G7">
        <v>1215.6500000000001</v>
      </c>
    </row>
    <row r="8" spans="1:7" x14ac:dyDescent="0.25">
      <c r="A8" s="5">
        <v>40854</v>
      </c>
      <c r="B8">
        <v>1253.21</v>
      </c>
      <c r="C8">
        <v>1277.55</v>
      </c>
      <c r="D8">
        <v>1226.6400000000001</v>
      </c>
      <c r="E8">
        <v>1263.8499999999999</v>
      </c>
      <c r="F8">
        <v>3866112000</v>
      </c>
      <c r="G8">
        <v>1263.8499999999999</v>
      </c>
    </row>
    <row r="9" spans="1:7" x14ac:dyDescent="0.25">
      <c r="A9" s="5">
        <v>40847</v>
      </c>
      <c r="B9">
        <v>1284.96</v>
      </c>
      <c r="C9">
        <v>1284.96</v>
      </c>
      <c r="D9">
        <v>1215.42</v>
      </c>
      <c r="E9">
        <v>1253.23</v>
      </c>
      <c r="F9">
        <v>4549214000</v>
      </c>
      <c r="G9">
        <v>1253.23</v>
      </c>
    </row>
    <row r="10" spans="1:7" x14ac:dyDescent="0.25">
      <c r="A10" s="5">
        <v>40840</v>
      </c>
      <c r="B10">
        <v>1238.72</v>
      </c>
      <c r="C10">
        <v>1292.6600000000001</v>
      </c>
      <c r="D10">
        <v>1221.06</v>
      </c>
      <c r="E10">
        <v>1285.0899999999999</v>
      </c>
      <c r="F10">
        <v>4912236000</v>
      </c>
      <c r="G10">
        <v>1285.0899999999999</v>
      </c>
    </row>
    <row r="11" spans="1:7" x14ac:dyDescent="0.25">
      <c r="A11" s="5">
        <v>40833</v>
      </c>
      <c r="B11">
        <v>1224.47</v>
      </c>
      <c r="C11">
        <v>1239.03</v>
      </c>
      <c r="D11">
        <v>1191.48</v>
      </c>
      <c r="E11">
        <v>1238.25</v>
      </c>
      <c r="F11">
        <v>4767664000</v>
      </c>
      <c r="G11">
        <v>1238.25</v>
      </c>
    </row>
    <row r="12" spans="1:7" x14ac:dyDescent="0.25">
      <c r="A12" s="5">
        <v>40826</v>
      </c>
      <c r="B12">
        <v>1158.1500000000001</v>
      </c>
      <c r="C12">
        <v>1224.6099999999999</v>
      </c>
      <c r="D12">
        <v>1158.1500000000001</v>
      </c>
      <c r="E12">
        <v>1224.58</v>
      </c>
      <c r="F12">
        <v>4555924000</v>
      </c>
      <c r="G12">
        <v>1224.58</v>
      </c>
    </row>
    <row r="13" spans="1:7" x14ac:dyDescent="0.25">
      <c r="A13" s="5">
        <v>40819</v>
      </c>
      <c r="B13">
        <v>1131.21</v>
      </c>
      <c r="C13">
        <v>1171.4000000000001</v>
      </c>
      <c r="D13">
        <v>1074.77</v>
      </c>
      <c r="E13">
        <v>1155.46</v>
      </c>
      <c r="F13">
        <v>4514868000</v>
      </c>
      <c r="G13">
        <v>1155.46</v>
      </c>
    </row>
    <row r="14" spans="1:7" x14ac:dyDescent="0.25">
      <c r="A14" s="5">
        <v>40812</v>
      </c>
      <c r="B14">
        <v>1136.9100000000001</v>
      </c>
      <c r="C14">
        <v>1195.8599999999999</v>
      </c>
      <c r="D14">
        <v>1131.07</v>
      </c>
      <c r="E14">
        <v>1131.42</v>
      </c>
      <c r="F14">
        <v>4960282000</v>
      </c>
      <c r="G14">
        <v>1131.42</v>
      </c>
    </row>
    <row r="15" spans="1:7" x14ac:dyDescent="0.25">
      <c r="A15" s="5">
        <v>40805</v>
      </c>
      <c r="B15">
        <v>1214.99</v>
      </c>
      <c r="C15">
        <v>1220.3900000000001</v>
      </c>
      <c r="D15">
        <v>1114.22</v>
      </c>
      <c r="E15">
        <v>1136.43</v>
      </c>
      <c r="F15">
        <v>5128284000</v>
      </c>
      <c r="G15">
        <v>1136.43</v>
      </c>
    </row>
    <row r="16" spans="1:7" x14ac:dyDescent="0.25">
      <c r="A16" s="5">
        <v>40798</v>
      </c>
      <c r="B16">
        <v>1153.5</v>
      </c>
      <c r="C16">
        <v>1220.06</v>
      </c>
      <c r="D16">
        <v>1136.07</v>
      </c>
      <c r="E16">
        <v>1216.01</v>
      </c>
      <c r="F16">
        <v>4913056000</v>
      </c>
      <c r="G16">
        <v>1216.01</v>
      </c>
    </row>
    <row r="17" spans="1:7" x14ac:dyDescent="0.25">
      <c r="A17" s="5">
        <v>40792</v>
      </c>
      <c r="B17">
        <v>1173.97</v>
      </c>
      <c r="C17">
        <v>1204.4000000000001</v>
      </c>
      <c r="D17">
        <v>1140.1300000000001</v>
      </c>
      <c r="E17">
        <v>1154.23</v>
      </c>
      <c r="F17">
        <v>4649140000</v>
      </c>
      <c r="G17">
        <v>1154.23</v>
      </c>
    </row>
    <row r="18" spans="1:7" x14ac:dyDescent="0.25">
      <c r="A18" s="5">
        <v>40784</v>
      </c>
      <c r="B18">
        <v>1177.9100000000001</v>
      </c>
      <c r="C18">
        <v>1230.71</v>
      </c>
      <c r="D18">
        <v>1170.56</v>
      </c>
      <c r="E18">
        <v>1173.97</v>
      </c>
      <c r="F18">
        <v>4650126000</v>
      </c>
      <c r="G18">
        <v>1173.97</v>
      </c>
    </row>
    <row r="19" spans="1:7" x14ac:dyDescent="0.25">
      <c r="A19" s="5">
        <v>40777</v>
      </c>
      <c r="B19">
        <v>1123.55</v>
      </c>
      <c r="C19">
        <v>1190.68</v>
      </c>
      <c r="D19">
        <v>1121.0899999999999</v>
      </c>
      <c r="E19">
        <v>1176.8</v>
      </c>
      <c r="F19">
        <v>5309696000</v>
      </c>
      <c r="G19">
        <v>1176.8</v>
      </c>
    </row>
    <row r="20" spans="1:7" x14ac:dyDescent="0.25">
      <c r="A20" s="5">
        <v>40770</v>
      </c>
      <c r="B20">
        <v>1178.8599999999999</v>
      </c>
      <c r="C20">
        <v>1208.47</v>
      </c>
      <c r="D20">
        <v>1122.05</v>
      </c>
      <c r="E20">
        <v>1123.53</v>
      </c>
      <c r="F20">
        <v>4427032000</v>
      </c>
      <c r="G20">
        <v>1123.53</v>
      </c>
    </row>
    <row r="21" spans="1:7" x14ac:dyDescent="0.25">
      <c r="A21" s="5">
        <v>40763</v>
      </c>
      <c r="B21">
        <v>1198.48</v>
      </c>
      <c r="C21">
        <v>1198.48</v>
      </c>
      <c r="D21">
        <v>1101.54</v>
      </c>
      <c r="E21">
        <v>1178.81</v>
      </c>
      <c r="F21">
        <v>3865062000</v>
      </c>
      <c r="G21">
        <v>1178.81</v>
      </c>
    </row>
    <row r="22" spans="1:7" x14ac:dyDescent="0.25">
      <c r="A22" s="5">
        <v>40756</v>
      </c>
      <c r="B22">
        <v>1292.5899999999999</v>
      </c>
      <c r="C22">
        <v>1307.3800000000001</v>
      </c>
      <c r="D22">
        <v>1168.0899999999999</v>
      </c>
      <c r="E22">
        <v>1199.3800000000001</v>
      </c>
      <c r="F22">
        <v>5268348000</v>
      </c>
      <c r="G22">
        <v>1199.3800000000001</v>
      </c>
    </row>
    <row r="23" spans="1:7" x14ac:dyDescent="0.25">
      <c r="A23" s="5">
        <v>40749</v>
      </c>
      <c r="B23">
        <v>1344.32</v>
      </c>
      <c r="C23">
        <v>1344.32</v>
      </c>
      <c r="D23">
        <v>1282.8599999999999</v>
      </c>
      <c r="E23">
        <v>1292.28</v>
      </c>
      <c r="F23">
        <v>4207194000</v>
      </c>
      <c r="G23">
        <v>1292.28</v>
      </c>
    </row>
    <row r="24" spans="1:7" x14ac:dyDescent="0.25">
      <c r="A24" s="5">
        <v>40742</v>
      </c>
      <c r="B24">
        <v>1315.94</v>
      </c>
      <c r="C24">
        <v>1347</v>
      </c>
      <c r="D24">
        <v>1295.92</v>
      </c>
      <c r="E24">
        <v>1345.02</v>
      </c>
      <c r="F24">
        <v>4110088000</v>
      </c>
      <c r="G24">
        <v>1345.02</v>
      </c>
    </row>
    <row r="25" spans="1:7" x14ac:dyDescent="0.25">
      <c r="A25" s="5">
        <v>40735</v>
      </c>
      <c r="B25">
        <v>1343.31</v>
      </c>
      <c r="C25">
        <v>1343.31</v>
      </c>
      <c r="D25">
        <v>1306.51</v>
      </c>
      <c r="E25">
        <v>1316.14</v>
      </c>
      <c r="F25">
        <v>4153686000</v>
      </c>
      <c r="G25">
        <v>1316.14</v>
      </c>
    </row>
    <row r="26" spans="1:7" x14ac:dyDescent="0.25">
      <c r="A26" s="5">
        <v>40729</v>
      </c>
      <c r="B26">
        <v>1339.59</v>
      </c>
      <c r="C26">
        <v>1356.48</v>
      </c>
      <c r="D26">
        <v>1330.92</v>
      </c>
      <c r="E26">
        <v>1343.8</v>
      </c>
      <c r="F26">
        <v>3737600000</v>
      </c>
      <c r="G26">
        <v>1343.8</v>
      </c>
    </row>
    <row r="27" spans="1:7" x14ac:dyDescent="0.25">
      <c r="A27" s="5">
        <v>40721</v>
      </c>
      <c r="B27">
        <v>1268.44</v>
      </c>
      <c r="C27">
        <v>1341.01</v>
      </c>
      <c r="D27">
        <v>1267.53</v>
      </c>
      <c r="E27">
        <v>1339.67</v>
      </c>
      <c r="F27">
        <v>3901108000</v>
      </c>
      <c r="G27">
        <v>1339.67</v>
      </c>
    </row>
    <row r="28" spans="1:7" x14ac:dyDescent="0.25">
      <c r="A28" s="5">
        <v>40714</v>
      </c>
      <c r="B28">
        <v>1271.5</v>
      </c>
      <c r="C28">
        <v>1298.6099999999999</v>
      </c>
      <c r="D28">
        <v>1262.8699999999999</v>
      </c>
      <c r="E28">
        <v>1268.45</v>
      </c>
      <c r="F28">
        <v>3977604000</v>
      </c>
      <c r="G28">
        <v>1268.45</v>
      </c>
    </row>
    <row r="29" spans="1:7" x14ac:dyDescent="0.25">
      <c r="A29" s="5">
        <v>40707</v>
      </c>
      <c r="B29">
        <v>1271.31</v>
      </c>
      <c r="C29">
        <v>1292.5</v>
      </c>
      <c r="D29">
        <v>1258.07</v>
      </c>
      <c r="E29">
        <v>1271.5</v>
      </c>
      <c r="F29">
        <v>4093202000</v>
      </c>
      <c r="G29">
        <v>1271.5</v>
      </c>
    </row>
    <row r="30" spans="1:7" x14ac:dyDescent="0.25">
      <c r="A30" s="5">
        <v>40700</v>
      </c>
      <c r="B30">
        <v>1300.26</v>
      </c>
      <c r="C30">
        <v>1300.26</v>
      </c>
      <c r="D30">
        <v>1268.28</v>
      </c>
      <c r="E30">
        <v>1270.98</v>
      </c>
      <c r="F30">
        <v>3710360000</v>
      </c>
      <c r="G30">
        <v>1270.98</v>
      </c>
    </row>
    <row r="31" spans="1:7" x14ac:dyDescent="0.25">
      <c r="A31" s="5">
        <v>40694</v>
      </c>
      <c r="B31">
        <v>1331.1</v>
      </c>
      <c r="C31">
        <v>1345.2</v>
      </c>
      <c r="D31">
        <v>1297.9000000000001</v>
      </c>
      <c r="E31">
        <v>1300.1600000000001</v>
      </c>
      <c r="F31">
        <v>4051132500</v>
      </c>
      <c r="G31">
        <v>1300.1600000000001</v>
      </c>
    </row>
    <row r="32" spans="1:7" x14ac:dyDescent="0.25">
      <c r="A32" s="5">
        <v>40686</v>
      </c>
      <c r="B32">
        <v>1333.07</v>
      </c>
      <c r="C32">
        <v>1334.62</v>
      </c>
      <c r="D32">
        <v>1311.8</v>
      </c>
      <c r="E32">
        <v>1331.1</v>
      </c>
      <c r="F32">
        <v>3519106000</v>
      </c>
      <c r="G32">
        <v>1331.1</v>
      </c>
    </row>
    <row r="33" spans="1:7" x14ac:dyDescent="0.25">
      <c r="A33" s="5">
        <v>40679</v>
      </c>
      <c r="B33">
        <v>1334.77</v>
      </c>
      <c r="C33">
        <v>1346.82</v>
      </c>
      <c r="D33">
        <v>1318.51</v>
      </c>
      <c r="E33">
        <v>1333.27</v>
      </c>
      <c r="F33">
        <v>3902876000</v>
      </c>
      <c r="G33">
        <v>1333.27</v>
      </c>
    </row>
    <row r="34" spans="1:7" x14ac:dyDescent="0.25">
      <c r="A34" s="5">
        <v>40672</v>
      </c>
      <c r="B34">
        <v>1340.2</v>
      </c>
      <c r="C34">
        <v>1359.44</v>
      </c>
      <c r="D34">
        <v>1332.03</v>
      </c>
      <c r="E34">
        <v>1337.77</v>
      </c>
      <c r="F34">
        <v>3907822000</v>
      </c>
      <c r="G34">
        <v>1337.77</v>
      </c>
    </row>
    <row r="35" spans="1:7" x14ac:dyDescent="0.25">
      <c r="A35" s="5">
        <v>40665</v>
      </c>
      <c r="B35">
        <v>1365.21</v>
      </c>
      <c r="C35">
        <v>1370.58</v>
      </c>
      <c r="D35">
        <v>1329.17</v>
      </c>
      <c r="E35">
        <v>1340.2</v>
      </c>
      <c r="F35">
        <v>4072744000</v>
      </c>
      <c r="G35">
        <v>1340.2</v>
      </c>
    </row>
    <row r="36" spans="1:7" x14ac:dyDescent="0.25">
      <c r="A36" s="5">
        <v>40658</v>
      </c>
      <c r="B36">
        <v>1337.14</v>
      </c>
      <c r="C36">
        <v>1364.56</v>
      </c>
      <c r="D36">
        <v>1331.47</v>
      </c>
      <c r="E36">
        <v>1363.61</v>
      </c>
      <c r="F36">
        <v>3523530000</v>
      </c>
      <c r="G36">
        <v>1363.61</v>
      </c>
    </row>
    <row r="37" spans="1:7" x14ac:dyDescent="0.25">
      <c r="A37" s="5">
        <v>40651</v>
      </c>
      <c r="B37">
        <v>1313.35</v>
      </c>
      <c r="C37">
        <v>1337.49</v>
      </c>
      <c r="D37">
        <v>1294.7</v>
      </c>
      <c r="E37">
        <v>1337.38</v>
      </c>
      <c r="F37">
        <v>3983390000</v>
      </c>
      <c r="G37">
        <v>1337.38</v>
      </c>
    </row>
    <row r="38" spans="1:7" x14ac:dyDescent="0.25">
      <c r="A38" s="5">
        <v>40644</v>
      </c>
      <c r="B38">
        <v>1329.01</v>
      </c>
      <c r="C38">
        <v>1333.77</v>
      </c>
      <c r="D38">
        <v>1302.42</v>
      </c>
      <c r="E38">
        <v>1319.68</v>
      </c>
      <c r="F38">
        <v>3940338000</v>
      </c>
      <c r="G38">
        <v>1319.68</v>
      </c>
    </row>
    <row r="39" spans="1:7" x14ac:dyDescent="0.25">
      <c r="A39" s="5">
        <v>40637</v>
      </c>
      <c r="B39">
        <v>1333.56</v>
      </c>
      <c r="C39">
        <v>1339.46</v>
      </c>
      <c r="D39">
        <v>1322.94</v>
      </c>
      <c r="E39">
        <v>1328.17</v>
      </c>
      <c r="F39">
        <v>3977634000</v>
      </c>
      <c r="G39">
        <v>1328.17</v>
      </c>
    </row>
    <row r="40" spans="1:7" x14ac:dyDescent="0.25">
      <c r="A40" s="5">
        <v>40630</v>
      </c>
      <c r="B40">
        <v>1315.45</v>
      </c>
      <c r="C40">
        <v>1337.85</v>
      </c>
      <c r="D40">
        <v>1305.26</v>
      </c>
      <c r="E40">
        <v>1332.41</v>
      </c>
      <c r="F40">
        <v>3659466000</v>
      </c>
      <c r="G40">
        <v>1332.41</v>
      </c>
    </row>
    <row r="41" spans="1:7" x14ac:dyDescent="0.25">
      <c r="A41" s="5">
        <v>40623</v>
      </c>
      <c r="B41">
        <v>1281.6500000000001</v>
      </c>
      <c r="C41">
        <v>1319.18</v>
      </c>
      <c r="D41">
        <v>1281.6500000000001</v>
      </c>
      <c r="E41">
        <v>1313.8</v>
      </c>
      <c r="F41">
        <v>4018022000</v>
      </c>
      <c r="G41">
        <v>1313.8</v>
      </c>
    </row>
    <row r="42" spans="1:7" x14ac:dyDescent="0.25">
      <c r="A42" s="5">
        <v>40616</v>
      </c>
      <c r="B42">
        <v>1301.19</v>
      </c>
      <c r="C42">
        <v>1301.19</v>
      </c>
      <c r="D42">
        <v>1249.05</v>
      </c>
      <c r="E42">
        <v>1279.21</v>
      </c>
      <c r="F42">
        <v>4781044000</v>
      </c>
      <c r="G42">
        <v>1279.21</v>
      </c>
    </row>
    <row r="43" spans="1:7" x14ac:dyDescent="0.25">
      <c r="A43" s="5">
        <v>40609</v>
      </c>
      <c r="B43">
        <v>1322.72</v>
      </c>
      <c r="C43">
        <v>1327.68</v>
      </c>
      <c r="D43">
        <v>1291.99</v>
      </c>
      <c r="E43">
        <v>1304.28</v>
      </c>
      <c r="F43">
        <v>4133818000</v>
      </c>
      <c r="G43">
        <v>1304.28</v>
      </c>
    </row>
    <row r="44" spans="1:7" x14ac:dyDescent="0.25">
      <c r="A44" s="5">
        <v>40602</v>
      </c>
      <c r="B44">
        <v>1321.61</v>
      </c>
      <c r="C44">
        <v>1332.28</v>
      </c>
      <c r="D44">
        <v>1302.58</v>
      </c>
      <c r="E44">
        <v>1321.15</v>
      </c>
      <c r="F44">
        <v>2404496000</v>
      </c>
      <c r="G44">
        <v>1321.15</v>
      </c>
    </row>
    <row r="45" spans="1:7" x14ac:dyDescent="0.25">
      <c r="A45" s="5">
        <v>40596</v>
      </c>
      <c r="B45">
        <v>1338.91</v>
      </c>
      <c r="C45">
        <v>1338.91</v>
      </c>
      <c r="D45">
        <v>1294.26</v>
      </c>
      <c r="E45">
        <v>1319.88</v>
      </c>
      <c r="F45">
        <v>1928012500</v>
      </c>
      <c r="G45">
        <v>1319.88</v>
      </c>
    </row>
    <row r="46" spans="1:7" x14ac:dyDescent="0.25">
      <c r="A46" s="5">
        <v>40588</v>
      </c>
      <c r="B46">
        <v>1328.73</v>
      </c>
      <c r="C46">
        <v>1344.07</v>
      </c>
      <c r="D46">
        <v>1324.61</v>
      </c>
      <c r="E46">
        <v>1343.01</v>
      </c>
      <c r="F46">
        <v>2678650000</v>
      </c>
      <c r="G46">
        <v>1343.01</v>
      </c>
    </row>
    <row r="47" spans="1:7" x14ac:dyDescent="0.25">
      <c r="A47" s="5">
        <v>40581</v>
      </c>
      <c r="B47">
        <v>1311.85</v>
      </c>
      <c r="C47">
        <v>1330.79</v>
      </c>
      <c r="D47">
        <v>1311.74</v>
      </c>
      <c r="E47">
        <v>1329.15</v>
      </c>
      <c r="F47">
        <v>4021990000</v>
      </c>
      <c r="G47">
        <v>1329.15</v>
      </c>
    </row>
    <row r="48" spans="1:7" x14ac:dyDescent="0.25">
      <c r="A48" s="5">
        <v>40574</v>
      </c>
      <c r="B48">
        <v>1276.5</v>
      </c>
      <c r="C48">
        <v>1311</v>
      </c>
      <c r="D48">
        <v>1276.5</v>
      </c>
      <c r="E48">
        <v>1310.87</v>
      </c>
      <c r="F48">
        <v>4345372000</v>
      </c>
      <c r="G48">
        <v>1310.87</v>
      </c>
    </row>
    <row r="49" spans="1:7" x14ac:dyDescent="0.25">
      <c r="A49" s="5">
        <v>40567</v>
      </c>
      <c r="B49">
        <v>1283.29</v>
      </c>
      <c r="C49">
        <v>1302.67</v>
      </c>
      <c r="D49">
        <v>1275.0999999999999</v>
      </c>
      <c r="E49">
        <v>1276.3399999999999</v>
      </c>
      <c r="F49">
        <v>4631330000</v>
      </c>
      <c r="G49">
        <v>1276.3399999999999</v>
      </c>
    </row>
    <row r="50" spans="1:7" x14ac:dyDescent="0.25">
      <c r="A50" s="5">
        <v>40561</v>
      </c>
      <c r="B50">
        <v>1293.22</v>
      </c>
      <c r="C50">
        <v>1296.06</v>
      </c>
      <c r="D50">
        <v>1271.26</v>
      </c>
      <c r="E50">
        <v>1283.3499999999999</v>
      </c>
      <c r="F50">
        <v>4974835000</v>
      </c>
      <c r="G50">
        <v>1283.3499999999999</v>
      </c>
    </row>
    <row r="51" spans="1:7" x14ac:dyDescent="0.25">
      <c r="A51" s="5">
        <v>40553</v>
      </c>
      <c r="B51">
        <v>1270.8399999999999</v>
      </c>
      <c r="C51">
        <v>1293.24</v>
      </c>
      <c r="D51">
        <v>1262.18</v>
      </c>
      <c r="E51">
        <v>1293.24</v>
      </c>
      <c r="F51">
        <v>4257314000</v>
      </c>
      <c r="G51">
        <v>1293.24</v>
      </c>
    </row>
    <row r="52" spans="1:7" x14ac:dyDescent="0.25">
      <c r="A52" s="5">
        <v>40546</v>
      </c>
      <c r="B52">
        <v>1257.6199999999999</v>
      </c>
      <c r="C52">
        <v>1278.17</v>
      </c>
      <c r="D52">
        <v>1257.6199999999999</v>
      </c>
      <c r="E52">
        <v>1271.5</v>
      </c>
      <c r="F52">
        <v>4731044000</v>
      </c>
      <c r="G52">
        <v>1271.5</v>
      </c>
    </row>
    <row r="53" spans="1:7" x14ac:dyDescent="0.25">
      <c r="A53" s="5">
        <v>40539</v>
      </c>
      <c r="B53">
        <v>1254.6600000000001</v>
      </c>
      <c r="C53">
        <v>1262.5999999999999</v>
      </c>
      <c r="D53">
        <v>1251.48</v>
      </c>
      <c r="E53">
        <v>1257.6400000000001</v>
      </c>
      <c r="F53">
        <v>2091158000</v>
      </c>
      <c r="G53">
        <v>1257.6400000000001</v>
      </c>
    </row>
    <row r="54" spans="1:7" x14ac:dyDescent="0.25">
      <c r="A54" s="5">
        <v>40532</v>
      </c>
      <c r="B54">
        <v>1245.76</v>
      </c>
      <c r="C54">
        <v>1259.3900000000001</v>
      </c>
      <c r="D54">
        <v>1241.51</v>
      </c>
      <c r="E54">
        <v>1256.77</v>
      </c>
      <c r="F54">
        <v>2707105000</v>
      </c>
      <c r="G54">
        <v>1256.77</v>
      </c>
    </row>
    <row r="55" spans="1:7" x14ac:dyDescent="0.25">
      <c r="A55" s="5">
        <v>40525</v>
      </c>
      <c r="B55">
        <v>1242.52</v>
      </c>
      <c r="C55">
        <v>1246.73</v>
      </c>
      <c r="D55">
        <v>1232.8499999999999</v>
      </c>
      <c r="E55">
        <v>1243.9100000000001</v>
      </c>
      <c r="F55">
        <v>4454044000</v>
      </c>
      <c r="G55">
        <v>1243.9100000000001</v>
      </c>
    </row>
    <row r="56" spans="1:7" x14ac:dyDescent="0.25">
      <c r="A56" s="5">
        <v>40518</v>
      </c>
      <c r="B56">
        <v>1223.8699999999999</v>
      </c>
      <c r="C56">
        <v>1240.4000000000001</v>
      </c>
      <c r="D56">
        <v>1219.5</v>
      </c>
      <c r="E56">
        <v>1240.4000000000001</v>
      </c>
      <c r="F56">
        <v>4835082000</v>
      </c>
      <c r="G56">
        <v>1240.4000000000001</v>
      </c>
    </row>
    <row r="57" spans="1:7" x14ac:dyDescent="0.25">
      <c r="A57" s="5">
        <v>40511</v>
      </c>
      <c r="B57">
        <v>1189.08</v>
      </c>
      <c r="C57">
        <v>1225.57</v>
      </c>
      <c r="D57">
        <v>1173.6400000000001</v>
      </c>
      <c r="E57">
        <v>1224.71</v>
      </c>
      <c r="F57">
        <v>4242568000</v>
      </c>
      <c r="G57">
        <v>1224.71</v>
      </c>
    </row>
    <row r="58" spans="1:7" x14ac:dyDescent="0.25">
      <c r="A58" s="5">
        <v>40504</v>
      </c>
      <c r="B58">
        <v>1198.07</v>
      </c>
      <c r="C58">
        <v>1198.94</v>
      </c>
      <c r="D58">
        <v>1176.9100000000001</v>
      </c>
      <c r="E58">
        <v>1189.4000000000001</v>
      </c>
      <c r="F58">
        <v>3205160000</v>
      </c>
      <c r="G58">
        <v>1189.4000000000001</v>
      </c>
    </row>
    <row r="59" spans="1:7" x14ac:dyDescent="0.25">
      <c r="A59" s="5">
        <v>40497</v>
      </c>
      <c r="B59">
        <v>1200.44</v>
      </c>
      <c r="C59">
        <v>1207.43</v>
      </c>
      <c r="D59">
        <v>1173</v>
      </c>
      <c r="E59">
        <v>1199.73</v>
      </c>
      <c r="F59">
        <v>4177436000</v>
      </c>
      <c r="G59">
        <v>1199.73</v>
      </c>
    </row>
    <row r="60" spans="1:7" x14ac:dyDescent="0.25">
      <c r="A60" s="5">
        <v>40490</v>
      </c>
      <c r="B60">
        <v>1223.24</v>
      </c>
      <c r="C60">
        <v>1226.8399999999999</v>
      </c>
      <c r="D60">
        <v>1194.08</v>
      </c>
      <c r="E60">
        <v>1199.21</v>
      </c>
      <c r="F60">
        <v>4298262000</v>
      </c>
      <c r="G60">
        <v>1199.21</v>
      </c>
    </row>
    <row r="61" spans="1:7" x14ac:dyDescent="0.25">
      <c r="A61" s="5">
        <v>40483</v>
      </c>
      <c r="B61">
        <v>1185.71</v>
      </c>
      <c r="C61">
        <v>1227.08</v>
      </c>
      <c r="D61">
        <v>1177.6500000000001</v>
      </c>
      <c r="E61">
        <v>1225.8499999999999</v>
      </c>
      <c r="F61">
        <v>4798758000</v>
      </c>
      <c r="G61">
        <v>1225.8499999999999</v>
      </c>
    </row>
    <row r="62" spans="1:7" x14ac:dyDescent="0.25">
      <c r="A62" s="5">
        <v>40476</v>
      </c>
      <c r="B62">
        <v>1184.74</v>
      </c>
      <c r="C62">
        <v>1196.1400000000001</v>
      </c>
      <c r="D62">
        <v>1171.7</v>
      </c>
      <c r="E62">
        <v>1183.26</v>
      </c>
      <c r="F62">
        <v>4116414000</v>
      </c>
      <c r="G62">
        <v>1183.26</v>
      </c>
    </row>
    <row r="63" spans="1:7" x14ac:dyDescent="0.25">
      <c r="A63" s="5">
        <v>40469</v>
      </c>
      <c r="B63">
        <v>1176.83</v>
      </c>
      <c r="C63">
        <v>1189.43</v>
      </c>
      <c r="D63">
        <v>1159.71</v>
      </c>
      <c r="E63">
        <v>1183.08</v>
      </c>
      <c r="F63">
        <v>4576282000</v>
      </c>
      <c r="G63">
        <v>1183.08</v>
      </c>
    </row>
    <row r="64" spans="1:7" x14ac:dyDescent="0.25">
      <c r="A64" s="5">
        <v>40462</v>
      </c>
      <c r="B64">
        <v>1165.32</v>
      </c>
      <c r="C64">
        <v>1184.3800000000001</v>
      </c>
      <c r="D64">
        <v>1155.71</v>
      </c>
      <c r="E64">
        <v>1176.19</v>
      </c>
      <c r="F64">
        <v>4449160000</v>
      </c>
      <c r="G64">
        <v>1176.19</v>
      </c>
    </row>
    <row r="65" spans="1:7" x14ac:dyDescent="0.25">
      <c r="A65" s="5">
        <v>40455</v>
      </c>
      <c r="B65">
        <v>1144.96</v>
      </c>
      <c r="C65">
        <v>1167.73</v>
      </c>
      <c r="D65">
        <v>1131.8699999999999</v>
      </c>
      <c r="E65">
        <v>1165.1500000000001</v>
      </c>
      <c r="F65">
        <v>3905616000</v>
      </c>
      <c r="G65">
        <v>1165.1500000000001</v>
      </c>
    </row>
    <row r="66" spans="1:7" x14ac:dyDescent="0.25">
      <c r="A66" s="5">
        <v>40448</v>
      </c>
      <c r="B66">
        <v>1148.6400000000001</v>
      </c>
      <c r="C66">
        <v>1157.1600000000001</v>
      </c>
      <c r="D66">
        <v>1132.0899999999999</v>
      </c>
      <c r="E66">
        <v>1146.24</v>
      </c>
      <c r="F66">
        <v>4037410000</v>
      </c>
      <c r="G66">
        <v>1146.24</v>
      </c>
    </row>
    <row r="67" spans="1:7" x14ac:dyDescent="0.25">
      <c r="A67" s="5">
        <v>40441</v>
      </c>
      <c r="B67">
        <v>1126.57</v>
      </c>
      <c r="C67">
        <v>1148.9000000000001</v>
      </c>
      <c r="D67">
        <v>1122.79</v>
      </c>
      <c r="E67">
        <v>1148.67</v>
      </c>
      <c r="F67">
        <v>3884522000</v>
      </c>
      <c r="G67">
        <v>1148.67</v>
      </c>
    </row>
    <row r="68" spans="1:7" x14ac:dyDescent="0.25">
      <c r="A68" s="5">
        <v>40434</v>
      </c>
      <c r="B68">
        <v>1113.3800000000001</v>
      </c>
      <c r="C68">
        <v>1131.47</v>
      </c>
      <c r="D68">
        <v>1113.3800000000001</v>
      </c>
      <c r="E68">
        <v>1125.5899999999999</v>
      </c>
      <c r="F68">
        <v>3972432000</v>
      </c>
      <c r="G68">
        <v>1125.5899999999999</v>
      </c>
    </row>
    <row r="69" spans="1:7" x14ac:dyDescent="0.25">
      <c r="A69" s="5">
        <v>40428</v>
      </c>
      <c r="B69">
        <v>1102.5999999999999</v>
      </c>
      <c r="C69">
        <v>1110.8800000000001</v>
      </c>
      <c r="D69">
        <v>1091.1500000000001</v>
      </c>
      <c r="E69">
        <v>1109.55</v>
      </c>
      <c r="F69">
        <v>3195237500</v>
      </c>
      <c r="G69">
        <v>1109.55</v>
      </c>
    </row>
    <row r="70" spans="1:7" x14ac:dyDescent="0.25">
      <c r="A70" s="5">
        <v>40420</v>
      </c>
      <c r="B70">
        <v>1062.9000000000001</v>
      </c>
      <c r="C70">
        <v>1105.0999999999999</v>
      </c>
      <c r="D70">
        <v>1040.8800000000001</v>
      </c>
      <c r="E70">
        <v>1104.51</v>
      </c>
      <c r="F70">
        <v>3718470000</v>
      </c>
      <c r="G70">
        <v>1104.51</v>
      </c>
    </row>
    <row r="71" spans="1:7" x14ac:dyDescent="0.25">
      <c r="A71" s="5">
        <v>40413</v>
      </c>
      <c r="B71">
        <v>1073.3599999999999</v>
      </c>
      <c r="C71">
        <v>1081.58</v>
      </c>
      <c r="D71">
        <v>1039.7</v>
      </c>
      <c r="E71">
        <v>1064.5899999999999</v>
      </c>
      <c r="F71">
        <v>3951328000</v>
      </c>
      <c r="G71">
        <v>1064.5899999999999</v>
      </c>
    </row>
    <row r="72" spans="1:7" x14ac:dyDescent="0.25">
      <c r="A72" s="5">
        <v>40406</v>
      </c>
      <c r="B72">
        <v>1077.49</v>
      </c>
      <c r="C72">
        <v>1100.1400000000001</v>
      </c>
      <c r="D72">
        <v>1063.9100000000001</v>
      </c>
      <c r="E72">
        <v>1071.69</v>
      </c>
      <c r="F72">
        <v>3777406000</v>
      </c>
      <c r="G72">
        <v>1071.69</v>
      </c>
    </row>
    <row r="73" spans="1:7" x14ac:dyDescent="0.25">
      <c r="A73" s="5">
        <v>40399</v>
      </c>
      <c r="B73">
        <v>1122.8</v>
      </c>
      <c r="C73">
        <v>1129.24</v>
      </c>
      <c r="D73">
        <v>1076.69</v>
      </c>
      <c r="E73">
        <v>1079.25</v>
      </c>
      <c r="F73">
        <v>3906558000</v>
      </c>
      <c r="G73">
        <v>1079.25</v>
      </c>
    </row>
    <row r="74" spans="1:7" x14ac:dyDescent="0.25">
      <c r="A74" s="5">
        <v>40392</v>
      </c>
      <c r="B74">
        <v>1107.53</v>
      </c>
      <c r="C74">
        <v>1128.75</v>
      </c>
      <c r="D74">
        <v>1107.17</v>
      </c>
      <c r="E74">
        <v>1121.6400000000001</v>
      </c>
      <c r="F74">
        <v>3963460000</v>
      </c>
      <c r="G74">
        <v>1121.6400000000001</v>
      </c>
    </row>
    <row r="75" spans="1:7" x14ac:dyDescent="0.25">
      <c r="A75" s="5">
        <v>40385</v>
      </c>
      <c r="B75">
        <v>1102.8900000000001</v>
      </c>
      <c r="C75">
        <v>1120.95</v>
      </c>
      <c r="D75">
        <v>1088.01</v>
      </c>
      <c r="E75">
        <v>1101.5999999999999</v>
      </c>
      <c r="F75">
        <v>4271320000</v>
      </c>
      <c r="G75">
        <v>1101.5999999999999</v>
      </c>
    </row>
    <row r="76" spans="1:7" x14ac:dyDescent="0.25">
      <c r="A76" s="5">
        <v>40378</v>
      </c>
      <c r="B76">
        <v>1066.8499999999999</v>
      </c>
      <c r="C76">
        <v>1103.73</v>
      </c>
      <c r="D76">
        <v>1056.8800000000001</v>
      </c>
      <c r="E76">
        <v>1102.6600000000001</v>
      </c>
      <c r="F76">
        <v>4580286000</v>
      </c>
      <c r="G76">
        <v>1102.6600000000001</v>
      </c>
    </row>
    <row r="77" spans="1:7" x14ac:dyDescent="0.25">
      <c r="A77" s="5">
        <v>40371</v>
      </c>
      <c r="B77">
        <v>1077.23</v>
      </c>
      <c r="C77">
        <v>1099.46</v>
      </c>
      <c r="D77">
        <v>1063.32</v>
      </c>
      <c r="E77">
        <v>1064.8800000000001</v>
      </c>
      <c r="F77">
        <v>4487664000</v>
      </c>
      <c r="G77">
        <v>1064.8800000000001</v>
      </c>
    </row>
    <row r="78" spans="1:7" x14ac:dyDescent="0.25">
      <c r="A78" s="5">
        <v>40365</v>
      </c>
      <c r="B78">
        <v>1028.0899999999999</v>
      </c>
      <c r="C78">
        <v>1078.1600000000001</v>
      </c>
      <c r="D78">
        <v>1018.35</v>
      </c>
      <c r="E78">
        <v>1077.96</v>
      </c>
      <c r="F78">
        <v>4419372500</v>
      </c>
      <c r="G78">
        <v>1077.96</v>
      </c>
    </row>
    <row r="79" spans="1:7" x14ac:dyDescent="0.25">
      <c r="A79" s="5">
        <v>40357</v>
      </c>
      <c r="B79">
        <v>1077.5</v>
      </c>
      <c r="C79">
        <v>1082.5999999999999</v>
      </c>
      <c r="D79">
        <v>1010.91</v>
      </c>
      <c r="E79">
        <v>1022.58</v>
      </c>
      <c r="F79">
        <v>5100892000</v>
      </c>
      <c r="G79">
        <v>1022.58</v>
      </c>
    </row>
    <row r="80" spans="1:7" x14ac:dyDescent="0.25">
      <c r="A80" s="5">
        <v>40350</v>
      </c>
      <c r="B80">
        <v>1122.79</v>
      </c>
      <c r="C80">
        <v>1131.23</v>
      </c>
      <c r="D80">
        <v>1067.8900000000001</v>
      </c>
      <c r="E80">
        <v>1076.76</v>
      </c>
      <c r="F80">
        <v>4699712000</v>
      </c>
      <c r="G80">
        <v>1076.76</v>
      </c>
    </row>
    <row r="81" spans="1:7" x14ac:dyDescent="0.25">
      <c r="A81" s="5">
        <v>40343</v>
      </c>
      <c r="B81">
        <v>1095</v>
      </c>
      <c r="C81">
        <v>1121.01</v>
      </c>
      <c r="D81">
        <v>1089.03</v>
      </c>
      <c r="E81">
        <v>1117.51</v>
      </c>
      <c r="F81">
        <v>4637208000</v>
      </c>
      <c r="G81">
        <v>1117.51</v>
      </c>
    </row>
    <row r="82" spans="1:7" x14ac:dyDescent="0.25">
      <c r="A82" s="5">
        <v>40336</v>
      </c>
      <c r="B82">
        <v>1065.8399999999999</v>
      </c>
      <c r="C82">
        <v>1092.25</v>
      </c>
      <c r="D82">
        <v>1042.17</v>
      </c>
      <c r="E82">
        <v>1091.5999999999999</v>
      </c>
      <c r="F82">
        <v>5369514000</v>
      </c>
      <c r="G82">
        <v>1091.5999999999999</v>
      </c>
    </row>
    <row r="83" spans="1:7" x14ac:dyDescent="0.25">
      <c r="A83" s="5">
        <v>40330</v>
      </c>
      <c r="B83">
        <v>1087.3</v>
      </c>
      <c r="C83">
        <v>1105.67</v>
      </c>
      <c r="D83">
        <v>1060.5</v>
      </c>
      <c r="E83">
        <v>1064.8800000000001</v>
      </c>
      <c r="F83">
        <v>5368597500</v>
      </c>
      <c r="G83">
        <v>1064.8800000000001</v>
      </c>
    </row>
    <row r="84" spans="1:7" x14ac:dyDescent="0.25">
      <c r="A84" s="5">
        <v>40322</v>
      </c>
      <c r="B84">
        <v>1084.78</v>
      </c>
      <c r="C84">
        <v>1103.52</v>
      </c>
      <c r="D84">
        <v>1040.78</v>
      </c>
      <c r="E84">
        <v>1089.4100000000001</v>
      </c>
      <c r="F84">
        <v>5528868000</v>
      </c>
      <c r="G84">
        <v>1089.4100000000001</v>
      </c>
    </row>
    <row r="85" spans="1:7" x14ac:dyDescent="0.25">
      <c r="A85" s="5">
        <v>40315</v>
      </c>
      <c r="B85">
        <v>1136.52</v>
      </c>
      <c r="C85">
        <v>1148.6600000000001</v>
      </c>
      <c r="D85">
        <v>1055.9000000000001</v>
      </c>
      <c r="E85">
        <v>1087.69</v>
      </c>
      <c r="F85">
        <v>6528051900</v>
      </c>
      <c r="G85">
        <v>1087.69</v>
      </c>
    </row>
    <row r="86" spans="1:7" x14ac:dyDescent="0.25">
      <c r="A86" s="5">
        <v>40308</v>
      </c>
      <c r="B86">
        <v>1122.27</v>
      </c>
      <c r="C86">
        <v>1173.57</v>
      </c>
      <c r="D86">
        <v>1122.27</v>
      </c>
      <c r="E86">
        <v>1135.68</v>
      </c>
      <c r="F86">
        <v>5791750000</v>
      </c>
      <c r="G86">
        <v>1135.68</v>
      </c>
    </row>
    <row r="87" spans="1:7" x14ac:dyDescent="0.25">
      <c r="A87" s="5">
        <v>40301</v>
      </c>
      <c r="B87">
        <v>1188.58</v>
      </c>
      <c r="C87">
        <v>1205.1300000000001</v>
      </c>
      <c r="D87">
        <v>1065.79</v>
      </c>
      <c r="E87">
        <v>1110.8800000000001</v>
      </c>
      <c r="F87">
        <v>7683886000</v>
      </c>
      <c r="G87">
        <v>1110.8800000000001</v>
      </c>
    </row>
    <row r="88" spans="1:7" x14ac:dyDescent="0.25">
      <c r="A88" s="5">
        <v>40294</v>
      </c>
      <c r="B88">
        <v>1217.07</v>
      </c>
      <c r="C88">
        <v>1219.8</v>
      </c>
      <c r="D88">
        <v>1181.6199999999999</v>
      </c>
      <c r="E88">
        <v>1186.69</v>
      </c>
      <c r="F88">
        <v>6310456000</v>
      </c>
      <c r="G88">
        <v>1186.69</v>
      </c>
    </row>
    <row r="89" spans="1:7" x14ac:dyDescent="0.25">
      <c r="A89" s="5">
        <v>40287</v>
      </c>
      <c r="B89">
        <v>1192.06</v>
      </c>
      <c r="C89">
        <v>1217.28</v>
      </c>
      <c r="D89">
        <v>1183.68</v>
      </c>
      <c r="E89">
        <v>1217.28</v>
      </c>
      <c r="F89">
        <v>5800096000</v>
      </c>
      <c r="G89">
        <v>1217.28</v>
      </c>
    </row>
    <row r="90" spans="1:7" x14ac:dyDescent="0.25">
      <c r="A90" s="5">
        <v>40280</v>
      </c>
      <c r="B90">
        <v>1194.94</v>
      </c>
      <c r="C90">
        <v>1213.92</v>
      </c>
      <c r="D90">
        <v>1186.77</v>
      </c>
      <c r="E90">
        <v>1192.1300000000001</v>
      </c>
      <c r="F90">
        <v>5974902000</v>
      </c>
      <c r="G90">
        <v>1192.1300000000001</v>
      </c>
    </row>
    <row r="91" spans="1:7" x14ac:dyDescent="0.25">
      <c r="A91" s="5">
        <v>40273</v>
      </c>
      <c r="B91">
        <v>1178.71</v>
      </c>
      <c r="C91">
        <v>1194.6600000000001</v>
      </c>
      <c r="D91">
        <v>1175.1199999999999</v>
      </c>
      <c r="E91">
        <v>1194.3699999999999</v>
      </c>
      <c r="F91">
        <v>4461554000</v>
      </c>
      <c r="G91">
        <v>1194.3699999999999</v>
      </c>
    </row>
    <row r="92" spans="1:7" x14ac:dyDescent="0.25">
      <c r="A92" s="5">
        <v>40266</v>
      </c>
      <c r="B92">
        <v>1167.71</v>
      </c>
      <c r="C92">
        <v>1181.43</v>
      </c>
      <c r="D92">
        <v>1165.77</v>
      </c>
      <c r="E92">
        <v>1178.0999999999999</v>
      </c>
      <c r="F92">
        <v>4237947500</v>
      </c>
      <c r="G92">
        <v>1178.0999999999999</v>
      </c>
    </row>
    <row r="93" spans="1:7" x14ac:dyDescent="0.25">
      <c r="A93" s="5">
        <v>40259</v>
      </c>
      <c r="B93">
        <v>1157.25</v>
      </c>
      <c r="C93">
        <v>1180.69</v>
      </c>
      <c r="D93">
        <v>1152.8800000000001</v>
      </c>
      <c r="E93">
        <v>1166.5899999999999</v>
      </c>
      <c r="F93">
        <v>4751278000</v>
      </c>
      <c r="G93">
        <v>1166.5899999999999</v>
      </c>
    </row>
    <row r="94" spans="1:7" x14ac:dyDescent="0.25">
      <c r="A94" s="5">
        <v>40252</v>
      </c>
      <c r="B94">
        <v>1148.53</v>
      </c>
      <c r="C94">
        <v>1169.8399999999999</v>
      </c>
      <c r="D94">
        <v>1141.45</v>
      </c>
      <c r="E94">
        <v>1159.9000000000001</v>
      </c>
      <c r="F94">
        <v>4588800000</v>
      </c>
      <c r="G94">
        <v>1159.9000000000001</v>
      </c>
    </row>
    <row r="95" spans="1:7" x14ac:dyDescent="0.25">
      <c r="A95" s="5">
        <v>40245</v>
      </c>
      <c r="B95">
        <v>1138.4000000000001</v>
      </c>
      <c r="C95">
        <v>1153.4100000000001</v>
      </c>
      <c r="D95">
        <v>1134.9000000000001</v>
      </c>
      <c r="E95">
        <v>1149.99</v>
      </c>
      <c r="F95">
        <v>4805318000</v>
      </c>
      <c r="G95">
        <v>1149.99</v>
      </c>
    </row>
    <row r="96" spans="1:7" x14ac:dyDescent="0.25">
      <c r="A96" s="5">
        <v>40238</v>
      </c>
      <c r="B96">
        <v>1105.3599999999999</v>
      </c>
      <c r="C96">
        <v>1139.3800000000001</v>
      </c>
      <c r="D96">
        <v>1105.3599999999999</v>
      </c>
      <c r="E96">
        <v>1138.7</v>
      </c>
      <c r="F96">
        <v>4002330000</v>
      </c>
      <c r="G96">
        <v>1138.7</v>
      </c>
    </row>
    <row r="97" spans="1:7" x14ac:dyDescent="0.25">
      <c r="A97" s="5">
        <v>40231</v>
      </c>
      <c r="B97">
        <v>1110</v>
      </c>
      <c r="C97">
        <v>1112.29</v>
      </c>
      <c r="D97">
        <v>1086.02</v>
      </c>
      <c r="E97">
        <v>1104.49</v>
      </c>
      <c r="F97">
        <v>4194034000</v>
      </c>
      <c r="G97">
        <v>1104.49</v>
      </c>
    </row>
    <row r="98" spans="1:7" x14ac:dyDescent="0.25">
      <c r="A98" s="5">
        <v>40225</v>
      </c>
      <c r="B98">
        <v>1079.1300000000001</v>
      </c>
      <c r="C98">
        <v>1112.42</v>
      </c>
      <c r="D98">
        <v>1079.1300000000001</v>
      </c>
      <c r="E98">
        <v>1109.17</v>
      </c>
      <c r="F98">
        <v>4040725000</v>
      </c>
      <c r="G98">
        <v>1109.17</v>
      </c>
    </row>
    <row r="99" spans="1:7" x14ac:dyDescent="0.25">
      <c r="A99" s="5">
        <v>40217</v>
      </c>
      <c r="B99">
        <v>1065.51</v>
      </c>
      <c r="C99">
        <v>1080.04</v>
      </c>
      <c r="D99">
        <v>1056.51</v>
      </c>
      <c r="E99">
        <v>1075.51</v>
      </c>
      <c r="F99">
        <v>4403416000</v>
      </c>
      <c r="G99">
        <v>1075.51</v>
      </c>
    </row>
    <row r="100" spans="1:7" x14ac:dyDescent="0.25">
      <c r="A100" s="5">
        <v>40210</v>
      </c>
      <c r="B100">
        <v>1073.8900000000001</v>
      </c>
      <c r="C100">
        <v>1104.73</v>
      </c>
      <c r="D100">
        <v>1044.5</v>
      </c>
      <c r="E100">
        <v>1066.19</v>
      </c>
      <c r="F100">
        <v>5082238000</v>
      </c>
      <c r="G100">
        <v>1066.19</v>
      </c>
    </row>
    <row r="101" spans="1:7" x14ac:dyDescent="0.25">
      <c r="A101" s="5">
        <v>40203</v>
      </c>
      <c r="B101">
        <v>1092.4000000000001</v>
      </c>
      <c r="C101">
        <v>1103.69</v>
      </c>
      <c r="D101">
        <v>1071.5899999999999</v>
      </c>
      <c r="E101">
        <v>1073.8699999999999</v>
      </c>
      <c r="F101">
        <v>5079534000</v>
      </c>
      <c r="G101">
        <v>1073.8699999999999</v>
      </c>
    </row>
    <row r="102" spans="1:7" x14ac:dyDescent="0.25">
      <c r="A102" s="5">
        <v>40197</v>
      </c>
      <c r="B102">
        <v>1136.03</v>
      </c>
      <c r="C102">
        <v>1150.45</v>
      </c>
      <c r="D102">
        <v>1090.18</v>
      </c>
      <c r="E102">
        <v>1091.76</v>
      </c>
      <c r="F102">
        <v>5654582400</v>
      </c>
      <c r="G102">
        <v>1091.76</v>
      </c>
    </row>
    <row r="103" spans="1:7" x14ac:dyDescent="0.25">
      <c r="A103" s="5">
        <v>40189</v>
      </c>
      <c r="B103">
        <v>1145.96</v>
      </c>
      <c r="C103">
        <v>1150.4100000000001</v>
      </c>
      <c r="D103">
        <v>1131.3900000000001</v>
      </c>
      <c r="E103">
        <v>1136.03</v>
      </c>
      <c r="F103">
        <v>4363246000</v>
      </c>
      <c r="G103">
        <v>1136.03</v>
      </c>
    </row>
    <row r="104" spans="1:7" x14ac:dyDescent="0.25">
      <c r="A104" s="5">
        <v>40182</v>
      </c>
      <c r="B104">
        <v>1116.56</v>
      </c>
      <c r="C104">
        <v>1145.3900000000001</v>
      </c>
      <c r="D104">
        <v>1116.56</v>
      </c>
      <c r="E104">
        <v>1144.98</v>
      </c>
      <c r="F104">
        <v>4223070000</v>
      </c>
      <c r="G104">
        <v>1144.98</v>
      </c>
    </row>
    <row r="105" spans="1:7" x14ac:dyDescent="0.25">
      <c r="A105" s="5">
        <v>40175</v>
      </c>
      <c r="B105">
        <v>1127.53</v>
      </c>
      <c r="C105">
        <v>1130.3800000000001</v>
      </c>
      <c r="D105">
        <v>1114.81</v>
      </c>
      <c r="E105">
        <v>1115.0999999999999</v>
      </c>
      <c r="F105">
        <v>2390427500</v>
      </c>
      <c r="G105">
        <v>1115.0999999999999</v>
      </c>
    </row>
    <row r="106" spans="1:7" x14ac:dyDescent="0.25">
      <c r="A106" s="5">
        <v>40168</v>
      </c>
      <c r="B106">
        <v>1105.31</v>
      </c>
      <c r="C106">
        <v>1126.48</v>
      </c>
      <c r="D106">
        <v>1105.31</v>
      </c>
      <c r="E106">
        <v>1126.48</v>
      </c>
      <c r="F106">
        <v>3013262500</v>
      </c>
      <c r="G106">
        <v>1126.48</v>
      </c>
    </row>
    <row r="107" spans="1:7" x14ac:dyDescent="0.25">
      <c r="A107" s="5">
        <v>40161</v>
      </c>
      <c r="B107">
        <v>1107.8399999999999</v>
      </c>
      <c r="C107">
        <v>1116.21</v>
      </c>
      <c r="D107">
        <v>1093.8800000000001</v>
      </c>
      <c r="E107">
        <v>1102.47</v>
      </c>
      <c r="F107">
        <v>5672874000</v>
      </c>
      <c r="G107">
        <v>1102.47</v>
      </c>
    </row>
    <row r="108" spans="1:7" x14ac:dyDescent="0.25">
      <c r="A108" s="5">
        <v>40154</v>
      </c>
      <c r="B108">
        <v>1105.52</v>
      </c>
      <c r="C108">
        <v>1110.72</v>
      </c>
      <c r="D108">
        <v>1085.8900000000001</v>
      </c>
      <c r="E108">
        <v>1106.4100000000001</v>
      </c>
      <c r="F108">
        <v>4150876000</v>
      </c>
      <c r="G108">
        <v>1106.4100000000001</v>
      </c>
    </row>
    <row r="109" spans="1:7" x14ac:dyDescent="0.25">
      <c r="A109" s="5">
        <v>40147</v>
      </c>
      <c r="B109">
        <v>1091.07</v>
      </c>
      <c r="C109">
        <v>1119.1300000000001</v>
      </c>
      <c r="D109">
        <v>1086.25</v>
      </c>
      <c r="E109">
        <v>1105.98</v>
      </c>
      <c r="F109">
        <v>4535468000</v>
      </c>
      <c r="G109">
        <v>1105.98</v>
      </c>
    </row>
    <row r="110" spans="1:7" x14ac:dyDescent="0.25">
      <c r="A110" s="5">
        <v>40140</v>
      </c>
      <c r="B110">
        <v>1094.8599999999999</v>
      </c>
      <c r="C110">
        <v>1112.3800000000001</v>
      </c>
      <c r="D110">
        <v>1083.74</v>
      </c>
      <c r="E110">
        <v>1091.49</v>
      </c>
      <c r="F110">
        <v>3232000000</v>
      </c>
      <c r="G110">
        <v>1091.49</v>
      </c>
    </row>
    <row r="111" spans="1:7" x14ac:dyDescent="0.25">
      <c r="A111" s="5">
        <v>40133</v>
      </c>
      <c r="B111">
        <v>1094.1300000000001</v>
      </c>
      <c r="C111">
        <v>1113.69</v>
      </c>
      <c r="D111">
        <v>1086.81</v>
      </c>
      <c r="E111">
        <v>1091.3800000000001</v>
      </c>
      <c r="F111">
        <v>4122504000</v>
      </c>
      <c r="G111">
        <v>1091.3800000000001</v>
      </c>
    </row>
    <row r="112" spans="1:7" x14ac:dyDescent="0.25">
      <c r="A112" s="5">
        <v>40126</v>
      </c>
      <c r="B112">
        <v>1072.31</v>
      </c>
      <c r="C112">
        <v>1105.3699999999999</v>
      </c>
      <c r="D112">
        <v>1072.31</v>
      </c>
      <c r="E112">
        <v>1093.48</v>
      </c>
      <c r="F112">
        <v>4218872000</v>
      </c>
      <c r="G112">
        <v>1093.48</v>
      </c>
    </row>
    <row r="113" spans="1:7" x14ac:dyDescent="0.25">
      <c r="A113" s="5">
        <v>40119</v>
      </c>
      <c r="B113">
        <v>1036.18</v>
      </c>
      <c r="C113">
        <v>1071.48</v>
      </c>
      <c r="D113">
        <v>1029.3800000000001</v>
      </c>
      <c r="E113">
        <v>1069.3</v>
      </c>
      <c r="F113">
        <v>5290226000</v>
      </c>
      <c r="G113">
        <v>1069.3</v>
      </c>
    </row>
    <row r="114" spans="1:7" x14ac:dyDescent="0.25">
      <c r="A114" s="5">
        <v>40112</v>
      </c>
      <c r="B114">
        <v>1080.3599999999999</v>
      </c>
      <c r="C114">
        <v>1091.75</v>
      </c>
      <c r="D114">
        <v>1033.3800000000001</v>
      </c>
      <c r="E114">
        <v>1036.19</v>
      </c>
      <c r="F114">
        <v>6081714000</v>
      </c>
      <c r="G114">
        <v>1036.19</v>
      </c>
    </row>
    <row r="115" spans="1:7" x14ac:dyDescent="0.25">
      <c r="A115" s="5">
        <v>40105</v>
      </c>
      <c r="B115">
        <v>1088.22</v>
      </c>
      <c r="C115">
        <v>1101.3599999999999</v>
      </c>
      <c r="D115">
        <v>1074.31</v>
      </c>
      <c r="E115">
        <v>1079.5999999999999</v>
      </c>
      <c r="F115">
        <v>5118466000</v>
      </c>
      <c r="G115">
        <v>1079.5999999999999</v>
      </c>
    </row>
    <row r="116" spans="1:7" x14ac:dyDescent="0.25">
      <c r="A116" s="5">
        <v>40098</v>
      </c>
      <c r="B116">
        <v>1071.6300000000001</v>
      </c>
      <c r="C116">
        <v>1096.56</v>
      </c>
      <c r="D116">
        <v>1066.71</v>
      </c>
      <c r="E116">
        <v>1087.68</v>
      </c>
      <c r="F116">
        <v>4740370000</v>
      </c>
      <c r="G116">
        <v>1087.68</v>
      </c>
    </row>
    <row r="117" spans="1:7" x14ac:dyDescent="0.25">
      <c r="A117" s="5">
        <v>40091</v>
      </c>
      <c r="B117">
        <v>1026.8699999999999</v>
      </c>
      <c r="C117">
        <v>1071.51</v>
      </c>
      <c r="D117">
        <v>1025.92</v>
      </c>
      <c r="E117">
        <v>1071.49</v>
      </c>
      <c r="F117">
        <v>4466710000</v>
      </c>
      <c r="G117">
        <v>1071.49</v>
      </c>
    </row>
    <row r="118" spans="1:7" x14ac:dyDescent="0.25">
      <c r="A118" s="5">
        <v>40084</v>
      </c>
      <c r="B118">
        <v>1045.3800000000001</v>
      </c>
      <c r="C118">
        <v>1069.6199999999999</v>
      </c>
      <c r="D118">
        <v>1019.95</v>
      </c>
      <c r="E118">
        <v>1025.21</v>
      </c>
      <c r="F118">
        <v>5210080000</v>
      </c>
      <c r="G118">
        <v>1025.21</v>
      </c>
    </row>
    <row r="119" spans="1:7" x14ac:dyDescent="0.25">
      <c r="A119" s="5">
        <v>40077</v>
      </c>
      <c r="B119">
        <v>1067.1400000000001</v>
      </c>
      <c r="C119">
        <v>1080.1500000000001</v>
      </c>
      <c r="D119">
        <v>1041.17</v>
      </c>
      <c r="E119">
        <v>1044.3800000000001</v>
      </c>
      <c r="F119">
        <v>5081302000</v>
      </c>
      <c r="G119">
        <v>1044.3800000000001</v>
      </c>
    </row>
    <row r="120" spans="1:7" x14ac:dyDescent="0.25">
      <c r="A120" s="5">
        <v>40070</v>
      </c>
      <c r="B120">
        <v>1040.1500000000001</v>
      </c>
      <c r="C120">
        <v>1074.77</v>
      </c>
      <c r="D120">
        <v>1035</v>
      </c>
      <c r="E120">
        <v>1068.3</v>
      </c>
      <c r="F120">
        <v>6046967900</v>
      </c>
      <c r="G120">
        <v>1068.3</v>
      </c>
    </row>
    <row r="121" spans="1:7" x14ac:dyDescent="0.25">
      <c r="A121" s="5">
        <v>40064</v>
      </c>
      <c r="B121">
        <v>1018.67</v>
      </c>
      <c r="C121">
        <v>1048.18</v>
      </c>
      <c r="D121">
        <v>1018.67</v>
      </c>
      <c r="E121">
        <v>1042.73</v>
      </c>
      <c r="F121">
        <v>5137922500</v>
      </c>
      <c r="G121">
        <v>1042.73</v>
      </c>
    </row>
    <row r="122" spans="1:7" x14ac:dyDescent="0.25">
      <c r="A122" s="5">
        <v>40056</v>
      </c>
      <c r="B122">
        <v>1025.21</v>
      </c>
      <c r="C122">
        <v>1028.45</v>
      </c>
      <c r="D122">
        <v>991.97</v>
      </c>
      <c r="E122">
        <v>1016.4</v>
      </c>
      <c r="F122">
        <v>5286260000</v>
      </c>
      <c r="G122">
        <v>1016.4</v>
      </c>
    </row>
    <row r="123" spans="1:7" x14ac:dyDescent="0.25">
      <c r="A123" s="5">
        <v>40049</v>
      </c>
      <c r="B123">
        <v>1026.5899999999999</v>
      </c>
      <c r="C123">
        <v>1039.47</v>
      </c>
      <c r="D123">
        <v>1016.2</v>
      </c>
      <c r="E123">
        <v>1028.93</v>
      </c>
      <c r="F123">
        <v>5744582000</v>
      </c>
      <c r="G123">
        <v>1028.93</v>
      </c>
    </row>
    <row r="124" spans="1:7" x14ac:dyDescent="0.25">
      <c r="A124" s="5">
        <v>40042</v>
      </c>
      <c r="B124">
        <v>998.18</v>
      </c>
      <c r="C124">
        <v>1027.5899999999999</v>
      </c>
      <c r="D124">
        <v>978.51</v>
      </c>
      <c r="E124">
        <v>1026.1300000000001</v>
      </c>
      <c r="F124">
        <v>4664650000</v>
      </c>
      <c r="G124">
        <v>1026.1300000000001</v>
      </c>
    </row>
    <row r="125" spans="1:7" x14ac:dyDescent="0.25">
      <c r="A125" s="5">
        <v>40035</v>
      </c>
      <c r="B125">
        <v>1008.89</v>
      </c>
      <c r="C125">
        <v>1013.14</v>
      </c>
      <c r="D125">
        <v>992.4</v>
      </c>
      <c r="E125">
        <v>1004.09</v>
      </c>
      <c r="F125">
        <v>5373764000</v>
      </c>
      <c r="G125">
        <v>1004.09</v>
      </c>
    </row>
    <row r="126" spans="1:7" x14ac:dyDescent="0.25">
      <c r="A126" s="5">
        <v>40028</v>
      </c>
      <c r="B126">
        <v>990.22</v>
      </c>
      <c r="C126">
        <v>1018</v>
      </c>
      <c r="D126">
        <v>990.22</v>
      </c>
      <c r="E126">
        <v>1010.48</v>
      </c>
      <c r="F126">
        <v>6427945900</v>
      </c>
      <c r="G126">
        <v>1010.48</v>
      </c>
    </row>
    <row r="127" spans="1:7" x14ac:dyDescent="0.25">
      <c r="A127" s="5">
        <v>40021</v>
      </c>
      <c r="B127">
        <v>978.63</v>
      </c>
      <c r="C127">
        <v>996.68</v>
      </c>
      <c r="D127">
        <v>968.65</v>
      </c>
      <c r="E127">
        <v>987.48</v>
      </c>
      <c r="F127">
        <v>5294932000</v>
      </c>
      <c r="G127">
        <v>987.48</v>
      </c>
    </row>
    <row r="128" spans="1:7" x14ac:dyDescent="0.25">
      <c r="A128" s="5">
        <v>40014</v>
      </c>
      <c r="B128">
        <v>942.07</v>
      </c>
      <c r="C128">
        <v>979.79</v>
      </c>
      <c r="D128">
        <v>940.99</v>
      </c>
      <c r="E128">
        <v>979.26</v>
      </c>
      <c r="F128">
        <v>5003300000</v>
      </c>
      <c r="G128">
        <v>979.26</v>
      </c>
    </row>
    <row r="129" spans="1:7" x14ac:dyDescent="0.25">
      <c r="A129" s="5">
        <v>40007</v>
      </c>
      <c r="B129">
        <v>879.57</v>
      </c>
      <c r="C129">
        <v>943.96</v>
      </c>
      <c r="D129">
        <v>875.32</v>
      </c>
      <c r="E129">
        <v>940.38</v>
      </c>
      <c r="F129">
        <v>4785464000</v>
      </c>
      <c r="G129">
        <v>940.38</v>
      </c>
    </row>
    <row r="130" spans="1:7" x14ac:dyDescent="0.25">
      <c r="A130" s="5">
        <v>40000</v>
      </c>
      <c r="B130">
        <v>894.27</v>
      </c>
      <c r="C130">
        <v>898.72</v>
      </c>
      <c r="D130">
        <v>869.32</v>
      </c>
      <c r="E130">
        <v>879.13</v>
      </c>
      <c r="F130">
        <v>4673382000</v>
      </c>
      <c r="G130">
        <v>879.13</v>
      </c>
    </row>
    <row r="131" spans="1:7" x14ac:dyDescent="0.25">
      <c r="A131" s="5">
        <v>39993</v>
      </c>
      <c r="B131">
        <v>919.86</v>
      </c>
      <c r="C131">
        <v>931.92</v>
      </c>
      <c r="D131">
        <v>896.42</v>
      </c>
      <c r="E131">
        <v>896.42</v>
      </c>
      <c r="F131">
        <v>4172432500</v>
      </c>
      <c r="G131">
        <v>896.42</v>
      </c>
    </row>
    <row r="132" spans="1:7" x14ac:dyDescent="0.25">
      <c r="A132" s="5">
        <v>39986</v>
      </c>
      <c r="B132">
        <v>918.13</v>
      </c>
      <c r="C132">
        <v>922</v>
      </c>
      <c r="D132">
        <v>888.86</v>
      </c>
      <c r="E132">
        <v>918.9</v>
      </c>
      <c r="F132">
        <v>5119916000</v>
      </c>
      <c r="G132">
        <v>918.9</v>
      </c>
    </row>
    <row r="133" spans="1:7" x14ac:dyDescent="0.25">
      <c r="A133" s="5">
        <v>39979</v>
      </c>
      <c r="B133">
        <v>942.45</v>
      </c>
      <c r="C133">
        <v>942.45</v>
      </c>
      <c r="D133">
        <v>903.78</v>
      </c>
      <c r="E133">
        <v>921.23</v>
      </c>
      <c r="F133">
        <v>5114026000</v>
      </c>
      <c r="G133">
        <v>921.23</v>
      </c>
    </row>
    <row r="134" spans="1:7" x14ac:dyDescent="0.25">
      <c r="A134" s="5">
        <v>39972</v>
      </c>
      <c r="B134">
        <v>938.12</v>
      </c>
      <c r="C134">
        <v>956.23</v>
      </c>
      <c r="D134">
        <v>926.44</v>
      </c>
      <c r="E134">
        <v>946.21</v>
      </c>
      <c r="F134">
        <v>4866352000</v>
      </c>
      <c r="G134">
        <v>946.21</v>
      </c>
    </row>
    <row r="135" spans="1:7" x14ac:dyDescent="0.25">
      <c r="A135" s="5">
        <v>39965</v>
      </c>
      <c r="B135">
        <v>923.26</v>
      </c>
      <c r="C135">
        <v>951.69</v>
      </c>
      <c r="D135">
        <v>923.26</v>
      </c>
      <c r="E135">
        <v>940.09</v>
      </c>
      <c r="F135">
        <v>5662470000</v>
      </c>
      <c r="G135">
        <v>940.09</v>
      </c>
    </row>
    <row r="136" spans="1:7" x14ac:dyDescent="0.25">
      <c r="A136" s="5">
        <v>39959</v>
      </c>
      <c r="B136">
        <v>887</v>
      </c>
      <c r="C136">
        <v>920.02</v>
      </c>
      <c r="D136">
        <v>881.46</v>
      </c>
      <c r="E136">
        <v>919.14</v>
      </c>
      <c r="F136">
        <v>5788812500</v>
      </c>
      <c r="G136">
        <v>919.14</v>
      </c>
    </row>
    <row r="137" spans="1:7" x14ac:dyDescent="0.25">
      <c r="A137" s="5">
        <v>39951</v>
      </c>
      <c r="B137">
        <v>886.07</v>
      </c>
      <c r="C137">
        <v>924.6</v>
      </c>
      <c r="D137">
        <v>879.61</v>
      </c>
      <c r="E137">
        <v>887</v>
      </c>
      <c r="F137">
        <v>6339728000</v>
      </c>
      <c r="G137">
        <v>887</v>
      </c>
    </row>
    <row r="138" spans="1:7" x14ac:dyDescent="0.25">
      <c r="A138" s="5">
        <v>39944</v>
      </c>
      <c r="B138">
        <v>922.99</v>
      </c>
      <c r="C138">
        <v>922.99</v>
      </c>
      <c r="D138">
        <v>878.94</v>
      </c>
      <c r="E138">
        <v>882.88</v>
      </c>
      <c r="F138">
        <v>6337752000</v>
      </c>
      <c r="G138">
        <v>882.88</v>
      </c>
    </row>
    <row r="139" spans="1:7" x14ac:dyDescent="0.25">
      <c r="A139" s="5">
        <v>39937</v>
      </c>
      <c r="B139">
        <v>879.21</v>
      </c>
      <c r="C139">
        <v>930.17</v>
      </c>
      <c r="D139">
        <v>879.21</v>
      </c>
      <c r="E139">
        <v>929.23</v>
      </c>
      <c r="F139">
        <v>7952024000</v>
      </c>
      <c r="G139">
        <v>929.23</v>
      </c>
    </row>
    <row r="140" spans="1:7" x14ac:dyDescent="0.25">
      <c r="A140" s="5">
        <v>39930</v>
      </c>
      <c r="B140">
        <v>862.82</v>
      </c>
      <c r="C140">
        <v>888.7</v>
      </c>
      <c r="D140">
        <v>847.12</v>
      </c>
      <c r="E140">
        <v>877.52</v>
      </c>
      <c r="F140">
        <v>6043558000</v>
      </c>
      <c r="G140">
        <v>877.52</v>
      </c>
    </row>
    <row r="141" spans="1:7" x14ac:dyDescent="0.25">
      <c r="A141" s="5">
        <v>39923</v>
      </c>
      <c r="B141">
        <v>868.27</v>
      </c>
      <c r="C141">
        <v>871.8</v>
      </c>
      <c r="D141">
        <v>826.83</v>
      </c>
      <c r="E141">
        <v>866.23</v>
      </c>
      <c r="F141">
        <v>7083169900</v>
      </c>
      <c r="G141">
        <v>866.23</v>
      </c>
    </row>
    <row r="142" spans="1:7" x14ac:dyDescent="0.25">
      <c r="A142" s="5">
        <v>39916</v>
      </c>
      <c r="B142">
        <v>855.33</v>
      </c>
      <c r="C142">
        <v>875.63</v>
      </c>
      <c r="D142">
        <v>835.58</v>
      </c>
      <c r="E142">
        <v>869.6</v>
      </c>
      <c r="F142">
        <v>6839301900</v>
      </c>
      <c r="G142">
        <v>869.6</v>
      </c>
    </row>
    <row r="143" spans="1:7" x14ac:dyDescent="0.25">
      <c r="A143" s="5">
        <v>39909</v>
      </c>
      <c r="B143">
        <v>839.75</v>
      </c>
      <c r="C143">
        <v>856.91</v>
      </c>
      <c r="D143">
        <v>814.53</v>
      </c>
      <c r="E143">
        <v>856.56</v>
      </c>
      <c r="F143">
        <v>6226187600</v>
      </c>
      <c r="G143">
        <v>856.56</v>
      </c>
    </row>
    <row r="144" spans="1:7" x14ac:dyDescent="0.25">
      <c r="A144" s="5">
        <v>39902</v>
      </c>
      <c r="B144">
        <v>809.07</v>
      </c>
      <c r="C144">
        <v>845.61</v>
      </c>
      <c r="D144">
        <v>779.81</v>
      </c>
      <c r="E144">
        <v>842.5</v>
      </c>
      <c r="F144">
        <v>6286869900</v>
      </c>
      <c r="G144">
        <v>842.5</v>
      </c>
    </row>
    <row r="145" spans="1:7" x14ac:dyDescent="0.25">
      <c r="A145" s="5">
        <v>39895</v>
      </c>
      <c r="B145">
        <v>772.31</v>
      </c>
      <c r="C145">
        <v>832.98</v>
      </c>
      <c r="D145">
        <v>772.31</v>
      </c>
      <c r="E145">
        <v>815.94</v>
      </c>
      <c r="F145">
        <v>6952819900</v>
      </c>
      <c r="G145">
        <v>815.94</v>
      </c>
    </row>
    <row r="146" spans="1:7" x14ac:dyDescent="0.25">
      <c r="A146" s="5">
        <v>39888</v>
      </c>
      <c r="B146">
        <v>758.84</v>
      </c>
      <c r="C146">
        <v>803.24</v>
      </c>
      <c r="D146">
        <v>749.93</v>
      </c>
      <c r="E146">
        <v>768.54</v>
      </c>
      <c r="F146">
        <v>7963276000</v>
      </c>
      <c r="G146">
        <v>768.54</v>
      </c>
    </row>
    <row r="147" spans="1:7" x14ac:dyDescent="0.25">
      <c r="A147" s="5">
        <v>39881</v>
      </c>
      <c r="B147">
        <v>680.76</v>
      </c>
      <c r="C147">
        <v>758.29</v>
      </c>
      <c r="D147">
        <v>672.88</v>
      </c>
      <c r="E147">
        <v>756.55</v>
      </c>
      <c r="F147">
        <v>7459435800</v>
      </c>
      <c r="G147">
        <v>756.55</v>
      </c>
    </row>
    <row r="148" spans="1:7" x14ac:dyDescent="0.25">
      <c r="A148" s="5">
        <v>39874</v>
      </c>
      <c r="B148">
        <v>729.57</v>
      </c>
      <c r="C148">
        <v>729.57</v>
      </c>
      <c r="D148">
        <v>666.79</v>
      </c>
      <c r="E148">
        <v>683.38</v>
      </c>
      <c r="F148">
        <v>7592844000</v>
      </c>
      <c r="G148">
        <v>683.38</v>
      </c>
    </row>
    <row r="149" spans="1:7" x14ac:dyDescent="0.25">
      <c r="A149" s="5">
        <v>39867</v>
      </c>
      <c r="B149">
        <v>773.25</v>
      </c>
      <c r="C149">
        <v>780.12</v>
      </c>
      <c r="D149">
        <v>734.52</v>
      </c>
      <c r="E149">
        <v>735.09</v>
      </c>
      <c r="F149">
        <v>7550775800</v>
      </c>
      <c r="G149">
        <v>735.09</v>
      </c>
    </row>
    <row r="150" spans="1:7" x14ac:dyDescent="0.25">
      <c r="A150" s="5">
        <v>39861</v>
      </c>
      <c r="B150">
        <v>818.61</v>
      </c>
      <c r="C150">
        <v>818.61</v>
      </c>
      <c r="D150">
        <v>754.25</v>
      </c>
      <c r="E150">
        <v>770.05</v>
      </c>
      <c r="F150">
        <v>6401515100</v>
      </c>
      <c r="G150">
        <v>770.05</v>
      </c>
    </row>
    <row r="151" spans="1:7" x14ac:dyDescent="0.25">
      <c r="A151" s="5">
        <v>39853</v>
      </c>
      <c r="B151">
        <v>868.24</v>
      </c>
      <c r="C151">
        <v>875.01</v>
      </c>
      <c r="D151">
        <v>808.06</v>
      </c>
      <c r="E151">
        <v>826.84</v>
      </c>
      <c r="F151">
        <v>6008821900</v>
      </c>
      <c r="G151">
        <v>826.84</v>
      </c>
    </row>
    <row r="152" spans="1:7" x14ac:dyDescent="0.25">
      <c r="A152" s="5">
        <v>39846</v>
      </c>
      <c r="B152">
        <v>823.09</v>
      </c>
      <c r="C152">
        <v>870.75</v>
      </c>
      <c r="D152">
        <v>812.87</v>
      </c>
      <c r="E152">
        <v>868.6</v>
      </c>
      <c r="F152">
        <v>6217632000</v>
      </c>
      <c r="G152">
        <v>868.6</v>
      </c>
    </row>
    <row r="153" spans="1:7" x14ac:dyDescent="0.25">
      <c r="A153" s="5">
        <v>39839</v>
      </c>
      <c r="B153">
        <v>832.5</v>
      </c>
      <c r="C153">
        <v>877.86</v>
      </c>
      <c r="D153">
        <v>821.67</v>
      </c>
      <c r="E153">
        <v>825.88</v>
      </c>
      <c r="F153">
        <v>5602004000</v>
      </c>
      <c r="G153">
        <v>825.88</v>
      </c>
    </row>
    <row r="154" spans="1:7" x14ac:dyDescent="0.25">
      <c r="A154" s="5">
        <v>39833</v>
      </c>
      <c r="B154">
        <v>849.64</v>
      </c>
      <c r="C154">
        <v>849.64</v>
      </c>
      <c r="D154">
        <v>804.3</v>
      </c>
      <c r="E154">
        <v>831.95</v>
      </c>
      <c r="F154">
        <v>6129762500</v>
      </c>
      <c r="G154">
        <v>831.95</v>
      </c>
    </row>
    <row r="155" spans="1:7" x14ac:dyDescent="0.25">
      <c r="A155" s="5">
        <v>39825</v>
      </c>
      <c r="B155">
        <v>890.4</v>
      </c>
      <c r="C155">
        <v>890.4</v>
      </c>
      <c r="D155">
        <v>817.04</v>
      </c>
      <c r="E155">
        <v>850.12</v>
      </c>
      <c r="F155">
        <v>5948758000</v>
      </c>
      <c r="G155">
        <v>850.12</v>
      </c>
    </row>
    <row r="156" spans="1:7" x14ac:dyDescent="0.25">
      <c r="A156" s="5">
        <v>39818</v>
      </c>
      <c r="B156">
        <v>929.17</v>
      </c>
      <c r="C156">
        <v>943.85</v>
      </c>
      <c r="D156">
        <v>888.31</v>
      </c>
      <c r="E156">
        <v>890.35</v>
      </c>
      <c r="F156">
        <v>5043904000</v>
      </c>
      <c r="G156">
        <v>890.35</v>
      </c>
    </row>
    <row r="157" spans="1:7" x14ac:dyDescent="0.25">
      <c r="A157" s="5">
        <v>39811</v>
      </c>
      <c r="B157">
        <v>872.37</v>
      </c>
      <c r="C157">
        <v>934.73</v>
      </c>
      <c r="D157">
        <v>857.07</v>
      </c>
      <c r="E157">
        <v>931.8</v>
      </c>
      <c r="F157">
        <v>3793110000</v>
      </c>
      <c r="G157">
        <v>931.8</v>
      </c>
    </row>
    <row r="158" spans="1:7" x14ac:dyDescent="0.25">
      <c r="A158" s="5">
        <v>39804</v>
      </c>
      <c r="B158">
        <v>887.2</v>
      </c>
      <c r="C158">
        <v>887.37</v>
      </c>
      <c r="D158">
        <v>857.09</v>
      </c>
      <c r="E158">
        <v>872.8</v>
      </c>
      <c r="F158">
        <v>3087105000</v>
      </c>
      <c r="G158">
        <v>872.8</v>
      </c>
    </row>
    <row r="159" spans="1:7" x14ac:dyDescent="0.25">
      <c r="A159" s="5">
        <v>39797</v>
      </c>
      <c r="B159">
        <v>881.07</v>
      </c>
      <c r="C159">
        <v>918.85</v>
      </c>
      <c r="D159">
        <v>857.72</v>
      </c>
      <c r="E159">
        <v>887.88</v>
      </c>
      <c r="F159">
        <v>5855972000</v>
      </c>
      <c r="G159">
        <v>887.88</v>
      </c>
    </row>
    <row r="160" spans="1:7" x14ac:dyDescent="0.25">
      <c r="A160" s="5">
        <v>39790</v>
      </c>
      <c r="B160">
        <v>882.71</v>
      </c>
      <c r="C160">
        <v>918.57</v>
      </c>
      <c r="D160">
        <v>851.35</v>
      </c>
      <c r="E160">
        <v>879.73</v>
      </c>
      <c r="F160">
        <v>5932454000</v>
      </c>
      <c r="G160">
        <v>879.73</v>
      </c>
    </row>
    <row r="161" spans="1:7" x14ac:dyDescent="0.25">
      <c r="A161" s="5">
        <v>39783</v>
      </c>
      <c r="B161">
        <v>888.61</v>
      </c>
      <c r="C161">
        <v>888.61</v>
      </c>
      <c r="D161">
        <v>815.69</v>
      </c>
      <c r="E161">
        <v>876.07</v>
      </c>
      <c r="F161">
        <v>6093950000</v>
      </c>
      <c r="G161">
        <v>876.07</v>
      </c>
    </row>
    <row r="162" spans="1:7" x14ac:dyDescent="0.25">
      <c r="A162" s="5">
        <v>39776</v>
      </c>
      <c r="B162">
        <v>801.2</v>
      </c>
      <c r="C162">
        <v>896.25</v>
      </c>
      <c r="D162">
        <v>801.2</v>
      </c>
      <c r="E162">
        <v>896.24</v>
      </c>
      <c r="F162">
        <v>5841565000</v>
      </c>
      <c r="G162">
        <v>896.24</v>
      </c>
    </row>
    <row r="163" spans="1:7" x14ac:dyDescent="0.25">
      <c r="A163" s="5">
        <v>39769</v>
      </c>
      <c r="B163">
        <v>873.23</v>
      </c>
      <c r="C163">
        <v>882.29</v>
      </c>
      <c r="D163">
        <v>741.02</v>
      </c>
      <c r="E163">
        <v>800.03</v>
      </c>
      <c r="F163">
        <v>7349040000</v>
      </c>
      <c r="G163">
        <v>800.03</v>
      </c>
    </row>
    <row r="164" spans="1:7" x14ac:dyDescent="0.25">
      <c r="A164" s="5">
        <v>39762</v>
      </c>
      <c r="B164">
        <v>936.75</v>
      </c>
      <c r="C164">
        <v>951.95</v>
      </c>
      <c r="D164">
        <v>818.69</v>
      </c>
      <c r="E164">
        <v>873.29</v>
      </c>
      <c r="F164">
        <v>5812934000</v>
      </c>
      <c r="G164">
        <v>873.29</v>
      </c>
    </row>
    <row r="165" spans="1:7" x14ac:dyDescent="0.25">
      <c r="A165" s="5">
        <v>39755</v>
      </c>
      <c r="B165">
        <v>968.67</v>
      </c>
      <c r="C165">
        <v>1007.51</v>
      </c>
      <c r="D165">
        <v>899.73</v>
      </c>
      <c r="E165">
        <v>930.99</v>
      </c>
      <c r="F165">
        <v>5296816000</v>
      </c>
      <c r="G165">
        <v>930.99</v>
      </c>
    </row>
    <row r="166" spans="1:7" x14ac:dyDescent="0.25">
      <c r="A166" s="5">
        <v>39748</v>
      </c>
      <c r="B166">
        <v>874.28</v>
      </c>
      <c r="C166">
        <v>984.38</v>
      </c>
      <c r="D166">
        <v>845.27</v>
      </c>
      <c r="E166">
        <v>968.75</v>
      </c>
      <c r="F166">
        <v>6460596000</v>
      </c>
      <c r="G166">
        <v>968.75</v>
      </c>
    </row>
    <row r="167" spans="1:7" x14ac:dyDescent="0.25">
      <c r="A167" s="5">
        <v>39741</v>
      </c>
      <c r="B167">
        <v>943.51</v>
      </c>
      <c r="C167">
        <v>985.44</v>
      </c>
      <c r="D167">
        <v>852.85</v>
      </c>
      <c r="E167">
        <v>876.77</v>
      </c>
      <c r="F167">
        <v>6035936000</v>
      </c>
      <c r="G167">
        <v>876.77</v>
      </c>
    </row>
    <row r="168" spans="1:7" x14ac:dyDescent="0.25">
      <c r="A168" s="5">
        <v>39734</v>
      </c>
      <c r="B168">
        <v>912.75</v>
      </c>
      <c r="C168">
        <v>1044.31</v>
      </c>
      <c r="D168">
        <v>865.83</v>
      </c>
      <c r="E168">
        <v>940.55</v>
      </c>
      <c r="F168">
        <v>7306794000</v>
      </c>
      <c r="G168">
        <v>940.55</v>
      </c>
    </row>
    <row r="169" spans="1:7" x14ac:dyDescent="0.25">
      <c r="A169" s="5">
        <v>39727</v>
      </c>
      <c r="B169">
        <v>1097.56</v>
      </c>
      <c r="C169">
        <v>1097.56</v>
      </c>
      <c r="D169">
        <v>839.8</v>
      </c>
      <c r="E169">
        <v>899.22</v>
      </c>
      <c r="F169">
        <v>8403357900</v>
      </c>
      <c r="G169">
        <v>899.22</v>
      </c>
    </row>
    <row r="170" spans="1:7" x14ac:dyDescent="0.25">
      <c r="A170" s="5">
        <v>39720</v>
      </c>
      <c r="B170">
        <v>1209.07</v>
      </c>
      <c r="C170">
        <v>1209.07</v>
      </c>
      <c r="D170">
        <v>1098.1400000000001</v>
      </c>
      <c r="E170">
        <v>1099.23</v>
      </c>
      <c r="F170">
        <v>6205326000</v>
      </c>
      <c r="G170">
        <v>1099.23</v>
      </c>
    </row>
    <row r="171" spans="1:7" x14ac:dyDescent="0.25">
      <c r="A171" s="5">
        <v>39713</v>
      </c>
      <c r="B171">
        <v>1255.3699999999999</v>
      </c>
      <c r="C171">
        <v>1255.3699999999999</v>
      </c>
      <c r="D171">
        <v>1179.79</v>
      </c>
      <c r="E171">
        <v>1213.27</v>
      </c>
      <c r="F171">
        <v>5319894000</v>
      </c>
      <c r="G171">
        <v>1213.27</v>
      </c>
    </row>
    <row r="172" spans="1:7" x14ac:dyDescent="0.25">
      <c r="A172" s="5">
        <v>39706</v>
      </c>
      <c r="B172">
        <v>1250.92</v>
      </c>
      <c r="C172">
        <v>1265.1199999999999</v>
      </c>
      <c r="D172">
        <v>1133.5</v>
      </c>
      <c r="E172">
        <v>1255.08</v>
      </c>
      <c r="F172">
        <v>9328214000</v>
      </c>
      <c r="G172">
        <v>1255.08</v>
      </c>
    </row>
    <row r="173" spans="1:7" x14ac:dyDescent="0.25">
      <c r="A173" s="5">
        <v>39699</v>
      </c>
      <c r="B173">
        <v>1249.5</v>
      </c>
      <c r="C173">
        <v>1274.42</v>
      </c>
      <c r="D173">
        <v>1211.54</v>
      </c>
      <c r="E173">
        <v>1251.7</v>
      </c>
      <c r="F173">
        <v>6883584000</v>
      </c>
      <c r="G173">
        <v>1251.7</v>
      </c>
    </row>
    <row r="174" spans="1:7" x14ac:dyDescent="0.25">
      <c r="A174" s="5">
        <v>39693</v>
      </c>
      <c r="B174">
        <v>1287.83</v>
      </c>
      <c r="C174">
        <v>1303.04</v>
      </c>
      <c r="D174">
        <v>1217.23</v>
      </c>
      <c r="E174">
        <v>1242.31</v>
      </c>
      <c r="F174">
        <v>5017530000</v>
      </c>
      <c r="G174">
        <v>1242.31</v>
      </c>
    </row>
    <row r="175" spans="1:7" x14ac:dyDescent="0.25">
      <c r="A175" s="5">
        <v>39685</v>
      </c>
      <c r="B175">
        <v>1290.47</v>
      </c>
      <c r="C175">
        <v>1300.68</v>
      </c>
      <c r="D175">
        <v>1263.21</v>
      </c>
      <c r="E175">
        <v>1282.83</v>
      </c>
      <c r="F175">
        <v>3530036000</v>
      </c>
      <c r="G175">
        <v>1282.83</v>
      </c>
    </row>
    <row r="176" spans="1:7" x14ac:dyDescent="0.25">
      <c r="A176" s="5">
        <v>39678</v>
      </c>
      <c r="B176">
        <v>1298.1400000000001</v>
      </c>
      <c r="C176">
        <v>1300.22</v>
      </c>
      <c r="D176">
        <v>1261.1600000000001</v>
      </c>
      <c r="E176">
        <v>1292.2</v>
      </c>
      <c r="F176">
        <v>4063548000</v>
      </c>
      <c r="G176">
        <v>1292.2</v>
      </c>
    </row>
    <row r="177" spans="1:7" x14ac:dyDescent="0.25">
      <c r="A177" s="5">
        <v>39671</v>
      </c>
      <c r="B177">
        <v>1294.42</v>
      </c>
      <c r="C177">
        <v>1313.15</v>
      </c>
      <c r="D177">
        <v>1274.8599999999999</v>
      </c>
      <c r="E177">
        <v>1298.2</v>
      </c>
      <c r="F177">
        <v>4534404000</v>
      </c>
      <c r="G177">
        <v>1298.2</v>
      </c>
    </row>
    <row r="178" spans="1:7" x14ac:dyDescent="0.25">
      <c r="A178" s="5">
        <v>39664</v>
      </c>
      <c r="B178">
        <v>1253.27</v>
      </c>
      <c r="C178">
        <v>1297.8499999999999</v>
      </c>
      <c r="D178">
        <v>1247.45</v>
      </c>
      <c r="E178">
        <v>1296.32</v>
      </c>
      <c r="F178">
        <v>4188240000</v>
      </c>
      <c r="G178">
        <v>1296.32</v>
      </c>
    </row>
    <row r="179" spans="1:7" x14ac:dyDescent="0.25">
      <c r="A179" s="5">
        <v>39657</v>
      </c>
      <c r="B179">
        <v>1257.76</v>
      </c>
      <c r="C179">
        <v>1284.93</v>
      </c>
      <c r="D179">
        <v>1234.3699999999999</v>
      </c>
      <c r="E179">
        <v>1260.31</v>
      </c>
      <c r="F179">
        <v>5071890000</v>
      </c>
      <c r="G179">
        <v>1260.31</v>
      </c>
    </row>
    <row r="180" spans="1:7" x14ac:dyDescent="0.25">
      <c r="A180" s="5">
        <v>39650</v>
      </c>
      <c r="B180">
        <v>1261.82</v>
      </c>
      <c r="C180">
        <v>1291.17</v>
      </c>
      <c r="D180">
        <v>1248.83</v>
      </c>
      <c r="E180">
        <v>1257.76</v>
      </c>
      <c r="F180">
        <v>5663448000</v>
      </c>
      <c r="G180">
        <v>1257.76</v>
      </c>
    </row>
    <row r="181" spans="1:7" x14ac:dyDescent="0.25">
      <c r="A181" s="5">
        <v>39643</v>
      </c>
      <c r="B181">
        <v>1241.6099999999999</v>
      </c>
      <c r="C181">
        <v>1262.31</v>
      </c>
      <c r="D181">
        <v>1200.44</v>
      </c>
      <c r="E181">
        <v>1260.68</v>
      </c>
      <c r="F181">
        <v>6511124000</v>
      </c>
      <c r="G181">
        <v>1260.68</v>
      </c>
    </row>
    <row r="182" spans="1:7" x14ac:dyDescent="0.25">
      <c r="A182" s="5">
        <v>39636</v>
      </c>
      <c r="B182">
        <v>1262.9000000000001</v>
      </c>
      <c r="C182">
        <v>1277.3599999999999</v>
      </c>
      <c r="D182">
        <v>1225.3499999999999</v>
      </c>
      <c r="E182">
        <v>1239.49</v>
      </c>
      <c r="F182">
        <v>5812632000</v>
      </c>
      <c r="G182">
        <v>1239.49</v>
      </c>
    </row>
    <row r="183" spans="1:7" x14ac:dyDescent="0.25">
      <c r="A183" s="5">
        <v>39629</v>
      </c>
      <c r="B183">
        <v>1278.06</v>
      </c>
      <c r="C183">
        <v>1292.17</v>
      </c>
      <c r="D183">
        <v>1252.01</v>
      </c>
      <c r="E183">
        <v>1262.9000000000001</v>
      </c>
      <c r="F183">
        <v>4850575000</v>
      </c>
      <c r="G183">
        <v>1262.9000000000001</v>
      </c>
    </row>
    <row r="184" spans="1:7" x14ac:dyDescent="0.25">
      <c r="A184" s="5">
        <v>39622</v>
      </c>
      <c r="B184">
        <v>1319.77</v>
      </c>
      <c r="C184">
        <v>1335.63</v>
      </c>
      <c r="D184">
        <v>1272</v>
      </c>
      <c r="E184">
        <v>1278.3800000000001</v>
      </c>
      <c r="F184">
        <v>5031320000</v>
      </c>
      <c r="G184">
        <v>1278.3800000000001</v>
      </c>
    </row>
    <row r="185" spans="1:7" x14ac:dyDescent="0.25">
      <c r="A185" s="5">
        <v>39615</v>
      </c>
      <c r="B185">
        <v>1358.85</v>
      </c>
      <c r="C185">
        <v>1366.59</v>
      </c>
      <c r="D185">
        <v>1314.46</v>
      </c>
      <c r="E185">
        <v>1317.93</v>
      </c>
      <c r="F185">
        <v>4443808000</v>
      </c>
      <c r="G185">
        <v>1317.93</v>
      </c>
    </row>
    <row r="186" spans="1:7" x14ac:dyDescent="0.25">
      <c r="A186" s="5">
        <v>39608</v>
      </c>
      <c r="B186">
        <v>1360.83</v>
      </c>
      <c r="C186">
        <v>1370.63</v>
      </c>
      <c r="D186">
        <v>1331.29</v>
      </c>
      <c r="E186">
        <v>1360.03</v>
      </c>
      <c r="F186">
        <v>4526856000</v>
      </c>
      <c r="G186">
        <v>1360.03</v>
      </c>
    </row>
    <row r="187" spans="1:7" x14ac:dyDescent="0.25">
      <c r="A187" s="5">
        <v>39601</v>
      </c>
      <c r="B187">
        <v>1399.62</v>
      </c>
      <c r="C187">
        <v>1404.05</v>
      </c>
      <c r="D187">
        <v>1359.9</v>
      </c>
      <c r="E187">
        <v>1360.68</v>
      </c>
      <c r="F187">
        <v>4314358000</v>
      </c>
      <c r="G187">
        <v>1360.68</v>
      </c>
    </row>
    <row r="188" spans="1:7" x14ac:dyDescent="0.25">
      <c r="A188" s="5">
        <v>39595</v>
      </c>
      <c r="B188">
        <v>1375.97</v>
      </c>
      <c r="C188">
        <v>1406.32</v>
      </c>
      <c r="D188">
        <v>1373.07</v>
      </c>
      <c r="E188">
        <v>1400.38</v>
      </c>
      <c r="F188">
        <v>3814042500</v>
      </c>
      <c r="G188">
        <v>1400.38</v>
      </c>
    </row>
    <row r="189" spans="1:7" x14ac:dyDescent="0.25">
      <c r="A189" s="5">
        <v>39587</v>
      </c>
      <c r="B189">
        <v>1425.28</v>
      </c>
      <c r="C189">
        <v>1440.24</v>
      </c>
      <c r="D189">
        <v>1373.72</v>
      </c>
      <c r="E189">
        <v>1375.93</v>
      </c>
      <c r="F189">
        <v>3905724000</v>
      </c>
      <c r="G189">
        <v>1375.93</v>
      </c>
    </row>
    <row r="190" spans="1:7" x14ac:dyDescent="0.25">
      <c r="A190" s="5">
        <v>39580</v>
      </c>
      <c r="B190">
        <v>1389.4</v>
      </c>
      <c r="C190">
        <v>1425.82</v>
      </c>
      <c r="D190">
        <v>1386.2</v>
      </c>
      <c r="E190">
        <v>1425.35</v>
      </c>
      <c r="F190">
        <v>3809532000</v>
      </c>
      <c r="G190">
        <v>1425.35</v>
      </c>
    </row>
    <row r="191" spans="1:7" x14ac:dyDescent="0.25">
      <c r="A191" s="5">
        <v>39573</v>
      </c>
      <c r="B191">
        <v>1415.34</v>
      </c>
      <c r="C191">
        <v>1421.57</v>
      </c>
      <c r="D191">
        <v>1384.11</v>
      </c>
      <c r="E191">
        <v>1388.28</v>
      </c>
      <c r="F191">
        <v>3751244000</v>
      </c>
      <c r="G191">
        <v>1388.28</v>
      </c>
    </row>
    <row r="192" spans="1:7" x14ac:dyDescent="0.25">
      <c r="A192" s="5">
        <v>39566</v>
      </c>
      <c r="B192">
        <v>1397.96</v>
      </c>
      <c r="C192">
        <v>1422.72</v>
      </c>
      <c r="D192">
        <v>1383.07</v>
      </c>
      <c r="E192">
        <v>1413.9</v>
      </c>
      <c r="F192">
        <v>4066604000</v>
      </c>
      <c r="G192">
        <v>1413.9</v>
      </c>
    </row>
    <row r="193" spans="1:7" x14ac:dyDescent="0.25">
      <c r="A193" s="5">
        <v>39559</v>
      </c>
      <c r="B193">
        <v>1387.72</v>
      </c>
      <c r="C193">
        <v>1399.11</v>
      </c>
      <c r="D193">
        <v>1369.84</v>
      </c>
      <c r="E193">
        <v>1397.84</v>
      </c>
      <c r="F193">
        <v>3939778000</v>
      </c>
      <c r="G193">
        <v>1397.84</v>
      </c>
    </row>
    <row r="194" spans="1:7" x14ac:dyDescent="0.25">
      <c r="A194" s="5">
        <v>39552</v>
      </c>
      <c r="B194">
        <v>1332.2</v>
      </c>
      <c r="C194">
        <v>1395.9</v>
      </c>
      <c r="D194">
        <v>1324.35</v>
      </c>
      <c r="E194">
        <v>1390.33</v>
      </c>
      <c r="F194">
        <v>3868576000</v>
      </c>
      <c r="G194">
        <v>1390.33</v>
      </c>
    </row>
    <row r="195" spans="1:7" x14ac:dyDescent="0.25">
      <c r="A195" s="5">
        <v>39545</v>
      </c>
      <c r="B195">
        <v>1373.69</v>
      </c>
      <c r="C195">
        <v>1386.74</v>
      </c>
      <c r="D195">
        <v>1331.21</v>
      </c>
      <c r="E195">
        <v>1332.83</v>
      </c>
      <c r="F195">
        <v>3663378000</v>
      </c>
      <c r="G195">
        <v>1332.83</v>
      </c>
    </row>
    <row r="196" spans="1:7" x14ac:dyDescent="0.25">
      <c r="A196" s="5">
        <v>39538</v>
      </c>
      <c r="B196">
        <v>1315.92</v>
      </c>
      <c r="C196">
        <v>1380.91</v>
      </c>
      <c r="D196">
        <v>1312.81</v>
      </c>
      <c r="E196">
        <v>1370.4</v>
      </c>
      <c r="F196">
        <v>4175550000</v>
      </c>
      <c r="G196">
        <v>1370.4</v>
      </c>
    </row>
    <row r="197" spans="1:7" x14ac:dyDescent="0.25">
      <c r="A197" s="5">
        <v>39531</v>
      </c>
      <c r="B197">
        <v>1330.29</v>
      </c>
      <c r="C197">
        <v>1359.68</v>
      </c>
      <c r="D197">
        <v>1312.95</v>
      </c>
      <c r="E197">
        <v>1315.22</v>
      </c>
      <c r="F197">
        <v>4084940000</v>
      </c>
      <c r="G197">
        <v>1315.22</v>
      </c>
    </row>
    <row r="198" spans="1:7" x14ac:dyDescent="0.25">
      <c r="A198" s="5">
        <v>39524</v>
      </c>
      <c r="B198">
        <v>1283.21</v>
      </c>
      <c r="C198">
        <v>1341.51</v>
      </c>
      <c r="D198">
        <v>1256.98</v>
      </c>
      <c r="E198">
        <v>1329.51</v>
      </c>
      <c r="F198">
        <v>4591922500</v>
      </c>
      <c r="G198">
        <v>1329.51</v>
      </c>
    </row>
    <row r="199" spans="1:7" x14ac:dyDescent="0.25">
      <c r="A199" s="5">
        <v>39517</v>
      </c>
      <c r="B199">
        <v>1293.1600000000001</v>
      </c>
      <c r="C199">
        <v>1333.26</v>
      </c>
      <c r="D199">
        <v>1272.6600000000001</v>
      </c>
      <c r="E199">
        <v>1288.1400000000001</v>
      </c>
      <c r="F199">
        <v>4802348000</v>
      </c>
      <c r="G199">
        <v>1288.1400000000001</v>
      </c>
    </row>
    <row r="200" spans="1:7" x14ac:dyDescent="0.25">
      <c r="A200" s="5">
        <v>39510</v>
      </c>
      <c r="B200">
        <v>1330.45</v>
      </c>
      <c r="C200">
        <v>1344.19</v>
      </c>
      <c r="D200">
        <v>1282.43</v>
      </c>
      <c r="E200">
        <v>1293.3699999999999</v>
      </c>
      <c r="F200">
        <v>4408266000</v>
      </c>
      <c r="G200">
        <v>1293.3699999999999</v>
      </c>
    </row>
    <row r="201" spans="1:7" x14ac:dyDescent="0.25">
      <c r="A201" s="5">
        <v>39503</v>
      </c>
      <c r="B201">
        <v>1352.75</v>
      </c>
      <c r="C201">
        <v>1388.34</v>
      </c>
      <c r="D201">
        <v>1325.42</v>
      </c>
      <c r="E201">
        <v>1330.63</v>
      </c>
      <c r="F201">
        <v>4046484000</v>
      </c>
      <c r="G201">
        <v>1330.63</v>
      </c>
    </row>
    <row r="202" spans="1:7" x14ac:dyDescent="0.25">
      <c r="A202" s="5">
        <v>39497</v>
      </c>
      <c r="B202">
        <v>1355.86</v>
      </c>
      <c r="C202">
        <v>1367.94</v>
      </c>
      <c r="D202">
        <v>1327.04</v>
      </c>
      <c r="E202">
        <v>1353.11</v>
      </c>
      <c r="F202">
        <v>3688347500</v>
      </c>
      <c r="G202">
        <v>1353.11</v>
      </c>
    </row>
    <row r="203" spans="1:7" x14ac:dyDescent="0.25">
      <c r="A203" s="5">
        <v>39489</v>
      </c>
      <c r="B203">
        <v>1331.92</v>
      </c>
      <c r="C203">
        <v>1369.23</v>
      </c>
      <c r="D203">
        <v>1320.32</v>
      </c>
      <c r="E203">
        <v>1349.99</v>
      </c>
      <c r="F203">
        <v>3744452000</v>
      </c>
      <c r="G203">
        <v>1349.99</v>
      </c>
    </row>
    <row r="204" spans="1:7" x14ac:dyDescent="0.25">
      <c r="A204" s="5">
        <v>39482</v>
      </c>
      <c r="B204">
        <v>1395.38</v>
      </c>
      <c r="C204">
        <v>1395.38</v>
      </c>
      <c r="D204">
        <v>1316.75</v>
      </c>
      <c r="E204">
        <v>1331.29</v>
      </c>
      <c r="F204">
        <v>4035458000</v>
      </c>
      <c r="G204">
        <v>1331.29</v>
      </c>
    </row>
    <row r="205" spans="1:7" x14ac:dyDescent="0.25">
      <c r="A205" s="5">
        <v>39475</v>
      </c>
      <c r="B205">
        <v>1330.7</v>
      </c>
      <c r="C205">
        <v>1396.02</v>
      </c>
      <c r="D205">
        <v>1322.26</v>
      </c>
      <c r="E205">
        <v>1395.42</v>
      </c>
      <c r="F205">
        <v>4539542000</v>
      </c>
      <c r="G205">
        <v>1395.42</v>
      </c>
    </row>
    <row r="206" spans="1:7" x14ac:dyDescent="0.25">
      <c r="A206" s="5">
        <v>39469</v>
      </c>
      <c r="B206">
        <v>1312.94</v>
      </c>
      <c r="C206">
        <v>1368.56</v>
      </c>
      <c r="D206">
        <v>1270.05</v>
      </c>
      <c r="E206">
        <v>1330.61</v>
      </c>
      <c r="F206">
        <v>5100980000</v>
      </c>
      <c r="G206">
        <v>1330.61</v>
      </c>
    </row>
    <row r="207" spans="1:7" x14ac:dyDescent="0.25">
      <c r="A207" s="5">
        <v>39461</v>
      </c>
      <c r="B207">
        <v>1402.91</v>
      </c>
      <c r="C207">
        <v>1417.89</v>
      </c>
      <c r="D207">
        <v>1312.51</v>
      </c>
      <c r="E207">
        <v>1325.19</v>
      </c>
      <c r="F207">
        <v>5006464000</v>
      </c>
      <c r="G207">
        <v>1325.19</v>
      </c>
    </row>
    <row r="208" spans="1:7" x14ac:dyDescent="0.25">
      <c r="A208" s="5">
        <v>39454</v>
      </c>
      <c r="B208">
        <v>1414.07</v>
      </c>
      <c r="C208">
        <v>1430.28</v>
      </c>
      <c r="D208">
        <v>1378.7</v>
      </c>
      <c r="E208">
        <v>1401.02</v>
      </c>
      <c r="F208">
        <v>4788802000</v>
      </c>
      <c r="G208">
        <v>1401.02</v>
      </c>
    </row>
    <row r="209" spans="1:7" x14ac:dyDescent="0.25">
      <c r="A209" s="5">
        <v>39447</v>
      </c>
      <c r="B209">
        <v>1475.25</v>
      </c>
      <c r="C209">
        <v>1475.83</v>
      </c>
      <c r="D209">
        <v>1411.19</v>
      </c>
      <c r="E209">
        <v>1411.63</v>
      </c>
      <c r="F209">
        <v>3372257500</v>
      </c>
      <c r="G209">
        <v>1411.63</v>
      </c>
    </row>
    <row r="210" spans="1:7" x14ac:dyDescent="0.25">
      <c r="A210" s="5">
        <v>39440</v>
      </c>
      <c r="B210">
        <v>1484.55</v>
      </c>
      <c r="C210">
        <v>1498.85</v>
      </c>
      <c r="D210">
        <v>1471.7</v>
      </c>
      <c r="E210">
        <v>1478.49</v>
      </c>
      <c r="F210">
        <v>2016050000</v>
      </c>
      <c r="G210">
        <v>1478.49</v>
      </c>
    </row>
    <row r="211" spans="1:7" x14ac:dyDescent="0.25">
      <c r="A211" s="5">
        <v>39433</v>
      </c>
      <c r="B211">
        <v>1465.05</v>
      </c>
      <c r="C211">
        <v>1485.4</v>
      </c>
      <c r="D211">
        <v>1435.65</v>
      </c>
      <c r="E211">
        <v>1484.46</v>
      </c>
      <c r="F211">
        <v>3745900000</v>
      </c>
      <c r="G211">
        <v>1484.46</v>
      </c>
    </row>
    <row r="212" spans="1:7" x14ac:dyDescent="0.25">
      <c r="A212" s="5">
        <v>39426</v>
      </c>
      <c r="B212">
        <v>1505.11</v>
      </c>
      <c r="C212">
        <v>1523.57</v>
      </c>
      <c r="D212">
        <v>1467.78</v>
      </c>
      <c r="E212">
        <v>1467.95</v>
      </c>
      <c r="F212">
        <v>3702056000</v>
      </c>
      <c r="G212">
        <v>1467.95</v>
      </c>
    </row>
    <row r="213" spans="1:7" x14ac:dyDescent="0.25">
      <c r="A213" s="5">
        <v>39419</v>
      </c>
      <c r="B213">
        <v>1479.63</v>
      </c>
      <c r="C213">
        <v>1510.63</v>
      </c>
      <c r="D213">
        <v>1460.66</v>
      </c>
      <c r="E213">
        <v>1504.66</v>
      </c>
      <c r="F213">
        <v>3415362000</v>
      </c>
      <c r="G213">
        <v>1504.66</v>
      </c>
    </row>
    <row r="214" spans="1:7" x14ac:dyDescent="0.25">
      <c r="A214" s="5">
        <v>39412</v>
      </c>
      <c r="B214">
        <v>1440.74</v>
      </c>
      <c r="C214">
        <v>1488.94</v>
      </c>
      <c r="D214">
        <v>1406.1</v>
      </c>
      <c r="E214">
        <v>1481.14</v>
      </c>
      <c r="F214">
        <v>4096428000</v>
      </c>
      <c r="G214">
        <v>1481.14</v>
      </c>
    </row>
    <row r="215" spans="1:7" x14ac:dyDescent="0.25">
      <c r="A215" s="5">
        <v>39405</v>
      </c>
      <c r="B215">
        <v>1456.7</v>
      </c>
      <c r="C215">
        <v>1456.7</v>
      </c>
      <c r="D215">
        <v>1415.64</v>
      </c>
      <c r="E215">
        <v>1440.7</v>
      </c>
      <c r="F215">
        <v>3670937500</v>
      </c>
      <c r="G215">
        <v>1440.7</v>
      </c>
    </row>
    <row r="216" spans="1:7" x14ac:dyDescent="0.25">
      <c r="A216" s="5">
        <v>39398</v>
      </c>
      <c r="B216">
        <v>1453.66</v>
      </c>
      <c r="C216">
        <v>1492.14</v>
      </c>
      <c r="D216">
        <v>1438.53</v>
      </c>
      <c r="E216">
        <v>1458.74</v>
      </c>
      <c r="F216">
        <v>4095036000</v>
      </c>
      <c r="G216">
        <v>1458.74</v>
      </c>
    </row>
    <row r="217" spans="1:7" x14ac:dyDescent="0.25">
      <c r="A217" s="5">
        <v>39391</v>
      </c>
      <c r="B217">
        <v>1505.61</v>
      </c>
      <c r="C217">
        <v>1520.77</v>
      </c>
      <c r="D217">
        <v>1448.51</v>
      </c>
      <c r="E217">
        <v>1453.7</v>
      </c>
      <c r="F217">
        <v>4415684000</v>
      </c>
      <c r="G217">
        <v>1453.7</v>
      </c>
    </row>
    <row r="218" spans="1:7" x14ac:dyDescent="0.25">
      <c r="A218" s="5">
        <v>39384</v>
      </c>
      <c r="B218">
        <v>1536.92</v>
      </c>
      <c r="C218">
        <v>1552.76</v>
      </c>
      <c r="D218">
        <v>1492.53</v>
      </c>
      <c r="E218">
        <v>1509.65</v>
      </c>
      <c r="F218">
        <v>3763506000</v>
      </c>
      <c r="G218">
        <v>1509.65</v>
      </c>
    </row>
    <row r="219" spans="1:7" x14ac:dyDescent="0.25">
      <c r="A219" s="5">
        <v>39377</v>
      </c>
      <c r="B219">
        <v>1497.79</v>
      </c>
      <c r="C219">
        <v>1535.53</v>
      </c>
      <c r="D219">
        <v>1489.56</v>
      </c>
      <c r="E219">
        <v>1535.28</v>
      </c>
      <c r="F219">
        <v>3716066000</v>
      </c>
      <c r="G219">
        <v>1535.28</v>
      </c>
    </row>
    <row r="220" spans="1:7" x14ac:dyDescent="0.25">
      <c r="A220" s="5">
        <v>39370</v>
      </c>
      <c r="B220">
        <v>1562.25</v>
      </c>
      <c r="C220">
        <v>1564.74</v>
      </c>
      <c r="D220">
        <v>1500.26</v>
      </c>
      <c r="E220">
        <v>1500.63</v>
      </c>
      <c r="F220">
        <v>3475220000</v>
      </c>
      <c r="G220">
        <v>1500.63</v>
      </c>
    </row>
    <row r="221" spans="1:7" x14ac:dyDescent="0.25">
      <c r="A221" s="5">
        <v>39363</v>
      </c>
      <c r="B221">
        <v>1556.51</v>
      </c>
      <c r="C221">
        <v>1576.09</v>
      </c>
      <c r="D221">
        <v>1546.72</v>
      </c>
      <c r="E221">
        <v>1561.8</v>
      </c>
      <c r="F221">
        <v>2943480000</v>
      </c>
      <c r="G221">
        <v>1561.8</v>
      </c>
    </row>
    <row r="222" spans="1:7" x14ac:dyDescent="0.25">
      <c r="A222" s="5">
        <v>39356</v>
      </c>
      <c r="B222">
        <v>1527.29</v>
      </c>
      <c r="C222">
        <v>1561.91</v>
      </c>
      <c r="D222">
        <v>1527.25</v>
      </c>
      <c r="E222">
        <v>1557.59</v>
      </c>
      <c r="F222">
        <v>3011736000</v>
      </c>
      <c r="G222">
        <v>1557.59</v>
      </c>
    </row>
    <row r="223" spans="1:7" x14ac:dyDescent="0.25">
      <c r="A223" s="5">
        <v>39349</v>
      </c>
      <c r="B223">
        <v>1525.75</v>
      </c>
      <c r="C223">
        <v>1533.74</v>
      </c>
      <c r="D223">
        <v>1507.13</v>
      </c>
      <c r="E223">
        <v>1526.75</v>
      </c>
      <c r="F223">
        <v>3070800000</v>
      </c>
      <c r="G223">
        <v>1526.75</v>
      </c>
    </row>
    <row r="224" spans="1:7" x14ac:dyDescent="0.25">
      <c r="A224" s="5">
        <v>39342</v>
      </c>
      <c r="B224">
        <v>1484.24</v>
      </c>
      <c r="C224">
        <v>1538.74</v>
      </c>
      <c r="D224">
        <v>1471.82</v>
      </c>
      <c r="E224">
        <v>1525.75</v>
      </c>
      <c r="F224">
        <v>3358248000</v>
      </c>
      <c r="G224">
        <v>1525.75</v>
      </c>
    </row>
    <row r="225" spans="1:7" x14ac:dyDescent="0.25">
      <c r="A225" s="5">
        <v>39335</v>
      </c>
      <c r="B225">
        <v>1453.5</v>
      </c>
      <c r="C225">
        <v>1489.58</v>
      </c>
      <c r="D225">
        <v>1439.29</v>
      </c>
      <c r="E225">
        <v>1484.25</v>
      </c>
      <c r="F225">
        <v>2851118000</v>
      </c>
      <c r="G225">
        <v>1484.25</v>
      </c>
    </row>
    <row r="226" spans="1:7" x14ac:dyDescent="0.25">
      <c r="A226" s="5">
        <v>39329</v>
      </c>
      <c r="B226">
        <v>1473.96</v>
      </c>
      <c r="C226">
        <v>1496.4</v>
      </c>
      <c r="D226">
        <v>1449.07</v>
      </c>
      <c r="E226">
        <v>1453.55</v>
      </c>
      <c r="F226">
        <v>2852217500</v>
      </c>
      <c r="G226">
        <v>1453.55</v>
      </c>
    </row>
    <row r="227" spans="1:7" x14ac:dyDescent="0.25">
      <c r="A227" s="5">
        <v>39321</v>
      </c>
      <c r="B227">
        <v>1479.36</v>
      </c>
      <c r="C227">
        <v>1481.47</v>
      </c>
      <c r="D227">
        <v>1432.01</v>
      </c>
      <c r="E227">
        <v>1473.99</v>
      </c>
      <c r="F227">
        <v>2724582000</v>
      </c>
      <c r="G227">
        <v>1473.99</v>
      </c>
    </row>
    <row r="228" spans="1:7" x14ac:dyDescent="0.25">
      <c r="A228" s="5">
        <v>39314</v>
      </c>
      <c r="B228">
        <v>1445.94</v>
      </c>
      <c r="C228">
        <v>1479.4</v>
      </c>
      <c r="D228">
        <v>1430.54</v>
      </c>
      <c r="E228">
        <v>1479.37</v>
      </c>
      <c r="F228">
        <v>3053680000</v>
      </c>
      <c r="G228">
        <v>1479.37</v>
      </c>
    </row>
    <row r="229" spans="1:7" x14ac:dyDescent="0.25">
      <c r="A229" s="5">
        <v>39307</v>
      </c>
      <c r="B229">
        <v>1453.42</v>
      </c>
      <c r="C229">
        <v>1466.29</v>
      </c>
      <c r="D229">
        <v>1370.6</v>
      </c>
      <c r="E229">
        <v>1445.94</v>
      </c>
      <c r="F229">
        <v>4376236000</v>
      </c>
      <c r="G229">
        <v>1445.94</v>
      </c>
    </row>
    <row r="230" spans="1:7" x14ac:dyDescent="0.25">
      <c r="A230" s="5">
        <v>39300</v>
      </c>
      <c r="B230">
        <v>1433.04</v>
      </c>
      <c r="C230">
        <v>1503.89</v>
      </c>
      <c r="D230">
        <v>1427.39</v>
      </c>
      <c r="E230">
        <v>1453.64</v>
      </c>
      <c r="F230">
        <v>5342306000</v>
      </c>
      <c r="G230">
        <v>1453.64</v>
      </c>
    </row>
    <row r="231" spans="1:7" x14ac:dyDescent="0.25">
      <c r="A231" s="5">
        <v>39293</v>
      </c>
      <c r="B231">
        <v>1458.93</v>
      </c>
      <c r="C231">
        <v>1488.3</v>
      </c>
      <c r="D231">
        <v>1432.8</v>
      </c>
      <c r="E231">
        <v>1433.06</v>
      </c>
      <c r="F231">
        <v>4510208000</v>
      </c>
      <c r="G231">
        <v>1433.06</v>
      </c>
    </row>
    <row r="232" spans="1:7" x14ac:dyDescent="0.25">
      <c r="A232" s="5">
        <v>39286</v>
      </c>
      <c r="B232">
        <v>1534.06</v>
      </c>
      <c r="C232">
        <v>1547.23</v>
      </c>
      <c r="D232">
        <v>1458.95</v>
      </c>
      <c r="E232">
        <v>1458.95</v>
      </c>
      <c r="F232">
        <v>4151786000</v>
      </c>
      <c r="G232">
        <v>1458.95</v>
      </c>
    </row>
    <row r="233" spans="1:7" x14ac:dyDescent="0.25">
      <c r="A233" s="5">
        <v>39279</v>
      </c>
      <c r="B233">
        <v>1552.5</v>
      </c>
      <c r="C233">
        <v>1555.9</v>
      </c>
      <c r="D233">
        <v>1529.2</v>
      </c>
      <c r="E233">
        <v>1534.1</v>
      </c>
      <c r="F233">
        <v>3263540000</v>
      </c>
      <c r="G233">
        <v>1534.1</v>
      </c>
    </row>
    <row r="234" spans="1:7" x14ac:dyDescent="0.25">
      <c r="A234" s="5">
        <v>39272</v>
      </c>
      <c r="B234">
        <v>1530.43</v>
      </c>
      <c r="C234">
        <v>1555.1</v>
      </c>
      <c r="D234">
        <v>1506.1</v>
      </c>
      <c r="E234">
        <v>1552.5</v>
      </c>
      <c r="F234">
        <v>3066650000</v>
      </c>
      <c r="G234">
        <v>1552.5</v>
      </c>
    </row>
    <row r="235" spans="1:7" x14ac:dyDescent="0.25">
      <c r="A235" s="5">
        <v>39265</v>
      </c>
      <c r="B235">
        <v>1504.66</v>
      </c>
      <c r="C235">
        <v>1532.4</v>
      </c>
      <c r="D235">
        <v>1504.66</v>
      </c>
      <c r="E235">
        <v>1530.44</v>
      </c>
      <c r="F235">
        <v>2317562500</v>
      </c>
      <c r="G235">
        <v>1530.44</v>
      </c>
    </row>
    <row r="236" spans="1:7" x14ac:dyDescent="0.25">
      <c r="A236" s="5">
        <v>39258</v>
      </c>
      <c r="B236">
        <v>1502.56</v>
      </c>
      <c r="C236">
        <v>1517.53</v>
      </c>
      <c r="D236">
        <v>1484.18</v>
      </c>
      <c r="E236">
        <v>1503.35</v>
      </c>
      <c r="F236">
        <v>3251210000</v>
      </c>
      <c r="G236">
        <v>1503.35</v>
      </c>
    </row>
    <row r="237" spans="1:7" x14ac:dyDescent="0.25">
      <c r="A237" s="5">
        <v>39251</v>
      </c>
      <c r="B237">
        <v>1532.9</v>
      </c>
      <c r="C237">
        <v>1537.32</v>
      </c>
      <c r="D237">
        <v>1500.74</v>
      </c>
      <c r="E237">
        <v>1502.56</v>
      </c>
      <c r="F237">
        <v>3217232000</v>
      </c>
      <c r="G237">
        <v>1502.56</v>
      </c>
    </row>
    <row r="238" spans="1:7" x14ac:dyDescent="0.25">
      <c r="A238" s="5">
        <v>39244</v>
      </c>
      <c r="B238">
        <v>1507.64</v>
      </c>
      <c r="C238">
        <v>1538.71</v>
      </c>
      <c r="D238">
        <v>1492.65</v>
      </c>
      <c r="E238">
        <v>1532.91</v>
      </c>
      <c r="F238">
        <v>2975814000</v>
      </c>
      <c r="G238">
        <v>1532.91</v>
      </c>
    </row>
    <row r="239" spans="1:7" x14ac:dyDescent="0.25">
      <c r="A239" s="5">
        <v>39237</v>
      </c>
      <c r="B239">
        <v>1536.28</v>
      </c>
      <c r="C239">
        <v>1540.53</v>
      </c>
      <c r="D239">
        <v>1487.41</v>
      </c>
      <c r="E239">
        <v>1507.67</v>
      </c>
      <c r="F239">
        <v>3034900000</v>
      </c>
      <c r="G239">
        <v>1507.67</v>
      </c>
    </row>
    <row r="240" spans="1:7" x14ac:dyDescent="0.25">
      <c r="A240" s="5">
        <v>39231</v>
      </c>
      <c r="B240">
        <v>1515.55</v>
      </c>
      <c r="C240">
        <v>1540.56</v>
      </c>
      <c r="D240">
        <v>1510.06</v>
      </c>
      <c r="E240">
        <v>1536.34</v>
      </c>
      <c r="F240">
        <v>2953637500</v>
      </c>
      <c r="G240">
        <v>1536.34</v>
      </c>
    </row>
    <row r="241" spans="1:7" x14ac:dyDescent="0.25">
      <c r="A241" s="5">
        <v>39223</v>
      </c>
      <c r="B241">
        <v>1522.75</v>
      </c>
      <c r="C241">
        <v>1532.43</v>
      </c>
      <c r="D241">
        <v>1505.18</v>
      </c>
      <c r="E241">
        <v>1515.73</v>
      </c>
      <c r="F241">
        <v>3018380000</v>
      </c>
      <c r="G241">
        <v>1515.73</v>
      </c>
    </row>
    <row r="242" spans="1:7" x14ac:dyDescent="0.25">
      <c r="A242" s="5">
        <v>39216</v>
      </c>
      <c r="B242">
        <v>1505.76</v>
      </c>
      <c r="C242">
        <v>1522.75</v>
      </c>
      <c r="D242">
        <v>1498.34</v>
      </c>
      <c r="E242">
        <v>1522.75</v>
      </c>
      <c r="F242">
        <v>2918038000</v>
      </c>
      <c r="G242">
        <v>1522.75</v>
      </c>
    </row>
    <row r="243" spans="1:7" x14ac:dyDescent="0.25">
      <c r="A243" s="5">
        <v>39209</v>
      </c>
      <c r="B243">
        <v>1505.57</v>
      </c>
      <c r="C243">
        <v>1513.8</v>
      </c>
      <c r="D243">
        <v>1491.42</v>
      </c>
      <c r="E243">
        <v>1505.85</v>
      </c>
      <c r="F243">
        <v>2805676000</v>
      </c>
      <c r="G243">
        <v>1505.85</v>
      </c>
    </row>
    <row r="244" spans="1:7" x14ac:dyDescent="0.25">
      <c r="A244" s="5">
        <v>39202</v>
      </c>
      <c r="B244">
        <v>1494.07</v>
      </c>
      <c r="C244">
        <v>1510.34</v>
      </c>
      <c r="D244">
        <v>1476.7</v>
      </c>
      <c r="E244">
        <v>1505.62</v>
      </c>
      <c r="F244">
        <v>3090694000</v>
      </c>
      <c r="G244">
        <v>1505.62</v>
      </c>
    </row>
    <row r="245" spans="1:7" x14ac:dyDescent="0.25">
      <c r="A245" s="5">
        <v>39195</v>
      </c>
      <c r="B245">
        <v>1484.33</v>
      </c>
      <c r="C245">
        <v>1498.02</v>
      </c>
      <c r="D245">
        <v>1473.74</v>
      </c>
      <c r="E245">
        <v>1494.07</v>
      </c>
      <c r="F245">
        <v>2978394000</v>
      </c>
      <c r="G245">
        <v>1494.07</v>
      </c>
    </row>
    <row r="246" spans="1:7" x14ac:dyDescent="0.25">
      <c r="A246" s="5">
        <v>39188</v>
      </c>
      <c r="B246">
        <v>1452.84</v>
      </c>
      <c r="C246">
        <v>1484.74</v>
      </c>
      <c r="D246">
        <v>1452.84</v>
      </c>
      <c r="E246">
        <v>1484.35</v>
      </c>
      <c r="F246">
        <v>3001118000</v>
      </c>
      <c r="G246">
        <v>1484.35</v>
      </c>
    </row>
    <row r="247" spans="1:7" x14ac:dyDescent="0.25">
      <c r="A247" s="5">
        <v>39181</v>
      </c>
      <c r="B247">
        <v>1443.77</v>
      </c>
      <c r="C247">
        <v>1453.11</v>
      </c>
      <c r="D247">
        <v>1433.91</v>
      </c>
      <c r="E247">
        <v>1452.85</v>
      </c>
      <c r="F247">
        <v>2654060000</v>
      </c>
      <c r="G247">
        <v>1452.85</v>
      </c>
    </row>
    <row r="248" spans="1:7" x14ac:dyDescent="0.25">
      <c r="A248" s="5">
        <v>39174</v>
      </c>
      <c r="B248">
        <v>1420.83</v>
      </c>
      <c r="C248">
        <v>1444.88</v>
      </c>
      <c r="D248">
        <v>1416.37</v>
      </c>
      <c r="E248">
        <v>1443.76</v>
      </c>
      <c r="F248">
        <v>2692797500</v>
      </c>
      <c r="G248">
        <v>1443.76</v>
      </c>
    </row>
    <row r="249" spans="1:7" x14ac:dyDescent="0.25">
      <c r="A249" s="5">
        <v>39167</v>
      </c>
      <c r="B249">
        <v>1436.11</v>
      </c>
      <c r="C249">
        <v>1437.65</v>
      </c>
      <c r="D249">
        <v>1408.9</v>
      </c>
      <c r="E249">
        <v>1420.86</v>
      </c>
      <c r="F249">
        <v>2837362000</v>
      </c>
      <c r="G249">
        <v>1420.86</v>
      </c>
    </row>
    <row r="250" spans="1:7" x14ac:dyDescent="0.25">
      <c r="A250" s="5">
        <v>39160</v>
      </c>
      <c r="B250">
        <v>1386.95</v>
      </c>
      <c r="C250">
        <v>1438.89</v>
      </c>
      <c r="D250">
        <v>1386.95</v>
      </c>
      <c r="E250">
        <v>1436.11</v>
      </c>
      <c r="F250">
        <v>2901376000</v>
      </c>
      <c r="G250">
        <v>1436.11</v>
      </c>
    </row>
    <row r="251" spans="1:7" x14ac:dyDescent="0.25">
      <c r="A251" s="5">
        <v>39153</v>
      </c>
      <c r="B251">
        <v>1402.8</v>
      </c>
      <c r="C251">
        <v>1409.34</v>
      </c>
      <c r="D251">
        <v>1363.98</v>
      </c>
      <c r="E251">
        <v>1386.95</v>
      </c>
      <c r="F251">
        <v>3224692000</v>
      </c>
      <c r="G251">
        <v>1386.95</v>
      </c>
    </row>
    <row r="252" spans="1:7" x14ac:dyDescent="0.25">
      <c r="A252" s="5">
        <v>39146</v>
      </c>
      <c r="B252">
        <v>1387.11</v>
      </c>
      <c r="C252">
        <v>1410.15</v>
      </c>
      <c r="D252">
        <v>1373.97</v>
      </c>
      <c r="E252">
        <v>1402.84</v>
      </c>
      <c r="F252">
        <v>3123586000</v>
      </c>
      <c r="G252">
        <v>1402.84</v>
      </c>
    </row>
    <row r="253" spans="1:7" x14ac:dyDescent="0.25">
      <c r="A253" s="5">
        <v>39139</v>
      </c>
      <c r="B253">
        <v>1451.04</v>
      </c>
      <c r="C253">
        <v>1456.95</v>
      </c>
      <c r="D253">
        <v>1380.87</v>
      </c>
      <c r="E253">
        <v>1387.17</v>
      </c>
      <c r="F253">
        <v>3599964000</v>
      </c>
      <c r="G253">
        <v>1387.17</v>
      </c>
    </row>
    <row r="254" spans="1:7" x14ac:dyDescent="0.25">
      <c r="A254" s="5">
        <v>39133</v>
      </c>
      <c r="B254">
        <v>1455.53</v>
      </c>
      <c r="C254">
        <v>1461.57</v>
      </c>
      <c r="D254">
        <v>1448.36</v>
      </c>
      <c r="E254">
        <v>1451.19</v>
      </c>
      <c r="F254">
        <v>2368890000</v>
      </c>
      <c r="G254">
        <v>1451.19</v>
      </c>
    </row>
    <row r="255" spans="1:7" x14ac:dyDescent="0.25">
      <c r="A255" s="5">
        <v>39125</v>
      </c>
      <c r="B255">
        <v>1438</v>
      </c>
      <c r="C255">
        <v>1457.97</v>
      </c>
      <c r="D255">
        <v>1431.44</v>
      </c>
      <c r="E255">
        <v>1455.54</v>
      </c>
      <c r="F255">
        <v>2527498000</v>
      </c>
      <c r="G255">
        <v>1455.54</v>
      </c>
    </row>
    <row r="256" spans="1:7" x14ac:dyDescent="0.25">
      <c r="A256" s="5">
        <v>39118</v>
      </c>
      <c r="B256">
        <v>1448.33</v>
      </c>
      <c r="C256">
        <v>1452.99</v>
      </c>
      <c r="D256">
        <v>1433.44</v>
      </c>
      <c r="E256">
        <v>1438.06</v>
      </c>
      <c r="F256">
        <v>2686990000</v>
      </c>
      <c r="G256">
        <v>1438.06</v>
      </c>
    </row>
    <row r="257" spans="1:7" x14ac:dyDescent="0.25">
      <c r="A257" s="5">
        <v>39111</v>
      </c>
      <c r="B257">
        <v>1422.03</v>
      </c>
      <c r="C257">
        <v>1449.33</v>
      </c>
      <c r="D257">
        <v>1418.46</v>
      </c>
      <c r="E257">
        <v>1448.39</v>
      </c>
      <c r="F257">
        <v>2779552000</v>
      </c>
      <c r="G257">
        <v>1448.39</v>
      </c>
    </row>
    <row r="258" spans="1:7" x14ac:dyDescent="0.25">
      <c r="A258" s="5">
        <v>39104</v>
      </c>
      <c r="B258">
        <v>1430.47</v>
      </c>
      <c r="C258">
        <v>1440.69</v>
      </c>
      <c r="D258">
        <v>1416.96</v>
      </c>
      <c r="E258">
        <v>1422.18</v>
      </c>
      <c r="F258">
        <v>2783864000</v>
      </c>
      <c r="G258">
        <v>1422.18</v>
      </c>
    </row>
    <row r="259" spans="1:7" x14ac:dyDescent="0.25">
      <c r="A259" s="5">
        <v>39098</v>
      </c>
      <c r="B259">
        <v>1430.73</v>
      </c>
      <c r="C259">
        <v>1435.27</v>
      </c>
      <c r="D259">
        <v>1424.21</v>
      </c>
      <c r="E259">
        <v>1430.5</v>
      </c>
      <c r="F259">
        <v>2722427500</v>
      </c>
      <c r="G259">
        <v>1430.5</v>
      </c>
    </row>
    <row r="260" spans="1:7" x14ac:dyDescent="0.25">
      <c r="A260" s="5">
        <v>39090</v>
      </c>
      <c r="B260">
        <v>1409.26</v>
      </c>
      <c r="C260">
        <v>1431.23</v>
      </c>
      <c r="D260">
        <v>1403.97</v>
      </c>
      <c r="E260">
        <v>1430.73</v>
      </c>
      <c r="F260">
        <v>2822146000</v>
      </c>
      <c r="G260">
        <v>1430.73</v>
      </c>
    </row>
    <row r="261" spans="1:7" x14ac:dyDescent="0.25">
      <c r="A261" s="5">
        <v>39085</v>
      </c>
      <c r="B261">
        <v>1418.03</v>
      </c>
      <c r="C261">
        <v>1429.42</v>
      </c>
      <c r="D261">
        <v>1405.75</v>
      </c>
      <c r="E261">
        <v>1409.71</v>
      </c>
      <c r="F261">
        <v>3117673300</v>
      </c>
      <c r="G261">
        <v>1409.71</v>
      </c>
    </row>
    <row r="262" spans="1:7" x14ac:dyDescent="0.25">
      <c r="A262" s="5">
        <v>39077</v>
      </c>
      <c r="B262">
        <v>1410.75</v>
      </c>
      <c r="C262">
        <v>1427.72</v>
      </c>
      <c r="D262">
        <v>1410.45</v>
      </c>
      <c r="E262">
        <v>1418.3</v>
      </c>
      <c r="F262">
        <v>1541112500</v>
      </c>
      <c r="G262">
        <v>1418.3</v>
      </c>
    </row>
    <row r="263" spans="1:7" x14ac:dyDescent="0.25">
      <c r="A263" s="5">
        <v>39069</v>
      </c>
      <c r="B263">
        <v>1427.08</v>
      </c>
      <c r="C263">
        <v>1431.81</v>
      </c>
      <c r="D263">
        <v>1410.28</v>
      </c>
      <c r="E263">
        <v>1410.76</v>
      </c>
      <c r="F263">
        <v>2328566000</v>
      </c>
      <c r="G263">
        <v>1410.76</v>
      </c>
    </row>
    <row r="264" spans="1:7" x14ac:dyDescent="0.25">
      <c r="A264" s="5">
        <v>39062</v>
      </c>
      <c r="B264">
        <v>1409.81</v>
      </c>
      <c r="C264">
        <v>1431.63</v>
      </c>
      <c r="D264">
        <v>1404.75</v>
      </c>
      <c r="E264">
        <v>1427.09</v>
      </c>
      <c r="F264">
        <v>2707922000</v>
      </c>
      <c r="G264">
        <v>1427.09</v>
      </c>
    </row>
    <row r="265" spans="1:7" x14ac:dyDescent="0.25">
      <c r="A265" s="5">
        <v>39055</v>
      </c>
      <c r="B265">
        <v>1396.67</v>
      </c>
      <c r="C265">
        <v>1418.27</v>
      </c>
      <c r="D265">
        <v>1396.67</v>
      </c>
      <c r="E265">
        <v>1409.84</v>
      </c>
      <c r="F265">
        <v>2686182000</v>
      </c>
      <c r="G265">
        <v>1409.84</v>
      </c>
    </row>
    <row r="266" spans="1:7" x14ac:dyDescent="0.25">
      <c r="A266" s="5">
        <v>39048</v>
      </c>
      <c r="B266">
        <v>1400.95</v>
      </c>
      <c r="C266">
        <v>1406.3</v>
      </c>
      <c r="D266">
        <v>1377.83</v>
      </c>
      <c r="E266">
        <v>1396.71</v>
      </c>
      <c r="F266">
        <v>2989828000</v>
      </c>
      <c r="G266">
        <v>1396.71</v>
      </c>
    </row>
    <row r="267" spans="1:7" x14ac:dyDescent="0.25">
      <c r="A267" s="5">
        <v>39041</v>
      </c>
      <c r="B267">
        <v>1401.17</v>
      </c>
      <c r="C267">
        <v>1407.89</v>
      </c>
      <c r="D267">
        <v>1397.85</v>
      </c>
      <c r="E267">
        <v>1400.95</v>
      </c>
      <c r="F267">
        <v>2053727500</v>
      </c>
      <c r="G267">
        <v>1400.95</v>
      </c>
    </row>
    <row r="268" spans="1:7" x14ac:dyDescent="0.25">
      <c r="A268" s="5">
        <v>39034</v>
      </c>
      <c r="B268">
        <v>1380.58</v>
      </c>
      <c r="C268">
        <v>1403.76</v>
      </c>
      <c r="D268">
        <v>1378.8</v>
      </c>
      <c r="E268">
        <v>1401.2</v>
      </c>
      <c r="F268">
        <v>2761356000</v>
      </c>
      <c r="G268">
        <v>1401.2</v>
      </c>
    </row>
    <row r="269" spans="1:7" x14ac:dyDescent="0.25">
      <c r="A269" s="5">
        <v>39027</v>
      </c>
      <c r="B269">
        <v>1364.27</v>
      </c>
      <c r="C269">
        <v>1388.92</v>
      </c>
      <c r="D269">
        <v>1364.27</v>
      </c>
      <c r="E269">
        <v>1380.9</v>
      </c>
      <c r="F269">
        <v>2657402000</v>
      </c>
      <c r="G269">
        <v>1380.9</v>
      </c>
    </row>
    <row r="270" spans="1:7" x14ac:dyDescent="0.25">
      <c r="A270" s="5">
        <v>39020</v>
      </c>
      <c r="B270">
        <v>1377.3</v>
      </c>
      <c r="C270">
        <v>1381.95</v>
      </c>
      <c r="D270">
        <v>1360.98</v>
      </c>
      <c r="E270">
        <v>1364.3</v>
      </c>
      <c r="F270">
        <v>2692108000</v>
      </c>
      <c r="G270">
        <v>1364.3</v>
      </c>
    </row>
    <row r="271" spans="1:7" x14ac:dyDescent="0.25">
      <c r="A271" s="5">
        <v>39013</v>
      </c>
      <c r="B271">
        <v>1368.58</v>
      </c>
      <c r="C271">
        <v>1389.45</v>
      </c>
      <c r="D271">
        <v>1363.94</v>
      </c>
      <c r="E271">
        <v>1377.34</v>
      </c>
      <c r="F271">
        <v>2712532000</v>
      </c>
      <c r="G271">
        <v>1377.34</v>
      </c>
    </row>
    <row r="272" spans="1:7" x14ac:dyDescent="0.25">
      <c r="A272" s="5">
        <v>39006</v>
      </c>
      <c r="B272">
        <v>1365.61</v>
      </c>
      <c r="C272">
        <v>1372.87</v>
      </c>
      <c r="D272">
        <v>1356.87</v>
      </c>
      <c r="E272">
        <v>1368.6</v>
      </c>
      <c r="F272">
        <v>2526124000</v>
      </c>
      <c r="G272">
        <v>1368.6</v>
      </c>
    </row>
    <row r="273" spans="1:7" x14ac:dyDescent="0.25">
      <c r="A273" s="5">
        <v>38999</v>
      </c>
      <c r="B273">
        <v>1349.58</v>
      </c>
      <c r="C273">
        <v>1366.63</v>
      </c>
      <c r="D273">
        <v>1343.57</v>
      </c>
      <c r="E273">
        <v>1365.62</v>
      </c>
      <c r="F273">
        <v>2365916000</v>
      </c>
      <c r="G273">
        <v>1365.62</v>
      </c>
    </row>
    <row r="274" spans="1:7" x14ac:dyDescent="0.25">
      <c r="A274" s="5">
        <v>38992</v>
      </c>
      <c r="B274">
        <v>1335.82</v>
      </c>
      <c r="C274">
        <v>1353.79</v>
      </c>
      <c r="D274">
        <v>1327.1</v>
      </c>
      <c r="E274">
        <v>1349.59</v>
      </c>
      <c r="F274">
        <v>2639458000</v>
      </c>
      <c r="G274">
        <v>1349.59</v>
      </c>
    </row>
    <row r="275" spans="1:7" x14ac:dyDescent="0.25">
      <c r="A275" s="5">
        <v>38985</v>
      </c>
      <c r="B275">
        <v>1314.78</v>
      </c>
      <c r="C275">
        <v>1340.28</v>
      </c>
      <c r="D275">
        <v>1311.58</v>
      </c>
      <c r="E275">
        <v>1335.85</v>
      </c>
      <c r="F275">
        <v>2560806000</v>
      </c>
      <c r="G275">
        <v>1335.85</v>
      </c>
    </row>
    <row r="276" spans="1:7" x14ac:dyDescent="0.25">
      <c r="A276" s="5">
        <v>38978</v>
      </c>
      <c r="B276">
        <v>1319.85</v>
      </c>
      <c r="C276">
        <v>1328.53</v>
      </c>
      <c r="D276">
        <v>1310.94</v>
      </c>
      <c r="E276">
        <v>1314.78</v>
      </c>
      <c r="F276">
        <v>2409864000</v>
      </c>
      <c r="G276">
        <v>1314.78</v>
      </c>
    </row>
    <row r="277" spans="1:7" x14ac:dyDescent="0.25">
      <c r="A277" s="5">
        <v>38971</v>
      </c>
      <c r="B277">
        <v>1298.8599999999999</v>
      </c>
      <c r="C277">
        <v>1324.65</v>
      </c>
      <c r="D277">
        <v>1290.93</v>
      </c>
      <c r="E277">
        <v>1319.66</v>
      </c>
      <c r="F277">
        <v>2688896000</v>
      </c>
      <c r="G277">
        <v>1319.66</v>
      </c>
    </row>
    <row r="278" spans="1:7" x14ac:dyDescent="0.25">
      <c r="A278" s="5">
        <v>38965</v>
      </c>
      <c r="B278">
        <v>1310.94</v>
      </c>
      <c r="C278">
        <v>1314.67</v>
      </c>
      <c r="D278">
        <v>1292.1300000000001</v>
      </c>
      <c r="E278">
        <v>1298.92</v>
      </c>
      <c r="F278">
        <v>2225772500</v>
      </c>
      <c r="G278">
        <v>1298.92</v>
      </c>
    </row>
    <row r="279" spans="1:7" x14ac:dyDescent="0.25">
      <c r="A279" s="5">
        <v>38957</v>
      </c>
      <c r="B279">
        <v>1295.0899999999999</v>
      </c>
      <c r="C279">
        <v>1312.03</v>
      </c>
      <c r="D279">
        <v>1293.97</v>
      </c>
      <c r="E279">
        <v>1311.01</v>
      </c>
      <c r="F279">
        <v>1952878000</v>
      </c>
      <c r="G279">
        <v>1311.01</v>
      </c>
    </row>
    <row r="280" spans="1:7" x14ac:dyDescent="0.25">
      <c r="A280" s="5">
        <v>38950</v>
      </c>
      <c r="B280">
        <v>1302.3</v>
      </c>
      <c r="C280">
        <v>1302.49</v>
      </c>
      <c r="D280">
        <v>1289.82</v>
      </c>
      <c r="E280">
        <v>1295.0899999999999</v>
      </c>
      <c r="F280">
        <v>1831910000</v>
      </c>
      <c r="G280">
        <v>1295.0899999999999</v>
      </c>
    </row>
    <row r="281" spans="1:7" x14ac:dyDescent="0.25">
      <c r="A281" s="5">
        <v>38943</v>
      </c>
      <c r="B281">
        <v>1266.67</v>
      </c>
      <c r="C281">
        <v>1302.3</v>
      </c>
      <c r="D281">
        <v>1266.67</v>
      </c>
      <c r="E281">
        <v>1302.3</v>
      </c>
      <c r="F281">
        <v>2299788000</v>
      </c>
      <c r="G281">
        <v>1302.3</v>
      </c>
    </row>
    <row r="282" spans="1:7" x14ac:dyDescent="0.25">
      <c r="A282" s="5">
        <v>38936</v>
      </c>
      <c r="B282">
        <v>1279.31</v>
      </c>
      <c r="C282">
        <v>1283.74</v>
      </c>
      <c r="D282">
        <v>1261.3</v>
      </c>
      <c r="E282">
        <v>1266.74</v>
      </c>
      <c r="F282">
        <v>2293082000</v>
      </c>
      <c r="G282">
        <v>1266.74</v>
      </c>
    </row>
    <row r="283" spans="1:7" x14ac:dyDescent="0.25">
      <c r="A283" s="5">
        <v>38929</v>
      </c>
      <c r="B283">
        <v>1278.53</v>
      </c>
      <c r="C283">
        <v>1292.92</v>
      </c>
      <c r="D283">
        <v>1265.71</v>
      </c>
      <c r="E283">
        <v>1279.3599999999999</v>
      </c>
      <c r="F283">
        <v>2571830000</v>
      </c>
      <c r="G283">
        <v>1279.3599999999999</v>
      </c>
    </row>
    <row r="284" spans="1:7" x14ac:dyDescent="0.25">
      <c r="A284" s="5">
        <v>38922</v>
      </c>
      <c r="B284">
        <v>1240.25</v>
      </c>
      <c r="C284">
        <v>1280.42</v>
      </c>
      <c r="D284">
        <v>1240.25</v>
      </c>
      <c r="E284">
        <v>1278.55</v>
      </c>
      <c r="F284">
        <v>2560298000</v>
      </c>
      <c r="G284">
        <v>1278.55</v>
      </c>
    </row>
    <row r="285" spans="1:7" x14ac:dyDescent="0.25">
      <c r="A285" s="5">
        <v>38915</v>
      </c>
      <c r="B285">
        <v>1236.2</v>
      </c>
      <c r="C285">
        <v>1262.56</v>
      </c>
      <c r="D285">
        <v>1224.54</v>
      </c>
      <c r="E285">
        <v>1240.29</v>
      </c>
      <c r="F285">
        <v>2475962000</v>
      </c>
      <c r="G285">
        <v>1240.29</v>
      </c>
    </row>
    <row r="286" spans="1:7" x14ac:dyDescent="0.25">
      <c r="A286" s="5">
        <v>38908</v>
      </c>
      <c r="B286">
        <v>1265.46</v>
      </c>
      <c r="C286">
        <v>1274.06</v>
      </c>
      <c r="D286">
        <v>1228.45</v>
      </c>
      <c r="E286">
        <v>1236.2</v>
      </c>
      <c r="F286">
        <v>2285754000</v>
      </c>
      <c r="G286">
        <v>1236.2</v>
      </c>
    </row>
    <row r="287" spans="1:7" x14ac:dyDescent="0.25">
      <c r="A287" s="5">
        <v>38901</v>
      </c>
      <c r="B287">
        <v>1270.06</v>
      </c>
      <c r="C287">
        <v>1280.3800000000001</v>
      </c>
      <c r="D287">
        <v>1263.1300000000001</v>
      </c>
      <c r="E287">
        <v>1265.48</v>
      </c>
      <c r="F287">
        <v>1819212500</v>
      </c>
      <c r="G287">
        <v>1265.48</v>
      </c>
    </row>
    <row r="288" spans="1:7" x14ac:dyDescent="0.25">
      <c r="A288" s="5">
        <v>38894</v>
      </c>
      <c r="B288">
        <v>1244.5</v>
      </c>
      <c r="C288">
        <v>1276.3</v>
      </c>
      <c r="D288">
        <v>1237.5899999999999</v>
      </c>
      <c r="E288">
        <v>1270.2</v>
      </c>
      <c r="F288">
        <v>2367602000</v>
      </c>
      <c r="G288">
        <v>1270.2</v>
      </c>
    </row>
    <row r="289" spans="1:7" x14ac:dyDescent="0.25">
      <c r="A289" s="5">
        <v>38887</v>
      </c>
      <c r="B289">
        <v>1251.54</v>
      </c>
      <c r="C289">
        <v>1257.96</v>
      </c>
      <c r="D289">
        <v>1237.17</v>
      </c>
      <c r="E289">
        <v>1244.5</v>
      </c>
      <c r="F289">
        <v>2255366000</v>
      </c>
      <c r="G289">
        <v>1244.5</v>
      </c>
    </row>
    <row r="290" spans="1:7" x14ac:dyDescent="0.25">
      <c r="A290" s="5">
        <v>38880</v>
      </c>
      <c r="B290">
        <v>1252.27</v>
      </c>
      <c r="C290">
        <v>1258.6400000000001</v>
      </c>
      <c r="D290">
        <v>1219.29</v>
      </c>
      <c r="E290">
        <v>1251.54</v>
      </c>
      <c r="F290">
        <v>2737928000</v>
      </c>
      <c r="G290">
        <v>1251.54</v>
      </c>
    </row>
    <row r="291" spans="1:7" x14ac:dyDescent="0.25">
      <c r="A291" s="5">
        <v>38873</v>
      </c>
      <c r="B291">
        <v>1288.1600000000001</v>
      </c>
      <c r="C291">
        <v>1288.1600000000001</v>
      </c>
      <c r="D291">
        <v>1235.18</v>
      </c>
      <c r="E291">
        <v>1252.3</v>
      </c>
      <c r="F291">
        <v>2682616000</v>
      </c>
      <c r="G291">
        <v>1252.3</v>
      </c>
    </row>
    <row r="292" spans="1:7" x14ac:dyDescent="0.25">
      <c r="A292" s="5">
        <v>38867</v>
      </c>
      <c r="B292">
        <v>1280.04</v>
      </c>
      <c r="C292">
        <v>1290.68</v>
      </c>
      <c r="D292">
        <v>1259.3800000000001</v>
      </c>
      <c r="E292">
        <v>1288.22</v>
      </c>
      <c r="F292">
        <v>2381012500</v>
      </c>
      <c r="G292">
        <v>1288.22</v>
      </c>
    </row>
    <row r="293" spans="1:7" x14ac:dyDescent="0.25">
      <c r="A293" s="5">
        <v>38859</v>
      </c>
      <c r="B293">
        <v>1267.03</v>
      </c>
      <c r="C293">
        <v>1280.54</v>
      </c>
      <c r="D293">
        <v>1245.3399999999999</v>
      </c>
      <c r="E293">
        <v>1280.1600000000001</v>
      </c>
      <c r="F293">
        <v>2512808000</v>
      </c>
      <c r="G293">
        <v>1280.1600000000001</v>
      </c>
    </row>
    <row r="294" spans="1:7" x14ac:dyDescent="0.25">
      <c r="A294" s="5">
        <v>38852</v>
      </c>
      <c r="B294">
        <v>1291.19</v>
      </c>
      <c r="C294">
        <v>1297.8800000000001</v>
      </c>
      <c r="D294">
        <v>1256.28</v>
      </c>
      <c r="E294">
        <v>1267.03</v>
      </c>
      <c r="F294">
        <v>2648372000</v>
      </c>
      <c r="G294">
        <v>1267.03</v>
      </c>
    </row>
    <row r="295" spans="1:7" x14ac:dyDescent="0.25">
      <c r="A295" s="5">
        <v>38845</v>
      </c>
      <c r="B295">
        <v>1325.76</v>
      </c>
      <c r="C295">
        <v>1326.7</v>
      </c>
      <c r="D295">
        <v>1290.3800000000001</v>
      </c>
      <c r="E295">
        <v>1291.24</v>
      </c>
      <c r="F295">
        <v>2335326000</v>
      </c>
      <c r="G295">
        <v>1291.24</v>
      </c>
    </row>
    <row r="296" spans="1:7" x14ac:dyDescent="0.25">
      <c r="A296" s="5">
        <v>38838</v>
      </c>
      <c r="B296">
        <v>1310.6099999999999</v>
      </c>
      <c r="C296">
        <v>1326.53</v>
      </c>
      <c r="D296">
        <v>1303.46</v>
      </c>
      <c r="E296">
        <v>1325.76</v>
      </c>
      <c r="F296">
        <v>2392390000</v>
      </c>
      <c r="G296">
        <v>1325.76</v>
      </c>
    </row>
    <row r="297" spans="1:7" x14ac:dyDescent="0.25">
      <c r="A297" s="5">
        <v>38831</v>
      </c>
      <c r="B297">
        <v>1311.28</v>
      </c>
      <c r="C297">
        <v>1316.04</v>
      </c>
      <c r="D297">
        <v>1295.57</v>
      </c>
      <c r="E297">
        <v>1310.6099999999999</v>
      </c>
      <c r="F297">
        <v>2435666000</v>
      </c>
      <c r="G297">
        <v>1310.6099999999999</v>
      </c>
    </row>
    <row r="298" spans="1:7" x14ac:dyDescent="0.25">
      <c r="A298" s="5">
        <v>38824</v>
      </c>
      <c r="B298">
        <v>1289.1199999999999</v>
      </c>
      <c r="C298">
        <v>1318.16</v>
      </c>
      <c r="D298">
        <v>1280.74</v>
      </c>
      <c r="E298">
        <v>1311.28</v>
      </c>
      <c r="F298">
        <v>2348590000</v>
      </c>
      <c r="G298">
        <v>1311.28</v>
      </c>
    </row>
    <row r="299" spans="1:7" x14ac:dyDescent="0.25">
      <c r="A299" s="5">
        <v>38817</v>
      </c>
      <c r="B299">
        <v>1295.51</v>
      </c>
      <c r="C299">
        <v>1300.74</v>
      </c>
      <c r="D299">
        <v>1282.96</v>
      </c>
      <c r="E299">
        <v>1289.1199999999999</v>
      </c>
      <c r="F299">
        <v>1990310000</v>
      </c>
      <c r="G299">
        <v>1289.1199999999999</v>
      </c>
    </row>
    <row r="300" spans="1:7" x14ac:dyDescent="0.25">
      <c r="A300" s="5">
        <v>38810</v>
      </c>
      <c r="B300">
        <v>1302.8800000000001</v>
      </c>
      <c r="C300">
        <v>1314.07</v>
      </c>
      <c r="D300">
        <v>1294.18</v>
      </c>
      <c r="E300">
        <v>1295.5</v>
      </c>
      <c r="F300">
        <v>2285182000</v>
      </c>
      <c r="G300">
        <v>1295.5</v>
      </c>
    </row>
    <row r="301" spans="1:7" x14ac:dyDescent="0.25">
      <c r="A301" s="5">
        <v>38803</v>
      </c>
      <c r="B301">
        <v>1302.95</v>
      </c>
      <c r="C301">
        <v>1310.1500000000001</v>
      </c>
      <c r="D301">
        <v>1291.8399999999999</v>
      </c>
      <c r="E301">
        <v>1294.8699999999999</v>
      </c>
      <c r="F301">
        <v>2170618000</v>
      </c>
      <c r="G301">
        <v>1294.8699999999999</v>
      </c>
    </row>
    <row r="302" spans="1:7" x14ac:dyDescent="0.25">
      <c r="A302" s="5">
        <v>38796</v>
      </c>
      <c r="B302">
        <v>1307.25</v>
      </c>
      <c r="C302">
        <v>1310.88</v>
      </c>
      <c r="D302">
        <v>1295.81</v>
      </c>
      <c r="E302">
        <v>1302.95</v>
      </c>
      <c r="F302">
        <v>2094204000</v>
      </c>
      <c r="G302">
        <v>1302.95</v>
      </c>
    </row>
    <row r="303" spans="1:7" x14ac:dyDescent="0.25">
      <c r="A303" s="5">
        <v>38789</v>
      </c>
      <c r="B303">
        <v>1281.58</v>
      </c>
      <c r="C303">
        <v>1310.45</v>
      </c>
      <c r="D303">
        <v>1281.58</v>
      </c>
      <c r="E303">
        <v>1307.25</v>
      </c>
      <c r="F303">
        <v>2274080000</v>
      </c>
      <c r="G303">
        <v>1307.25</v>
      </c>
    </row>
    <row r="304" spans="1:7" x14ac:dyDescent="0.25">
      <c r="A304" s="5">
        <v>38782</v>
      </c>
      <c r="B304">
        <v>1287.23</v>
      </c>
      <c r="C304">
        <v>1288.23</v>
      </c>
      <c r="D304">
        <v>1268.42</v>
      </c>
      <c r="E304">
        <v>1281.42</v>
      </c>
      <c r="F304">
        <v>2250934000</v>
      </c>
      <c r="G304">
        <v>1281.42</v>
      </c>
    </row>
    <row r="305" spans="1:7" x14ac:dyDescent="0.25">
      <c r="A305" s="5">
        <v>38775</v>
      </c>
      <c r="B305">
        <v>1289.43</v>
      </c>
      <c r="C305">
        <v>1297.57</v>
      </c>
      <c r="D305">
        <v>1278.6600000000001</v>
      </c>
      <c r="E305">
        <v>1287.23</v>
      </c>
      <c r="F305">
        <v>2260408000</v>
      </c>
      <c r="G305">
        <v>1287.23</v>
      </c>
    </row>
    <row r="306" spans="1:7" x14ac:dyDescent="0.25">
      <c r="A306" s="5">
        <v>38769</v>
      </c>
      <c r="B306">
        <v>1287.24</v>
      </c>
      <c r="C306">
        <v>1294.17</v>
      </c>
      <c r="D306">
        <v>1281.33</v>
      </c>
      <c r="E306">
        <v>1289.43</v>
      </c>
      <c r="F306">
        <v>2100980000</v>
      </c>
      <c r="G306">
        <v>1289.43</v>
      </c>
    </row>
    <row r="307" spans="1:7" x14ac:dyDescent="0.25">
      <c r="A307" s="5">
        <v>38761</v>
      </c>
      <c r="B307">
        <v>1266.99</v>
      </c>
      <c r="C307">
        <v>1289.47</v>
      </c>
      <c r="D307">
        <v>1258.3399999999999</v>
      </c>
      <c r="E307">
        <v>1287.24</v>
      </c>
      <c r="F307">
        <v>2197072000</v>
      </c>
      <c r="G307">
        <v>1287.24</v>
      </c>
    </row>
    <row r="308" spans="1:7" x14ac:dyDescent="0.25">
      <c r="A308" s="5">
        <v>38754</v>
      </c>
      <c r="B308">
        <v>1264.03</v>
      </c>
      <c r="C308">
        <v>1274.56</v>
      </c>
      <c r="D308">
        <v>1253.6099999999999</v>
      </c>
      <c r="E308">
        <v>1266.99</v>
      </c>
      <c r="F308">
        <v>2337512000</v>
      </c>
      <c r="G308">
        <v>1266.99</v>
      </c>
    </row>
    <row r="309" spans="1:7" x14ac:dyDescent="0.25">
      <c r="A309" s="5">
        <v>38747</v>
      </c>
      <c r="B309">
        <v>1283.72</v>
      </c>
      <c r="C309">
        <v>1287.94</v>
      </c>
      <c r="D309">
        <v>1261.02</v>
      </c>
      <c r="E309">
        <v>1264.03</v>
      </c>
      <c r="F309">
        <v>2485592000</v>
      </c>
      <c r="G309">
        <v>1264.03</v>
      </c>
    </row>
    <row r="310" spans="1:7" x14ac:dyDescent="0.25">
      <c r="A310" s="5">
        <v>38740</v>
      </c>
      <c r="B310">
        <v>1261.49</v>
      </c>
      <c r="C310">
        <v>1286.3800000000001</v>
      </c>
      <c r="D310">
        <v>1259.42</v>
      </c>
      <c r="E310">
        <v>1283.72</v>
      </c>
      <c r="F310">
        <v>2592450000</v>
      </c>
      <c r="G310">
        <v>1283.72</v>
      </c>
    </row>
    <row r="311" spans="1:7" x14ac:dyDescent="0.25">
      <c r="A311" s="5">
        <v>38734</v>
      </c>
      <c r="B311">
        <v>1287.6099999999999</v>
      </c>
      <c r="C311">
        <v>1287.79</v>
      </c>
      <c r="D311">
        <v>1260.92</v>
      </c>
      <c r="E311">
        <v>1261.49</v>
      </c>
      <c r="F311">
        <v>2425750000</v>
      </c>
      <c r="G311">
        <v>1261.49</v>
      </c>
    </row>
    <row r="312" spans="1:7" x14ac:dyDescent="0.25">
      <c r="A312" s="5">
        <v>38726</v>
      </c>
      <c r="B312">
        <v>1285.45</v>
      </c>
      <c r="C312">
        <v>1294.9000000000001</v>
      </c>
      <c r="D312">
        <v>1282.78</v>
      </c>
      <c r="E312">
        <v>1287.6099999999999</v>
      </c>
      <c r="F312">
        <v>2321112000</v>
      </c>
      <c r="G312">
        <v>1287.6099999999999</v>
      </c>
    </row>
    <row r="313" spans="1:7" x14ac:dyDescent="0.25">
      <c r="A313" s="5">
        <v>38720</v>
      </c>
      <c r="B313">
        <v>1248.29</v>
      </c>
      <c r="C313">
        <v>1286.0899999999999</v>
      </c>
      <c r="D313">
        <v>1245.74</v>
      </c>
      <c r="E313">
        <v>1285.45</v>
      </c>
      <c r="F313">
        <v>2487450000</v>
      </c>
      <c r="G313">
        <v>1285.45</v>
      </c>
    </row>
    <row r="314" spans="1:7" x14ac:dyDescent="0.25">
      <c r="A314" s="5">
        <v>38713</v>
      </c>
      <c r="B314">
        <v>1268.6600000000001</v>
      </c>
      <c r="C314">
        <v>1271.83</v>
      </c>
      <c r="D314">
        <v>1246.5899999999999</v>
      </c>
      <c r="E314">
        <v>1248.29</v>
      </c>
      <c r="F314">
        <v>1447217500</v>
      </c>
      <c r="G314">
        <v>1248.29</v>
      </c>
    </row>
    <row r="315" spans="1:7" x14ac:dyDescent="0.25">
      <c r="A315" s="5">
        <v>38705</v>
      </c>
      <c r="B315">
        <v>1267.32</v>
      </c>
      <c r="C315">
        <v>1270.51</v>
      </c>
      <c r="D315">
        <v>1257.21</v>
      </c>
      <c r="E315">
        <v>1268.6600000000001</v>
      </c>
      <c r="F315">
        <v>1888996000</v>
      </c>
      <c r="G315">
        <v>1268.6600000000001</v>
      </c>
    </row>
    <row r="316" spans="1:7" x14ac:dyDescent="0.25">
      <c r="A316" s="5">
        <v>38698</v>
      </c>
      <c r="B316">
        <v>1259.3699999999999</v>
      </c>
      <c r="C316">
        <v>1275.8</v>
      </c>
      <c r="D316">
        <v>1255.52</v>
      </c>
      <c r="E316">
        <v>1267.32</v>
      </c>
      <c r="F316">
        <v>2235374000</v>
      </c>
      <c r="G316">
        <v>1267.32</v>
      </c>
    </row>
    <row r="317" spans="1:7" x14ac:dyDescent="0.25">
      <c r="A317" s="5">
        <v>38691</v>
      </c>
      <c r="B317">
        <v>1265.08</v>
      </c>
      <c r="C317">
        <v>1272.8900000000001</v>
      </c>
      <c r="D317">
        <v>1250.9100000000001</v>
      </c>
      <c r="E317">
        <v>1259.3699999999999</v>
      </c>
      <c r="F317">
        <v>2121000000</v>
      </c>
      <c r="G317">
        <v>1259.3699999999999</v>
      </c>
    </row>
    <row r="318" spans="1:7" x14ac:dyDescent="0.25">
      <c r="A318" s="5">
        <v>38684</v>
      </c>
      <c r="B318">
        <v>1268.25</v>
      </c>
      <c r="C318">
        <v>1268.44</v>
      </c>
      <c r="D318">
        <v>1249.3900000000001</v>
      </c>
      <c r="E318">
        <v>1265.08</v>
      </c>
      <c r="F318">
        <v>2280068000</v>
      </c>
      <c r="G318">
        <v>1265.08</v>
      </c>
    </row>
    <row r="319" spans="1:7" x14ac:dyDescent="0.25">
      <c r="A319" s="5">
        <v>38677</v>
      </c>
      <c r="B319">
        <v>1248.27</v>
      </c>
      <c r="C319">
        <v>1270.6400000000001</v>
      </c>
      <c r="D319">
        <v>1246.9000000000001</v>
      </c>
      <c r="E319">
        <v>1268.25</v>
      </c>
      <c r="F319">
        <v>1779777500</v>
      </c>
      <c r="G319">
        <v>1268.25</v>
      </c>
    </row>
    <row r="320" spans="1:7" x14ac:dyDescent="0.25">
      <c r="A320" s="5">
        <v>38670</v>
      </c>
      <c r="B320">
        <v>1234.72</v>
      </c>
      <c r="C320">
        <v>1249.58</v>
      </c>
      <c r="D320">
        <v>1226.4100000000001</v>
      </c>
      <c r="E320">
        <v>1248.27</v>
      </c>
      <c r="F320">
        <v>2226412000</v>
      </c>
      <c r="G320">
        <v>1248.27</v>
      </c>
    </row>
    <row r="321" spans="1:7" x14ac:dyDescent="0.25">
      <c r="A321" s="5">
        <v>38663</v>
      </c>
      <c r="B321">
        <v>1220.1400000000001</v>
      </c>
      <c r="C321">
        <v>1235.7</v>
      </c>
      <c r="D321">
        <v>1215.05</v>
      </c>
      <c r="E321">
        <v>1234.72</v>
      </c>
      <c r="F321">
        <v>2063738000</v>
      </c>
      <c r="G321">
        <v>1234.72</v>
      </c>
    </row>
    <row r="322" spans="1:7" x14ac:dyDescent="0.25">
      <c r="A322" s="5">
        <v>38656</v>
      </c>
      <c r="B322">
        <v>1198.4100000000001</v>
      </c>
      <c r="C322">
        <v>1224.7</v>
      </c>
      <c r="D322">
        <v>1198.4100000000001</v>
      </c>
      <c r="E322">
        <v>1220.1400000000001</v>
      </c>
      <c r="F322">
        <v>2488110000</v>
      </c>
      <c r="G322">
        <v>1220.1400000000001</v>
      </c>
    </row>
    <row r="323" spans="1:7" x14ac:dyDescent="0.25">
      <c r="A323" s="5">
        <v>38649</v>
      </c>
      <c r="B323">
        <v>1179.5899999999999</v>
      </c>
      <c r="C323">
        <v>1204.01</v>
      </c>
      <c r="D323">
        <v>1178.8900000000001</v>
      </c>
      <c r="E323">
        <v>1198.4100000000001</v>
      </c>
      <c r="F323">
        <v>2350556000</v>
      </c>
      <c r="G323">
        <v>1198.4100000000001</v>
      </c>
    </row>
    <row r="324" spans="1:7" x14ac:dyDescent="0.25">
      <c r="A324" s="5">
        <v>38642</v>
      </c>
      <c r="B324">
        <v>1186.57</v>
      </c>
      <c r="C324">
        <v>1197.3</v>
      </c>
      <c r="D324">
        <v>1170.55</v>
      </c>
      <c r="E324">
        <v>1179.5899999999999</v>
      </c>
      <c r="F324">
        <v>2408668000</v>
      </c>
      <c r="G324">
        <v>1179.5899999999999</v>
      </c>
    </row>
    <row r="325" spans="1:7" x14ac:dyDescent="0.25">
      <c r="A325" s="5">
        <v>38635</v>
      </c>
      <c r="B325">
        <v>1195.9000000000001</v>
      </c>
      <c r="C325">
        <v>1196.52</v>
      </c>
      <c r="D325">
        <v>1168.2</v>
      </c>
      <c r="E325">
        <v>1186.57</v>
      </c>
      <c r="F325">
        <v>2305280000</v>
      </c>
      <c r="G325">
        <v>1186.57</v>
      </c>
    </row>
    <row r="326" spans="1:7" x14ac:dyDescent="0.25">
      <c r="A326" s="5">
        <v>38628</v>
      </c>
      <c r="B326">
        <v>1228.81</v>
      </c>
      <c r="C326">
        <v>1233.3399999999999</v>
      </c>
      <c r="D326">
        <v>1181.92</v>
      </c>
      <c r="E326">
        <v>1195.9000000000001</v>
      </c>
      <c r="F326">
        <v>2380760000</v>
      </c>
      <c r="G326">
        <v>1195.9000000000001</v>
      </c>
    </row>
    <row r="327" spans="1:7" x14ac:dyDescent="0.25">
      <c r="A327" s="5">
        <v>38621</v>
      </c>
      <c r="B327">
        <v>1215.29</v>
      </c>
      <c r="C327">
        <v>1229.57</v>
      </c>
      <c r="D327">
        <v>1211.1099999999999</v>
      </c>
      <c r="E327">
        <v>1228.81</v>
      </c>
      <c r="F327">
        <v>2075822000</v>
      </c>
      <c r="G327">
        <v>1228.81</v>
      </c>
    </row>
    <row r="328" spans="1:7" x14ac:dyDescent="0.25">
      <c r="A328" s="5">
        <v>38614</v>
      </c>
      <c r="B328">
        <v>1237.9100000000001</v>
      </c>
      <c r="C328">
        <v>1237.9100000000001</v>
      </c>
      <c r="D328">
        <v>1205.3499999999999</v>
      </c>
      <c r="E328">
        <v>1215.29</v>
      </c>
      <c r="F328">
        <v>2268336000</v>
      </c>
      <c r="G328">
        <v>1215.29</v>
      </c>
    </row>
    <row r="329" spans="1:7" x14ac:dyDescent="0.25">
      <c r="A329" s="5">
        <v>38607</v>
      </c>
      <c r="B329">
        <v>1241.48</v>
      </c>
      <c r="C329">
        <v>1242.5999999999999</v>
      </c>
      <c r="D329">
        <v>1224.8499999999999</v>
      </c>
      <c r="E329">
        <v>1237.9100000000001</v>
      </c>
      <c r="F329">
        <v>2247794000</v>
      </c>
      <c r="G329">
        <v>1237.9100000000001</v>
      </c>
    </row>
    <row r="330" spans="1:7" x14ac:dyDescent="0.25">
      <c r="A330" s="5">
        <v>38601</v>
      </c>
      <c r="B330">
        <v>1218.02</v>
      </c>
      <c r="C330">
        <v>1243.1300000000001</v>
      </c>
      <c r="D330">
        <v>1218.02</v>
      </c>
      <c r="E330">
        <v>1241.48</v>
      </c>
      <c r="F330">
        <v>1986932500</v>
      </c>
      <c r="G330">
        <v>1241.48</v>
      </c>
    </row>
    <row r="331" spans="1:7" x14ac:dyDescent="0.25">
      <c r="A331" s="5">
        <v>38593</v>
      </c>
      <c r="B331">
        <v>1205.0999999999999</v>
      </c>
      <c r="C331">
        <v>1227.29</v>
      </c>
      <c r="D331">
        <v>1201.07</v>
      </c>
      <c r="E331">
        <v>1218.02</v>
      </c>
      <c r="F331">
        <v>1950290000</v>
      </c>
      <c r="G331">
        <v>1218.02</v>
      </c>
    </row>
    <row r="332" spans="1:7" x14ac:dyDescent="0.25">
      <c r="A332" s="5">
        <v>38586</v>
      </c>
      <c r="B332">
        <v>1219.71</v>
      </c>
      <c r="C332">
        <v>1228.96</v>
      </c>
      <c r="D332">
        <v>1204.23</v>
      </c>
      <c r="E332">
        <v>1205.0999999999999</v>
      </c>
      <c r="F332">
        <v>1668590000</v>
      </c>
      <c r="G332">
        <v>1205.0999999999999</v>
      </c>
    </row>
    <row r="333" spans="1:7" x14ac:dyDescent="0.25">
      <c r="A333" s="5">
        <v>38579</v>
      </c>
      <c r="B333">
        <v>1230.4000000000001</v>
      </c>
      <c r="C333">
        <v>1236.24</v>
      </c>
      <c r="D333">
        <v>1215.93</v>
      </c>
      <c r="E333">
        <v>1219.71</v>
      </c>
      <c r="F333">
        <v>1721880000</v>
      </c>
      <c r="G333">
        <v>1219.71</v>
      </c>
    </row>
    <row r="334" spans="1:7" x14ac:dyDescent="0.25">
      <c r="A334" s="5">
        <v>38572</v>
      </c>
      <c r="B334">
        <v>1226.42</v>
      </c>
      <c r="C334">
        <v>1242.69</v>
      </c>
      <c r="D334">
        <v>1222.67</v>
      </c>
      <c r="E334">
        <v>1230.3900000000001</v>
      </c>
      <c r="F334">
        <v>1904968000</v>
      </c>
      <c r="G334">
        <v>1230.3900000000001</v>
      </c>
    </row>
    <row r="335" spans="1:7" x14ac:dyDescent="0.25">
      <c r="A335" s="5">
        <v>38565</v>
      </c>
      <c r="B335">
        <v>1234.18</v>
      </c>
      <c r="C335">
        <v>1245.8599999999999</v>
      </c>
      <c r="D335">
        <v>1225.6199999999999</v>
      </c>
      <c r="E335">
        <v>1226.42</v>
      </c>
      <c r="F335">
        <v>1934294000</v>
      </c>
      <c r="G335">
        <v>1226.42</v>
      </c>
    </row>
    <row r="336" spans="1:7" x14ac:dyDescent="0.25">
      <c r="A336" s="5">
        <v>38558</v>
      </c>
      <c r="B336">
        <v>1233.68</v>
      </c>
      <c r="C336">
        <v>1245.1500000000001</v>
      </c>
      <c r="D336">
        <v>1228.1500000000001</v>
      </c>
      <c r="E336">
        <v>1234.18</v>
      </c>
      <c r="F336">
        <v>1877768000</v>
      </c>
      <c r="G336">
        <v>1234.18</v>
      </c>
    </row>
    <row r="337" spans="1:7" x14ac:dyDescent="0.25">
      <c r="A337" s="5">
        <v>38551</v>
      </c>
      <c r="B337">
        <v>1227.92</v>
      </c>
      <c r="C337">
        <v>1236.56</v>
      </c>
      <c r="D337">
        <v>1221.1300000000001</v>
      </c>
      <c r="E337">
        <v>1233.68</v>
      </c>
      <c r="F337">
        <v>1916710000</v>
      </c>
      <c r="G337">
        <v>1233.68</v>
      </c>
    </row>
    <row r="338" spans="1:7" x14ac:dyDescent="0.25">
      <c r="A338" s="5">
        <v>38544</v>
      </c>
      <c r="B338">
        <v>1211.8599999999999</v>
      </c>
      <c r="C338">
        <v>1233.1600000000001</v>
      </c>
      <c r="D338">
        <v>1211.8599999999999</v>
      </c>
      <c r="E338">
        <v>1227.92</v>
      </c>
      <c r="F338">
        <v>1871184000</v>
      </c>
      <c r="G338">
        <v>1227.92</v>
      </c>
    </row>
    <row r="339" spans="1:7" x14ac:dyDescent="0.25">
      <c r="A339" s="5">
        <v>38538</v>
      </c>
      <c r="B339">
        <v>1194.44</v>
      </c>
      <c r="C339">
        <v>1212.73</v>
      </c>
      <c r="D339">
        <v>1183.55</v>
      </c>
      <c r="E339">
        <v>1211.8599999999999</v>
      </c>
      <c r="F339">
        <v>1885635000</v>
      </c>
      <c r="G339">
        <v>1211.8599999999999</v>
      </c>
    </row>
    <row r="340" spans="1:7" x14ac:dyDescent="0.25">
      <c r="A340" s="5">
        <v>38530</v>
      </c>
      <c r="B340">
        <v>1191.57</v>
      </c>
      <c r="C340">
        <v>1204.07</v>
      </c>
      <c r="D340">
        <v>1188.3</v>
      </c>
      <c r="E340">
        <v>1194.44</v>
      </c>
      <c r="F340">
        <v>1796724000</v>
      </c>
      <c r="G340">
        <v>1194.44</v>
      </c>
    </row>
    <row r="341" spans="1:7" x14ac:dyDescent="0.25">
      <c r="A341" s="5">
        <v>38523</v>
      </c>
      <c r="B341">
        <v>1216.96</v>
      </c>
      <c r="C341">
        <v>1219.5899999999999</v>
      </c>
      <c r="D341">
        <v>1191.45</v>
      </c>
      <c r="E341">
        <v>1191.57</v>
      </c>
      <c r="F341">
        <v>1941440000</v>
      </c>
      <c r="G341">
        <v>1191.57</v>
      </c>
    </row>
    <row r="342" spans="1:7" x14ac:dyDescent="0.25">
      <c r="A342" s="5">
        <v>38516</v>
      </c>
      <c r="B342">
        <v>1198.1099999999999</v>
      </c>
      <c r="C342">
        <v>1219.55</v>
      </c>
      <c r="D342">
        <v>1194.51</v>
      </c>
      <c r="E342">
        <v>1216.96</v>
      </c>
      <c r="F342">
        <v>1876670000</v>
      </c>
      <c r="G342">
        <v>1216.96</v>
      </c>
    </row>
    <row r="343" spans="1:7" x14ac:dyDescent="0.25">
      <c r="A343" s="5">
        <v>38509</v>
      </c>
      <c r="B343">
        <v>1196.02</v>
      </c>
      <c r="C343">
        <v>1208.8499999999999</v>
      </c>
      <c r="D343">
        <v>1191.0899999999999</v>
      </c>
      <c r="E343">
        <v>1198.1099999999999</v>
      </c>
      <c r="F343">
        <v>1720456000</v>
      </c>
      <c r="G343">
        <v>1198.1099999999999</v>
      </c>
    </row>
    <row r="344" spans="1:7" x14ac:dyDescent="0.25">
      <c r="A344" s="5">
        <v>38503</v>
      </c>
      <c r="B344">
        <v>1198.78</v>
      </c>
      <c r="C344">
        <v>1205.6400000000001</v>
      </c>
      <c r="D344">
        <v>1191.03</v>
      </c>
      <c r="E344">
        <v>1196.02</v>
      </c>
      <c r="F344">
        <v>1773022500</v>
      </c>
      <c r="G344">
        <v>1196.02</v>
      </c>
    </row>
    <row r="345" spans="1:7" x14ac:dyDescent="0.25">
      <c r="A345" s="5">
        <v>38495</v>
      </c>
      <c r="B345">
        <v>1189.28</v>
      </c>
      <c r="C345">
        <v>1199.56</v>
      </c>
      <c r="D345">
        <v>1185.96</v>
      </c>
      <c r="E345">
        <v>1198.78</v>
      </c>
      <c r="F345">
        <v>1627978000</v>
      </c>
      <c r="G345">
        <v>1198.78</v>
      </c>
    </row>
    <row r="346" spans="1:7" x14ac:dyDescent="0.25">
      <c r="A346" s="5">
        <v>38488</v>
      </c>
      <c r="B346">
        <v>1154.05</v>
      </c>
      <c r="C346">
        <v>1191.22</v>
      </c>
      <c r="D346">
        <v>1153.6400000000001</v>
      </c>
      <c r="E346">
        <v>1189.28</v>
      </c>
      <c r="F346">
        <v>1883610000</v>
      </c>
      <c r="G346">
        <v>1189.28</v>
      </c>
    </row>
    <row r="347" spans="1:7" x14ac:dyDescent="0.25">
      <c r="A347" s="5">
        <v>38481</v>
      </c>
      <c r="B347">
        <v>1171.3499999999999</v>
      </c>
      <c r="C347">
        <v>1178.8699999999999</v>
      </c>
      <c r="D347">
        <v>1146.18</v>
      </c>
      <c r="E347">
        <v>1154.05</v>
      </c>
      <c r="F347">
        <v>1953106000</v>
      </c>
      <c r="G347">
        <v>1154.05</v>
      </c>
    </row>
    <row r="348" spans="1:7" x14ac:dyDescent="0.25">
      <c r="A348" s="5">
        <v>38474</v>
      </c>
      <c r="B348">
        <v>1156.8499999999999</v>
      </c>
      <c r="C348">
        <v>1178.6199999999999</v>
      </c>
      <c r="D348">
        <v>1154.71</v>
      </c>
      <c r="E348">
        <v>1171.3499999999999</v>
      </c>
      <c r="F348">
        <v>2031568000</v>
      </c>
      <c r="G348">
        <v>1171.3499999999999</v>
      </c>
    </row>
    <row r="349" spans="1:7" x14ac:dyDescent="0.25">
      <c r="A349" s="5">
        <v>38467</v>
      </c>
      <c r="B349">
        <v>1152.1199999999999</v>
      </c>
      <c r="C349">
        <v>1164.8</v>
      </c>
      <c r="D349">
        <v>1139.19</v>
      </c>
      <c r="E349">
        <v>1156.8499999999999</v>
      </c>
      <c r="F349">
        <v>2090184000</v>
      </c>
      <c r="G349">
        <v>1156.8499999999999</v>
      </c>
    </row>
    <row r="350" spans="1:7" x14ac:dyDescent="0.25">
      <c r="A350" s="5">
        <v>38460</v>
      </c>
      <c r="B350">
        <v>1142.6199999999999</v>
      </c>
      <c r="C350">
        <v>1159.95</v>
      </c>
      <c r="D350">
        <v>1136.1500000000001</v>
      </c>
      <c r="E350">
        <v>1152.1199999999999</v>
      </c>
      <c r="F350">
        <v>2178972000</v>
      </c>
      <c r="G350">
        <v>1152.1199999999999</v>
      </c>
    </row>
    <row r="351" spans="1:7" x14ac:dyDescent="0.25">
      <c r="A351" s="5">
        <v>38453</v>
      </c>
      <c r="B351">
        <v>1181.2</v>
      </c>
      <c r="C351">
        <v>1190.17</v>
      </c>
      <c r="D351">
        <v>1141.92</v>
      </c>
      <c r="E351">
        <v>1142.6199999999999</v>
      </c>
      <c r="F351">
        <v>2119976000</v>
      </c>
      <c r="G351">
        <v>1142.6199999999999</v>
      </c>
    </row>
    <row r="352" spans="1:7" x14ac:dyDescent="0.25">
      <c r="A352" s="5">
        <v>38446</v>
      </c>
      <c r="B352">
        <v>1172.79</v>
      </c>
      <c r="C352">
        <v>1191.8800000000001</v>
      </c>
      <c r="D352">
        <v>1167.72</v>
      </c>
      <c r="E352">
        <v>1181.2</v>
      </c>
      <c r="F352">
        <v>1861984000</v>
      </c>
      <c r="G352">
        <v>1181.2</v>
      </c>
    </row>
    <row r="353" spans="1:7" x14ac:dyDescent="0.25">
      <c r="A353" s="5">
        <v>38439</v>
      </c>
      <c r="B353">
        <v>1171.42</v>
      </c>
      <c r="C353">
        <v>1189.8</v>
      </c>
      <c r="D353">
        <v>1163.69</v>
      </c>
      <c r="E353">
        <v>1172.92</v>
      </c>
      <c r="F353">
        <v>2089900000</v>
      </c>
      <c r="G353">
        <v>1172.92</v>
      </c>
    </row>
    <row r="354" spans="1:7" x14ac:dyDescent="0.25">
      <c r="A354" s="5">
        <v>38432</v>
      </c>
      <c r="B354">
        <v>1189.6500000000001</v>
      </c>
      <c r="C354">
        <v>1189.6500000000001</v>
      </c>
      <c r="D354">
        <v>1168.7</v>
      </c>
      <c r="E354">
        <v>1171.42</v>
      </c>
      <c r="F354">
        <v>1975625000</v>
      </c>
      <c r="G354">
        <v>1171.42</v>
      </c>
    </row>
    <row r="355" spans="1:7" x14ac:dyDescent="0.25">
      <c r="A355" s="5">
        <v>38425</v>
      </c>
      <c r="B355">
        <v>1200.08</v>
      </c>
      <c r="C355">
        <v>1210.54</v>
      </c>
      <c r="D355">
        <v>1182.78</v>
      </c>
      <c r="E355">
        <v>1189.6500000000001</v>
      </c>
      <c r="F355">
        <v>1706090000</v>
      </c>
      <c r="G355">
        <v>1189.6500000000001</v>
      </c>
    </row>
    <row r="356" spans="1:7" x14ac:dyDescent="0.25">
      <c r="A356" s="5">
        <v>38418</v>
      </c>
      <c r="B356">
        <v>1222.1199999999999</v>
      </c>
      <c r="C356">
        <v>1229.1099999999999</v>
      </c>
      <c r="D356">
        <v>1198.1500000000001</v>
      </c>
      <c r="E356">
        <v>1200.08</v>
      </c>
      <c r="F356">
        <v>1554146000</v>
      </c>
      <c r="G356">
        <v>1200.08</v>
      </c>
    </row>
    <row r="357" spans="1:7" x14ac:dyDescent="0.25">
      <c r="A357" s="5">
        <v>38411</v>
      </c>
      <c r="B357">
        <v>1211.3699999999999</v>
      </c>
      <c r="C357">
        <v>1224.76</v>
      </c>
      <c r="D357">
        <v>1198.1300000000001</v>
      </c>
      <c r="E357">
        <v>1222.1199999999999</v>
      </c>
      <c r="F357">
        <v>1665028000</v>
      </c>
      <c r="G357">
        <v>1222.1199999999999</v>
      </c>
    </row>
    <row r="358" spans="1:7" x14ac:dyDescent="0.25">
      <c r="A358" s="5">
        <v>38405</v>
      </c>
      <c r="B358">
        <v>1201.5899999999999</v>
      </c>
      <c r="C358">
        <v>1212.1500000000001</v>
      </c>
      <c r="D358">
        <v>1184.1600000000001</v>
      </c>
      <c r="E358">
        <v>1211.3699999999999</v>
      </c>
      <c r="F358">
        <v>1572115000</v>
      </c>
      <c r="G358">
        <v>1211.3699999999999</v>
      </c>
    </row>
    <row r="359" spans="1:7" x14ac:dyDescent="0.25">
      <c r="A359" s="5">
        <v>38397</v>
      </c>
      <c r="B359">
        <v>1205.3</v>
      </c>
      <c r="C359">
        <v>1212.44</v>
      </c>
      <c r="D359">
        <v>1197.3499999999999</v>
      </c>
      <c r="E359">
        <v>1201.5899999999999</v>
      </c>
      <c r="F359">
        <v>1487736000</v>
      </c>
      <c r="G359">
        <v>1201.5899999999999</v>
      </c>
    </row>
    <row r="360" spans="1:7" x14ac:dyDescent="0.25">
      <c r="A360" s="5">
        <v>38390</v>
      </c>
      <c r="B360">
        <v>1203.03</v>
      </c>
      <c r="C360">
        <v>1208.3800000000001</v>
      </c>
      <c r="D360">
        <v>1191.54</v>
      </c>
      <c r="E360">
        <v>1205.3</v>
      </c>
      <c r="F360">
        <v>1465690000</v>
      </c>
      <c r="G360">
        <v>1205.3</v>
      </c>
    </row>
    <row r="361" spans="1:7" x14ac:dyDescent="0.25">
      <c r="A361" s="5">
        <v>38383</v>
      </c>
      <c r="B361">
        <v>1171.3599999999999</v>
      </c>
      <c r="C361">
        <v>1203.47</v>
      </c>
      <c r="D361">
        <v>1171.3599999999999</v>
      </c>
      <c r="E361">
        <v>1203.03</v>
      </c>
      <c r="F361">
        <v>1625228000</v>
      </c>
      <c r="G361">
        <v>1203.03</v>
      </c>
    </row>
    <row r="362" spans="1:7" x14ac:dyDescent="0.25">
      <c r="A362" s="5">
        <v>38376</v>
      </c>
      <c r="B362">
        <v>1167.8699999999999</v>
      </c>
      <c r="C362">
        <v>1177.5</v>
      </c>
      <c r="D362">
        <v>1163.75</v>
      </c>
      <c r="E362">
        <v>1171.3599999999999</v>
      </c>
      <c r="F362">
        <v>1596660000</v>
      </c>
      <c r="G362">
        <v>1171.3599999999999</v>
      </c>
    </row>
    <row r="363" spans="1:7" x14ac:dyDescent="0.25">
      <c r="A363" s="5">
        <v>38370</v>
      </c>
      <c r="B363">
        <v>1184.52</v>
      </c>
      <c r="C363">
        <v>1195.98</v>
      </c>
      <c r="D363">
        <v>1167.82</v>
      </c>
      <c r="E363">
        <v>1167.8699999999999</v>
      </c>
      <c r="F363">
        <v>1607750000</v>
      </c>
      <c r="G363">
        <v>1167.8699999999999</v>
      </c>
    </row>
    <row r="364" spans="1:7" x14ac:dyDescent="0.25">
      <c r="A364" s="5">
        <v>38362</v>
      </c>
      <c r="B364">
        <v>1186.19</v>
      </c>
      <c r="C364">
        <v>1194.78</v>
      </c>
      <c r="D364">
        <v>1175.6400000000001</v>
      </c>
      <c r="E364">
        <v>1184.52</v>
      </c>
      <c r="F364">
        <v>1477400000</v>
      </c>
      <c r="G364">
        <v>1184.52</v>
      </c>
    </row>
    <row r="365" spans="1:7" x14ac:dyDescent="0.25">
      <c r="A365" s="5">
        <v>38355</v>
      </c>
      <c r="B365">
        <v>1211.92</v>
      </c>
      <c r="C365">
        <v>1217.8</v>
      </c>
      <c r="D365">
        <v>1182.1600000000001</v>
      </c>
      <c r="E365">
        <v>1186.19</v>
      </c>
      <c r="F365">
        <v>1603540000</v>
      </c>
      <c r="G365">
        <v>1186.19</v>
      </c>
    </row>
    <row r="366" spans="1:7" x14ac:dyDescent="0.25">
      <c r="A366" s="5">
        <v>38348</v>
      </c>
      <c r="B366">
        <v>1210.1300000000001</v>
      </c>
      <c r="C366">
        <v>1217.33</v>
      </c>
      <c r="D366">
        <v>1204.92</v>
      </c>
      <c r="E366">
        <v>1211.92</v>
      </c>
      <c r="F366">
        <v>889520000</v>
      </c>
      <c r="G366">
        <v>1211.92</v>
      </c>
    </row>
    <row r="367" spans="1:7" x14ac:dyDescent="0.25">
      <c r="A367" s="5">
        <v>38341</v>
      </c>
      <c r="B367">
        <v>1194.2</v>
      </c>
      <c r="C367">
        <v>1213.6600000000001</v>
      </c>
      <c r="D367">
        <v>1193.3599999999999</v>
      </c>
      <c r="E367">
        <v>1210.1300000000001</v>
      </c>
      <c r="F367">
        <v>1313350000</v>
      </c>
      <c r="G367">
        <v>1210.1300000000001</v>
      </c>
    </row>
    <row r="368" spans="1:7" x14ac:dyDescent="0.25">
      <c r="A368" s="5">
        <v>38334</v>
      </c>
      <c r="B368">
        <v>1188</v>
      </c>
      <c r="C368">
        <v>1207.97</v>
      </c>
      <c r="D368">
        <v>1188</v>
      </c>
      <c r="E368">
        <v>1194.2</v>
      </c>
      <c r="F368">
        <v>1761040000</v>
      </c>
      <c r="G368">
        <v>1194.2</v>
      </c>
    </row>
    <row r="369" spans="1:7" x14ac:dyDescent="0.25">
      <c r="A369" s="5">
        <v>38327</v>
      </c>
      <c r="B369">
        <v>1191.17</v>
      </c>
      <c r="C369">
        <v>1192.4100000000001</v>
      </c>
      <c r="D369">
        <v>1173.79</v>
      </c>
      <c r="E369">
        <v>1188</v>
      </c>
      <c r="F369">
        <v>1496380000</v>
      </c>
      <c r="G369">
        <v>1188</v>
      </c>
    </row>
    <row r="370" spans="1:7" x14ac:dyDescent="0.25">
      <c r="A370" s="5">
        <v>38320</v>
      </c>
      <c r="B370">
        <v>1182.6500000000001</v>
      </c>
      <c r="C370">
        <v>1197.46</v>
      </c>
      <c r="D370">
        <v>1172.3699999999999</v>
      </c>
      <c r="E370">
        <v>1191.17</v>
      </c>
      <c r="F370">
        <v>1609280000</v>
      </c>
      <c r="G370">
        <v>1191.17</v>
      </c>
    </row>
    <row r="371" spans="1:7" x14ac:dyDescent="0.25">
      <c r="A371" s="5">
        <v>38313</v>
      </c>
      <c r="B371">
        <v>1170.3399999999999</v>
      </c>
      <c r="C371">
        <v>1186.6199999999999</v>
      </c>
      <c r="D371">
        <v>1167.8900000000001</v>
      </c>
      <c r="E371">
        <v>1182.6500000000001</v>
      </c>
      <c r="F371">
        <v>1118795000</v>
      </c>
      <c r="G371">
        <v>1182.6500000000001</v>
      </c>
    </row>
    <row r="372" spans="1:7" x14ac:dyDescent="0.25">
      <c r="A372" s="5">
        <v>38306</v>
      </c>
      <c r="B372">
        <v>1184.17</v>
      </c>
      <c r="C372">
        <v>1188.46</v>
      </c>
      <c r="D372">
        <v>1169.19</v>
      </c>
      <c r="E372">
        <v>1170.3399999999999</v>
      </c>
      <c r="F372">
        <v>1497040000</v>
      </c>
      <c r="G372">
        <v>1170.3399999999999</v>
      </c>
    </row>
    <row r="373" spans="1:7" x14ac:dyDescent="0.25">
      <c r="A373" s="5">
        <v>38299</v>
      </c>
      <c r="B373">
        <v>1166.17</v>
      </c>
      <c r="C373">
        <v>1184.17</v>
      </c>
      <c r="D373">
        <v>1162.32</v>
      </c>
      <c r="E373">
        <v>1184.17</v>
      </c>
      <c r="F373">
        <v>1447680000</v>
      </c>
      <c r="G373">
        <v>1184.17</v>
      </c>
    </row>
    <row r="374" spans="1:7" x14ac:dyDescent="0.25">
      <c r="A374" s="5">
        <v>38292</v>
      </c>
      <c r="B374">
        <v>1130.2</v>
      </c>
      <c r="C374">
        <v>1170.8699999999999</v>
      </c>
      <c r="D374">
        <v>1127.5999999999999</v>
      </c>
      <c r="E374">
        <v>1166.17</v>
      </c>
      <c r="F374">
        <v>1665900000</v>
      </c>
      <c r="G374">
        <v>1166.17</v>
      </c>
    </row>
    <row r="375" spans="1:7" x14ac:dyDescent="0.25">
      <c r="A375" s="5">
        <v>38285</v>
      </c>
      <c r="B375">
        <v>1095.74</v>
      </c>
      <c r="C375">
        <v>1131.4000000000001</v>
      </c>
      <c r="D375">
        <v>1090.29</v>
      </c>
      <c r="E375">
        <v>1130.2</v>
      </c>
      <c r="F375">
        <v>1587360000</v>
      </c>
      <c r="G375">
        <v>1130.2</v>
      </c>
    </row>
    <row r="376" spans="1:7" x14ac:dyDescent="0.25">
      <c r="A376" s="5">
        <v>38278</v>
      </c>
      <c r="B376">
        <v>1108.2</v>
      </c>
      <c r="C376">
        <v>1117.96</v>
      </c>
      <c r="D376">
        <v>1094.25</v>
      </c>
      <c r="E376">
        <v>1095.74</v>
      </c>
      <c r="F376">
        <v>1587820000</v>
      </c>
      <c r="G376">
        <v>1095.74</v>
      </c>
    </row>
    <row r="377" spans="1:7" x14ac:dyDescent="0.25">
      <c r="A377" s="5">
        <v>38271</v>
      </c>
      <c r="B377">
        <v>1122.1400000000001</v>
      </c>
      <c r="C377">
        <v>1127.01</v>
      </c>
      <c r="D377">
        <v>1102.06</v>
      </c>
      <c r="E377">
        <v>1108.2</v>
      </c>
      <c r="F377">
        <v>1388940000</v>
      </c>
      <c r="G377">
        <v>1108.2</v>
      </c>
    </row>
    <row r="378" spans="1:7" x14ac:dyDescent="0.25">
      <c r="A378" s="5">
        <v>38264</v>
      </c>
      <c r="B378">
        <v>1131.5</v>
      </c>
      <c r="C378">
        <v>1142.05</v>
      </c>
      <c r="D378">
        <v>1120.19</v>
      </c>
      <c r="E378">
        <v>1122.1400000000001</v>
      </c>
      <c r="F378">
        <v>1421640000</v>
      </c>
      <c r="G378">
        <v>1122.1400000000001</v>
      </c>
    </row>
    <row r="379" spans="1:7" x14ac:dyDescent="0.25">
      <c r="A379" s="5">
        <v>38257</v>
      </c>
      <c r="B379">
        <v>1110.1099999999999</v>
      </c>
      <c r="C379">
        <v>1131.6400000000001</v>
      </c>
      <c r="D379">
        <v>1101.29</v>
      </c>
      <c r="E379">
        <v>1131.5</v>
      </c>
      <c r="F379">
        <v>1478640000</v>
      </c>
      <c r="G379">
        <v>1131.5</v>
      </c>
    </row>
    <row r="380" spans="1:7" x14ac:dyDescent="0.25">
      <c r="A380" s="5">
        <v>38250</v>
      </c>
      <c r="B380">
        <v>1128.55</v>
      </c>
      <c r="C380">
        <v>1131.54</v>
      </c>
      <c r="D380">
        <v>1108.05</v>
      </c>
      <c r="E380">
        <v>1110.1099999999999</v>
      </c>
      <c r="F380">
        <v>1288840000</v>
      </c>
      <c r="G380">
        <v>1110.1099999999999</v>
      </c>
    </row>
    <row r="381" spans="1:7" x14ac:dyDescent="0.25">
      <c r="A381" s="5">
        <v>38243</v>
      </c>
      <c r="B381">
        <v>1123.92</v>
      </c>
      <c r="C381">
        <v>1130.1400000000001</v>
      </c>
      <c r="D381">
        <v>1119.82</v>
      </c>
      <c r="E381">
        <v>1128.55</v>
      </c>
      <c r="F381">
        <v>1259360000</v>
      </c>
      <c r="G381">
        <v>1128.55</v>
      </c>
    </row>
    <row r="382" spans="1:7" x14ac:dyDescent="0.25">
      <c r="A382" s="5">
        <v>38237</v>
      </c>
      <c r="B382">
        <v>1113.6300000000001</v>
      </c>
      <c r="C382">
        <v>1125.26</v>
      </c>
      <c r="D382">
        <v>1113.6199999999999</v>
      </c>
      <c r="E382">
        <v>1123.92</v>
      </c>
      <c r="F382">
        <v>1273300000</v>
      </c>
      <c r="G382">
        <v>1123.92</v>
      </c>
    </row>
    <row r="383" spans="1:7" x14ac:dyDescent="0.25">
      <c r="A383" s="5">
        <v>38229</v>
      </c>
      <c r="B383">
        <v>1107.77</v>
      </c>
      <c r="C383">
        <v>1120.8</v>
      </c>
      <c r="D383">
        <v>1094.72</v>
      </c>
      <c r="E383">
        <v>1113.6300000000001</v>
      </c>
      <c r="F383">
        <v>1033194000</v>
      </c>
      <c r="G383">
        <v>1113.6300000000001</v>
      </c>
    </row>
    <row r="384" spans="1:7" x14ac:dyDescent="0.25">
      <c r="A384" s="5">
        <v>38222</v>
      </c>
      <c r="B384">
        <v>1098.3499999999999</v>
      </c>
      <c r="C384">
        <v>1109.68</v>
      </c>
      <c r="D384">
        <v>1092.82</v>
      </c>
      <c r="E384">
        <v>1107.77</v>
      </c>
      <c r="F384">
        <v>1035120000</v>
      </c>
      <c r="G384">
        <v>1107.77</v>
      </c>
    </row>
    <row r="385" spans="1:7" x14ac:dyDescent="0.25">
      <c r="A385" s="5">
        <v>38215</v>
      </c>
      <c r="B385">
        <v>1064.8</v>
      </c>
      <c r="C385">
        <v>1100.26</v>
      </c>
      <c r="D385">
        <v>1064.8</v>
      </c>
      <c r="E385">
        <v>1098.3499999999999</v>
      </c>
      <c r="F385">
        <v>1241160000</v>
      </c>
      <c r="G385">
        <v>1098.3499999999999</v>
      </c>
    </row>
    <row r="386" spans="1:7" x14ac:dyDescent="0.25">
      <c r="A386" s="5">
        <v>38208</v>
      </c>
      <c r="B386">
        <v>1063.97</v>
      </c>
      <c r="C386">
        <v>1079.04</v>
      </c>
      <c r="D386">
        <v>1060.72</v>
      </c>
      <c r="E386">
        <v>1064.8</v>
      </c>
      <c r="F386">
        <v>1264440000</v>
      </c>
      <c r="G386">
        <v>1064.8</v>
      </c>
    </row>
    <row r="387" spans="1:7" x14ac:dyDescent="0.25">
      <c r="A387" s="5">
        <v>38201</v>
      </c>
      <c r="B387">
        <v>1101.72</v>
      </c>
      <c r="C387">
        <v>1108.5999999999999</v>
      </c>
      <c r="D387">
        <v>1062.23</v>
      </c>
      <c r="E387">
        <v>1063.97</v>
      </c>
      <c r="F387">
        <v>1380380000</v>
      </c>
      <c r="G387">
        <v>1063.97</v>
      </c>
    </row>
    <row r="388" spans="1:7" x14ac:dyDescent="0.25">
      <c r="A388" s="5">
        <v>38194</v>
      </c>
      <c r="B388">
        <v>1086.2</v>
      </c>
      <c r="C388">
        <v>1103.73</v>
      </c>
      <c r="D388">
        <v>1078.78</v>
      </c>
      <c r="E388">
        <v>1101.72</v>
      </c>
      <c r="F388">
        <v>1481360000</v>
      </c>
      <c r="G388">
        <v>1101.72</v>
      </c>
    </row>
    <row r="389" spans="1:7" x14ac:dyDescent="0.25">
      <c r="A389" s="5">
        <v>38187</v>
      </c>
      <c r="B389">
        <v>1101.3900000000001</v>
      </c>
      <c r="C389">
        <v>1116.27</v>
      </c>
      <c r="D389">
        <v>1083.56</v>
      </c>
      <c r="E389">
        <v>1086.2</v>
      </c>
      <c r="F389">
        <v>1492700000</v>
      </c>
      <c r="G389">
        <v>1086.2</v>
      </c>
    </row>
    <row r="390" spans="1:7" x14ac:dyDescent="0.25">
      <c r="A390" s="5">
        <v>38180</v>
      </c>
      <c r="B390">
        <v>1112.81</v>
      </c>
      <c r="C390">
        <v>1119.5999999999999</v>
      </c>
      <c r="D390">
        <v>1101.07</v>
      </c>
      <c r="E390">
        <v>1101.3900000000001</v>
      </c>
      <c r="F390">
        <v>1327060000</v>
      </c>
      <c r="G390">
        <v>1101.3900000000001</v>
      </c>
    </row>
    <row r="391" spans="1:7" x14ac:dyDescent="0.25">
      <c r="A391" s="5">
        <v>38174</v>
      </c>
      <c r="B391">
        <v>1125.3800000000001</v>
      </c>
      <c r="C391">
        <v>1125.3800000000001</v>
      </c>
      <c r="D391">
        <v>1108.72</v>
      </c>
      <c r="E391">
        <v>1112.81</v>
      </c>
      <c r="F391">
        <v>1299825000</v>
      </c>
      <c r="G391">
        <v>1112.81</v>
      </c>
    </row>
    <row r="392" spans="1:7" x14ac:dyDescent="0.25">
      <c r="A392" s="5">
        <v>38166</v>
      </c>
      <c r="B392">
        <v>1134.43</v>
      </c>
      <c r="C392">
        <v>1144.2</v>
      </c>
      <c r="D392">
        <v>1123.06</v>
      </c>
      <c r="E392">
        <v>1125.3800000000001</v>
      </c>
      <c r="F392">
        <v>1356820000</v>
      </c>
      <c r="G392">
        <v>1125.3800000000001</v>
      </c>
    </row>
    <row r="393" spans="1:7" x14ac:dyDescent="0.25">
      <c r="A393" s="5">
        <v>38159</v>
      </c>
      <c r="B393">
        <v>1135.02</v>
      </c>
      <c r="C393">
        <v>1146.3399999999999</v>
      </c>
      <c r="D393">
        <v>1124.3699999999999</v>
      </c>
      <c r="E393">
        <v>1134.43</v>
      </c>
      <c r="F393">
        <v>1431640000</v>
      </c>
      <c r="G393">
        <v>1134.43</v>
      </c>
    </row>
    <row r="394" spans="1:7" x14ac:dyDescent="0.25">
      <c r="A394" s="5">
        <v>38152</v>
      </c>
      <c r="B394">
        <v>1136.47</v>
      </c>
      <c r="C394">
        <v>1138.96</v>
      </c>
      <c r="D394">
        <v>1122.1600000000001</v>
      </c>
      <c r="E394">
        <v>1135.02</v>
      </c>
      <c r="F394">
        <v>1298200000</v>
      </c>
      <c r="G394">
        <v>1135.02</v>
      </c>
    </row>
    <row r="395" spans="1:7" x14ac:dyDescent="0.25">
      <c r="A395" s="5">
        <v>38145</v>
      </c>
      <c r="B395">
        <v>1122.5</v>
      </c>
      <c r="C395">
        <v>1142.18</v>
      </c>
      <c r="D395">
        <v>1122.5</v>
      </c>
      <c r="E395">
        <v>1136.47</v>
      </c>
      <c r="F395">
        <v>1209875000</v>
      </c>
      <c r="G395">
        <v>1136.47</v>
      </c>
    </row>
    <row r="396" spans="1:7" x14ac:dyDescent="0.25">
      <c r="A396" s="5">
        <v>38139</v>
      </c>
      <c r="B396">
        <v>1120.68</v>
      </c>
      <c r="C396">
        <v>1129.17</v>
      </c>
      <c r="D396">
        <v>1113.32</v>
      </c>
      <c r="E396">
        <v>1122.5</v>
      </c>
      <c r="F396">
        <v>1209350000</v>
      </c>
      <c r="G396">
        <v>1122.5</v>
      </c>
    </row>
    <row r="397" spans="1:7" x14ac:dyDescent="0.25">
      <c r="A397" s="5">
        <v>38131</v>
      </c>
      <c r="B397">
        <v>1093.56</v>
      </c>
      <c r="C397">
        <v>1123.95</v>
      </c>
      <c r="D397">
        <v>1090.74</v>
      </c>
      <c r="E397">
        <v>1120.68</v>
      </c>
      <c r="F397">
        <v>1352540000</v>
      </c>
      <c r="G397">
        <v>1120.68</v>
      </c>
    </row>
    <row r="398" spans="1:7" x14ac:dyDescent="0.25">
      <c r="A398" s="5">
        <v>38124</v>
      </c>
      <c r="B398">
        <v>1095.7</v>
      </c>
      <c r="C398">
        <v>1105.93</v>
      </c>
      <c r="D398">
        <v>1079.3599999999999</v>
      </c>
      <c r="E398">
        <v>1093.56</v>
      </c>
      <c r="F398">
        <v>1360260000</v>
      </c>
      <c r="G398">
        <v>1093.56</v>
      </c>
    </row>
    <row r="399" spans="1:7" x14ac:dyDescent="0.25">
      <c r="A399" s="5">
        <v>38117</v>
      </c>
      <c r="B399">
        <v>1098.7</v>
      </c>
      <c r="C399">
        <v>1102.77</v>
      </c>
      <c r="D399">
        <v>1076.32</v>
      </c>
      <c r="E399">
        <v>1095.7</v>
      </c>
      <c r="F399">
        <v>1579360000</v>
      </c>
      <c r="G399">
        <v>1095.7</v>
      </c>
    </row>
    <row r="400" spans="1:7" x14ac:dyDescent="0.25">
      <c r="A400" s="5">
        <v>38110</v>
      </c>
      <c r="B400">
        <v>1107.3</v>
      </c>
      <c r="C400">
        <v>1127.74</v>
      </c>
      <c r="D400">
        <v>1098.6300000000001</v>
      </c>
      <c r="E400">
        <v>1098.7</v>
      </c>
      <c r="F400">
        <v>1573120000</v>
      </c>
      <c r="G400">
        <v>1098.7</v>
      </c>
    </row>
    <row r="401" spans="1:7" x14ac:dyDescent="0.25">
      <c r="A401" s="5">
        <v>38103</v>
      </c>
      <c r="B401">
        <v>1140.5999999999999</v>
      </c>
      <c r="C401">
        <v>1146.56</v>
      </c>
      <c r="D401">
        <v>1107.23</v>
      </c>
      <c r="E401">
        <v>1107.3</v>
      </c>
      <c r="F401">
        <v>1631580000</v>
      </c>
      <c r="G401">
        <v>1107.3</v>
      </c>
    </row>
    <row r="402" spans="1:7" x14ac:dyDescent="0.25">
      <c r="A402" s="5">
        <v>38096</v>
      </c>
      <c r="B402">
        <v>1134.56</v>
      </c>
      <c r="C402">
        <v>1142.77</v>
      </c>
      <c r="D402">
        <v>1116.03</v>
      </c>
      <c r="E402">
        <v>1140.5999999999999</v>
      </c>
      <c r="F402">
        <v>1532860000</v>
      </c>
      <c r="G402">
        <v>1140.5999999999999</v>
      </c>
    </row>
    <row r="403" spans="1:7" x14ac:dyDescent="0.25">
      <c r="A403" s="5">
        <v>38089</v>
      </c>
      <c r="B403">
        <v>1139.32</v>
      </c>
      <c r="C403">
        <v>1147.78</v>
      </c>
      <c r="D403">
        <v>1120.75</v>
      </c>
      <c r="E403">
        <v>1134.6099999999999</v>
      </c>
      <c r="F403">
        <v>1425960000</v>
      </c>
      <c r="G403">
        <v>1134.6099999999999</v>
      </c>
    </row>
    <row r="404" spans="1:7" x14ac:dyDescent="0.25">
      <c r="A404" s="5">
        <v>38082</v>
      </c>
      <c r="B404">
        <v>1141.81</v>
      </c>
      <c r="C404">
        <v>1150.57</v>
      </c>
      <c r="D404">
        <v>1134.52</v>
      </c>
      <c r="E404">
        <v>1139.32</v>
      </c>
      <c r="F404">
        <v>1367500000</v>
      </c>
      <c r="G404">
        <v>1139.32</v>
      </c>
    </row>
    <row r="405" spans="1:7" x14ac:dyDescent="0.25">
      <c r="A405" s="5">
        <v>38075</v>
      </c>
      <c r="B405">
        <v>1108.06</v>
      </c>
      <c r="C405">
        <v>1144.81</v>
      </c>
      <c r="D405">
        <v>1108.06</v>
      </c>
      <c r="E405">
        <v>1141.81</v>
      </c>
      <c r="F405">
        <v>1497700000</v>
      </c>
      <c r="G405">
        <v>1141.81</v>
      </c>
    </row>
    <row r="406" spans="1:7" x14ac:dyDescent="0.25">
      <c r="A406" s="5">
        <v>38068</v>
      </c>
      <c r="B406">
        <v>1109.78</v>
      </c>
      <c r="C406">
        <v>1115.27</v>
      </c>
      <c r="D406">
        <v>1087.1600000000001</v>
      </c>
      <c r="E406">
        <v>1108.06</v>
      </c>
      <c r="F406">
        <v>1445820000</v>
      </c>
      <c r="G406">
        <v>1108.06</v>
      </c>
    </row>
    <row r="407" spans="1:7" x14ac:dyDescent="0.25">
      <c r="A407" s="5">
        <v>38061</v>
      </c>
      <c r="B407">
        <v>1120.57</v>
      </c>
      <c r="C407">
        <v>1125.76</v>
      </c>
      <c r="D407">
        <v>1102.6099999999999</v>
      </c>
      <c r="E407">
        <v>1109.78</v>
      </c>
      <c r="F407">
        <v>1483600000</v>
      </c>
      <c r="G407">
        <v>1109.78</v>
      </c>
    </row>
    <row r="408" spans="1:7" x14ac:dyDescent="0.25">
      <c r="A408" s="5">
        <v>38054</v>
      </c>
      <c r="B408">
        <v>1156.8599999999999</v>
      </c>
      <c r="C408">
        <v>1159.94</v>
      </c>
      <c r="D408">
        <v>1105.8699999999999</v>
      </c>
      <c r="E408">
        <v>1120.57</v>
      </c>
      <c r="F408">
        <v>1536120000</v>
      </c>
      <c r="G408">
        <v>1120.57</v>
      </c>
    </row>
    <row r="409" spans="1:7" x14ac:dyDescent="0.25">
      <c r="A409" s="5">
        <v>38047</v>
      </c>
      <c r="B409">
        <v>1144.94</v>
      </c>
      <c r="C409">
        <v>1163.23</v>
      </c>
      <c r="D409">
        <v>1143.78</v>
      </c>
      <c r="E409">
        <v>1156.8599999999999</v>
      </c>
      <c r="F409">
        <v>1394320000</v>
      </c>
      <c r="G409">
        <v>1156.8599999999999</v>
      </c>
    </row>
    <row r="410" spans="1:7" x14ac:dyDescent="0.25">
      <c r="A410" s="5">
        <v>38040</v>
      </c>
      <c r="B410">
        <v>1144.1099999999999</v>
      </c>
      <c r="C410">
        <v>1151.68</v>
      </c>
      <c r="D410">
        <v>1134.43</v>
      </c>
      <c r="E410">
        <v>1144.94</v>
      </c>
      <c r="F410">
        <v>1441800000</v>
      </c>
      <c r="G410">
        <v>1144.94</v>
      </c>
    </row>
    <row r="411" spans="1:7" x14ac:dyDescent="0.25">
      <c r="A411" s="5">
        <v>38034</v>
      </c>
      <c r="B411">
        <v>1145.81</v>
      </c>
      <c r="C411">
        <v>1158.98</v>
      </c>
      <c r="D411">
        <v>1139</v>
      </c>
      <c r="E411">
        <v>1144.1099999999999</v>
      </c>
      <c r="F411">
        <v>1455325000</v>
      </c>
      <c r="G411">
        <v>1144.1099999999999</v>
      </c>
    </row>
    <row r="412" spans="1:7" x14ac:dyDescent="0.25">
      <c r="A412" s="5">
        <v>38026</v>
      </c>
      <c r="B412">
        <v>1142.76</v>
      </c>
      <c r="C412">
        <v>1158.8900000000001</v>
      </c>
      <c r="D412">
        <v>1138.7</v>
      </c>
      <c r="E412">
        <v>1145.81</v>
      </c>
      <c r="F412">
        <v>1440040000</v>
      </c>
      <c r="G412">
        <v>1145.81</v>
      </c>
    </row>
    <row r="413" spans="1:7" x14ac:dyDescent="0.25">
      <c r="A413" s="5">
        <v>38019</v>
      </c>
      <c r="B413">
        <v>1131.1300000000001</v>
      </c>
      <c r="C413">
        <v>1142.79</v>
      </c>
      <c r="D413">
        <v>1124.44</v>
      </c>
      <c r="E413">
        <v>1142.76</v>
      </c>
      <c r="F413">
        <v>1551020000</v>
      </c>
      <c r="G413">
        <v>1142.76</v>
      </c>
    </row>
    <row r="414" spans="1:7" x14ac:dyDescent="0.25">
      <c r="A414" s="5">
        <v>38012</v>
      </c>
      <c r="B414">
        <v>1141.55</v>
      </c>
      <c r="C414">
        <v>1155.3800000000001</v>
      </c>
      <c r="D414">
        <v>1122.3800000000001</v>
      </c>
      <c r="E414">
        <v>1131.1300000000001</v>
      </c>
      <c r="F414">
        <v>1710520000</v>
      </c>
      <c r="G414">
        <v>1131.1300000000001</v>
      </c>
    </row>
    <row r="415" spans="1:7" x14ac:dyDescent="0.25">
      <c r="A415" s="5">
        <v>38006</v>
      </c>
      <c r="B415">
        <v>1139.83</v>
      </c>
      <c r="C415">
        <v>1150.51</v>
      </c>
      <c r="D415">
        <v>1134.6199999999999</v>
      </c>
      <c r="E415">
        <v>1141.55</v>
      </c>
      <c r="F415">
        <v>1677675000</v>
      </c>
      <c r="G415">
        <v>1141.55</v>
      </c>
    </row>
    <row r="416" spans="1:7" x14ac:dyDescent="0.25">
      <c r="A416" s="5">
        <v>37998</v>
      </c>
      <c r="B416">
        <v>1121.8599999999999</v>
      </c>
      <c r="C416">
        <v>1139.83</v>
      </c>
      <c r="D416">
        <v>1115.19</v>
      </c>
      <c r="E416">
        <v>1139.83</v>
      </c>
      <c r="F416">
        <v>1607360000</v>
      </c>
      <c r="G416">
        <v>1139.83</v>
      </c>
    </row>
    <row r="417" spans="1:7" x14ac:dyDescent="0.25">
      <c r="A417" s="5">
        <v>37991</v>
      </c>
      <c r="B417">
        <v>1108.48</v>
      </c>
      <c r="C417">
        <v>1131.92</v>
      </c>
      <c r="D417">
        <v>1108.48</v>
      </c>
      <c r="E417">
        <v>1121.8599999999999</v>
      </c>
      <c r="F417">
        <v>1673340000</v>
      </c>
      <c r="G417">
        <v>1121.8599999999999</v>
      </c>
    </row>
    <row r="418" spans="1:7" x14ac:dyDescent="0.25">
      <c r="A418" s="5">
        <v>37984</v>
      </c>
      <c r="B418">
        <v>1095.8900000000001</v>
      </c>
      <c r="C418">
        <v>1118.8499999999999</v>
      </c>
      <c r="D418">
        <v>1095.8900000000001</v>
      </c>
      <c r="E418">
        <v>1108.48</v>
      </c>
      <c r="F418">
        <v>1063025000</v>
      </c>
      <c r="G418">
        <v>1108.48</v>
      </c>
    </row>
    <row r="419" spans="1:7" x14ac:dyDescent="0.25">
      <c r="A419" s="5">
        <v>37977</v>
      </c>
      <c r="B419">
        <v>1088.6600000000001</v>
      </c>
      <c r="C419">
        <v>1098.47</v>
      </c>
      <c r="D419">
        <v>1086.1400000000001</v>
      </c>
      <c r="E419">
        <v>1095.8900000000001</v>
      </c>
      <c r="F419">
        <v>817782500</v>
      </c>
      <c r="G419">
        <v>1095.8900000000001</v>
      </c>
    </row>
    <row r="420" spans="1:7" x14ac:dyDescent="0.25">
      <c r="A420" s="5">
        <v>37970</v>
      </c>
      <c r="B420">
        <v>1074.1400000000001</v>
      </c>
      <c r="C420">
        <v>1091.06</v>
      </c>
      <c r="D420">
        <v>1068</v>
      </c>
      <c r="E420">
        <v>1088.6600000000001</v>
      </c>
      <c r="F420">
        <v>1549520000</v>
      </c>
      <c r="G420">
        <v>1088.6600000000001</v>
      </c>
    </row>
    <row r="421" spans="1:7" x14ac:dyDescent="0.25">
      <c r="A421" s="5">
        <v>37963</v>
      </c>
      <c r="B421">
        <v>1061.5</v>
      </c>
      <c r="C421">
        <v>1074.76</v>
      </c>
      <c r="D421">
        <v>1053.4100000000001</v>
      </c>
      <c r="E421">
        <v>1074.1400000000001</v>
      </c>
      <c r="F421">
        <v>1358520000</v>
      </c>
      <c r="G421">
        <v>1074.1400000000001</v>
      </c>
    </row>
    <row r="422" spans="1:7" x14ac:dyDescent="0.25">
      <c r="A422" s="5">
        <v>37956</v>
      </c>
      <c r="B422">
        <v>1058.2</v>
      </c>
      <c r="C422">
        <v>1074.3</v>
      </c>
      <c r="D422">
        <v>1058.2</v>
      </c>
      <c r="E422">
        <v>1061.5</v>
      </c>
      <c r="F422">
        <v>1385780000</v>
      </c>
      <c r="G422">
        <v>1061.5</v>
      </c>
    </row>
    <row r="423" spans="1:7" x14ac:dyDescent="0.25">
      <c r="A423" s="5">
        <v>37949</v>
      </c>
      <c r="B423">
        <v>1035.28</v>
      </c>
      <c r="C423">
        <v>1060.6300000000001</v>
      </c>
      <c r="D423">
        <v>1035.28</v>
      </c>
      <c r="E423">
        <v>1058.2</v>
      </c>
      <c r="F423">
        <v>1055355000</v>
      </c>
      <c r="G423">
        <v>1058.2</v>
      </c>
    </row>
    <row r="424" spans="1:7" x14ac:dyDescent="0.25">
      <c r="A424" s="5">
        <v>37942</v>
      </c>
      <c r="B424">
        <v>1050.3499999999999</v>
      </c>
      <c r="C424">
        <v>1050.3499999999999</v>
      </c>
      <c r="D424">
        <v>1031.2</v>
      </c>
      <c r="E424">
        <v>1035.28</v>
      </c>
      <c r="F424">
        <v>1331060000</v>
      </c>
      <c r="G424">
        <v>1035.28</v>
      </c>
    </row>
    <row r="425" spans="1:7" x14ac:dyDescent="0.25">
      <c r="A425" s="5">
        <v>37935</v>
      </c>
      <c r="B425">
        <v>1053.21</v>
      </c>
      <c r="C425">
        <v>1063.6500000000001</v>
      </c>
      <c r="D425">
        <v>1043.46</v>
      </c>
      <c r="E425">
        <v>1050.3499999999999</v>
      </c>
      <c r="F425">
        <v>1298900000</v>
      </c>
      <c r="G425">
        <v>1050.3499999999999</v>
      </c>
    </row>
    <row r="426" spans="1:7" x14ac:dyDescent="0.25">
      <c r="A426" s="5">
        <v>37928</v>
      </c>
      <c r="B426">
        <v>1050.71</v>
      </c>
      <c r="C426">
        <v>1062.3900000000001</v>
      </c>
      <c r="D426">
        <v>1044.8800000000001</v>
      </c>
      <c r="E426">
        <v>1053.21</v>
      </c>
      <c r="F426">
        <v>1418400000</v>
      </c>
      <c r="G426">
        <v>1053.21</v>
      </c>
    </row>
    <row r="427" spans="1:7" x14ac:dyDescent="0.25">
      <c r="A427" s="5">
        <v>37921</v>
      </c>
      <c r="B427">
        <v>1028.9100000000001</v>
      </c>
      <c r="C427">
        <v>1053.0899999999999</v>
      </c>
      <c r="D427">
        <v>1028.9100000000001</v>
      </c>
      <c r="E427">
        <v>1050.71</v>
      </c>
      <c r="F427">
        <v>1538440000</v>
      </c>
      <c r="G427">
        <v>1050.71</v>
      </c>
    </row>
    <row r="428" spans="1:7" x14ac:dyDescent="0.25">
      <c r="A428" s="5">
        <v>37914</v>
      </c>
      <c r="B428">
        <v>1039.32</v>
      </c>
      <c r="C428">
        <v>1048.57</v>
      </c>
      <c r="D428">
        <v>1018.32</v>
      </c>
      <c r="E428">
        <v>1028.9100000000001</v>
      </c>
      <c r="F428">
        <v>1468480000</v>
      </c>
      <c r="G428">
        <v>1028.9100000000001</v>
      </c>
    </row>
    <row r="429" spans="1:7" x14ac:dyDescent="0.25">
      <c r="A429" s="5">
        <v>37907</v>
      </c>
      <c r="B429">
        <v>1038.06</v>
      </c>
      <c r="C429">
        <v>1053.79</v>
      </c>
      <c r="D429">
        <v>1036.57</v>
      </c>
      <c r="E429">
        <v>1039.32</v>
      </c>
      <c r="F429">
        <v>1320640000</v>
      </c>
      <c r="G429">
        <v>1039.32</v>
      </c>
    </row>
    <row r="430" spans="1:7" x14ac:dyDescent="0.25">
      <c r="A430" s="5">
        <v>37900</v>
      </c>
      <c r="B430">
        <v>1029.8499999999999</v>
      </c>
      <c r="C430">
        <v>1048.28</v>
      </c>
      <c r="D430">
        <v>1026.27</v>
      </c>
      <c r="E430">
        <v>1038.06</v>
      </c>
      <c r="F430">
        <v>1250920000</v>
      </c>
      <c r="G430">
        <v>1038.06</v>
      </c>
    </row>
    <row r="431" spans="1:7" x14ac:dyDescent="0.25">
      <c r="A431" s="5">
        <v>37893</v>
      </c>
      <c r="B431">
        <v>996.85</v>
      </c>
      <c r="C431">
        <v>1039.31</v>
      </c>
      <c r="D431">
        <v>990.36</v>
      </c>
      <c r="E431">
        <v>1029.8499999999999</v>
      </c>
      <c r="F431">
        <v>1472620000</v>
      </c>
      <c r="G431">
        <v>1029.8499999999999</v>
      </c>
    </row>
    <row r="432" spans="1:7" x14ac:dyDescent="0.25">
      <c r="A432" s="5">
        <v>37886</v>
      </c>
      <c r="B432">
        <v>1036.3</v>
      </c>
      <c r="C432">
        <v>1036.3</v>
      </c>
      <c r="D432">
        <v>996.08</v>
      </c>
      <c r="E432">
        <v>996.85</v>
      </c>
      <c r="F432">
        <v>1427800000</v>
      </c>
      <c r="G432">
        <v>996.85</v>
      </c>
    </row>
    <row r="433" spans="1:7" x14ac:dyDescent="0.25">
      <c r="A433" s="5">
        <v>37879</v>
      </c>
      <c r="B433">
        <v>1018.63</v>
      </c>
      <c r="C433">
        <v>1040.29</v>
      </c>
      <c r="D433">
        <v>1013.59</v>
      </c>
      <c r="E433">
        <v>1036.3</v>
      </c>
      <c r="F433">
        <v>1382022000</v>
      </c>
      <c r="G433">
        <v>1036.3</v>
      </c>
    </row>
    <row r="434" spans="1:7" x14ac:dyDescent="0.25">
      <c r="A434" s="5">
        <v>37872</v>
      </c>
      <c r="B434">
        <v>1021.39</v>
      </c>
      <c r="C434">
        <v>1032.4100000000001</v>
      </c>
      <c r="D434">
        <v>1007.71</v>
      </c>
      <c r="E434">
        <v>1018.63</v>
      </c>
      <c r="F434">
        <v>1373760000</v>
      </c>
      <c r="G434">
        <v>1018.63</v>
      </c>
    </row>
    <row r="435" spans="1:7" x14ac:dyDescent="0.25">
      <c r="A435" s="5">
        <v>37866</v>
      </c>
      <c r="B435">
        <v>1008.01</v>
      </c>
      <c r="C435">
        <v>1029.3399999999999</v>
      </c>
      <c r="D435">
        <v>1005.73</v>
      </c>
      <c r="E435">
        <v>1021.39</v>
      </c>
      <c r="F435">
        <v>1516300000</v>
      </c>
      <c r="G435">
        <v>1021.39</v>
      </c>
    </row>
    <row r="436" spans="1:7" x14ac:dyDescent="0.25">
      <c r="A436" s="5">
        <v>37858</v>
      </c>
      <c r="B436">
        <v>993.06</v>
      </c>
      <c r="C436">
        <v>1008.85</v>
      </c>
      <c r="D436">
        <v>983.57</v>
      </c>
      <c r="E436">
        <v>1008.01</v>
      </c>
      <c r="F436">
        <v>1062420000</v>
      </c>
      <c r="G436">
        <v>1008.01</v>
      </c>
    </row>
    <row r="437" spans="1:7" x14ac:dyDescent="0.25">
      <c r="A437" s="5">
        <v>37851</v>
      </c>
      <c r="B437">
        <v>990.67</v>
      </c>
      <c r="C437">
        <v>1011.01</v>
      </c>
      <c r="D437">
        <v>990.67</v>
      </c>
      <c r="E437">
        <v>993.06</v>
      </c>
      <c r="F437">
        <v>1271000000</v>
      </c>
      <c r="G437">
        <v>993.06</v>
      </c>
    </row>
    <row r="438" spans="1:7" x14ac:dyDescent="0.25">
      <c r="A438" s="5">
        <v>37844</v>
      </c>
      <c r="B438">
        <v>977.59</v>
      </c>
      <c r="C438">
        <v>992.5</v>
      </c>
      <c r="D438">
        <v>974.21</v>
      </c>
      <c r="E438">
        <v>990.67</v>
      </c>
      <c r="F438">
        <v>1037294000</v>
      </c>
      <c r="G438">
        <v>990.67</v>
      </c>
    </row>
    <row r="439" spans="1:7" x14ac:dyDescent="0.25">
      <c r="A439" s="5">
        <v>37837</v>
      </c>
      <c r="B439">
        <v>980.15</v>
      </c>
      <c r="C439">
        <v>985.75</v>
      </c>
      <c r="D439">
        <v>960.84</v>
      </c>
      <c r="E439">
        <v>977.59</v>
      </c>
      <c r="F439">
        <v>1327460000</v>
      </c>
      <c r="G439">
        <v>977.59</v>
      </c>
    </row>
    <row r="440" spans="1:7" x14ac:dyDescent="0.25">
      <c r="A440" s="5">
        <v>37830</v>
      </c>
      <c r="B440">
        <v>998.68</v>
      </c>
      <c r="C440">
        <v>1004.59</v>
      </c>
      <c r="D440">
        <v>978.86</v>
      </c>
      <c r="E440">
        <v>980.15</v>
      </c>
      <c r="F440">
        <v>1445600000</v>
      </c>
      <c r="G440">
        <v>980.15</v>
      </c>
    </row>
    <row r="441" spans="1:7" x14ac:dyDescent="0.25">
      <c r="A441" s="5">
        <v>37823</v>
      </c>
      <c r="B441">
        <v>993.32</v>
      </c>
      <c r="C441">
        <v>998.89</v>
      </c>
      <c r="D441">
        <v>975.63</v>
      </c>
      <c r="E441">
        <v>998.68</v>
      </c>
      <c r="F441">
        <v>1402620000</v>
      </c>
      <c r="G441">
        <v>998.68</v>
      </c>
    </row>
    <row r="442" spans="1:7" x14ac:dyDescent="0.25">
      <c r="A442" s="5">
        <v>37816</v>
      </c>
      <c r="B442">
        <v>998.14</v>
      </c>
      <c r="C442">
        <v>1015.41</v>
      </c>
      <c r="D442">
        <v>978.6</v>
      </c>
      <c r="E442">
        <v>993.32</v>
      </c>
      <c r="F442">
        <v>1531220000</v>
      </c>
      <c r="G442">
        <v>993.32</v>
      </c>
    </row>
    <row r="443" spans="1:7" x14ac:dyDescent="0.25">
      <c r="A443" s="5">
        <v>37809</v>
      </c>
      <c r="B443">
        <v>985.7</v>
      </c>
      <c r="C443">
        <v>1010.43</v>
      </c>
      <c r="D443">
        <v>983.63</v>
      </c>
      <c r="E443">
        <v>998.14</v>
      </c>
      <c r="F443">
        <v>1458240000</v>
      </c>
      <c r="G443">
        <v>998.14</v>
      </c>
    </row>
    <row r="444" spans="1:7" x14ac:dyDescent="0.25">
      <c r="A444" s="5">
        <v>37802</v>
      </c>
      <c r="B444">
        <v>976.22</v>
      </c>
      <c r="C444">
        <v>995</v>
      </c>
      <c r="D444">
        <v>962.1</v>
      </c>
      <c r="E444">
        <v>985.7</v>
      </c>
      <c r="F444">
        <v>1335650000</v>
      </c>
      <c r="G444">
        <v>985.7</v>
      </c>
    </row>
    <row r="445" spans="1:7" x14ac:dyDescent="0.25">
      <c r="A445" s="5">
        <v>37795</v>
      </c>
      <c r="B445">
        <v>995.69</v>
      </c>
      <c r="C445">
        <v>995.69</v>
      </c>
      <c r="D445">
        <v>973.8</v>
      </c>
      <c r="E445">
        <v>976.22</v>
      </c>
      <c r="F445">
        <v>1380160000</v>
      </c>
      <c r="G445">
        <v>976.22</v>
      </c>
    </row>
    <row r="446" spans="1:7" x14ac:dyDescent="0.25">
      <c r="A446" s="5">
        <v>37788</v>
      </c>
      <c r="B446">
        <v>988.61</v>
      </c>
      <c r="C446">
        <v>1015.33</v>
      </c>
      <c r="D446">
        <v>988.61</v>
      </c>
      <c r="E446">
        <v>995.69</v>
      </c>
      <c r="F446">
        <v>1508520000</v>
      </c>
      <c r="G446">
        <v>995.69</v>
      </c>
    </row>
    <row r="447" spans="1:7" x14ac:dyDescent="0.25">
      <c r="A447" s="5">
        <v>37781</v>
      </c>
      <c r="B447">
        <v>987.76</v>
      </c>
      <c r="C447">
        <v>1002.74</v>
      </c>
      <c r="D447">
        <v>972.59</v>
      </c>
      <c r="E447">
        <v>988.61</v>
      </c>
      <c r="F447">
        <v>1385420000</v>
      </c>
      <c r="G447">
        <v>988.61</v>
      </c>
    </row>
    <row r="448" spans="1:7" x14ac:dyDescent="0.25">
      <c r="A448" s="5">
        <v>37774</v>
      </c>
      <c r="B448">
        <v>963.59</v>
      </c>
      <c r="C448">
        <v>1007.69</v>
      </c>
      <c r="D448">
        <v>963.59</v>
      </c>
      <c r="E448">
        <v>987.76</v>
      </c>
      <c r="F448">
        <v>1652340000</v>
      </c>
      <c r="G448">
        <v>987.76</v>
      </c>
    </row>
    <row r="449" spans="1:7" x14ac:dyDescent="0.25">
      <c r="A449" s="5">
        <v>37768</v>
      </c>
      <c r="B449">
        <v>933.22</v>
      </c>
      <c r="C449">
        <v>965.38</v>
      </c>
      <c r="D449">
        <v>927.33</v>
      </c>
      <c r="E449">
        <v>963.59</v>
      </c>
      <c r="F449">
        <v>1616400000</v>
      </c>
      <c r="G449">
        <v>963.59</v>
      </c>
    </row>
    <row r="450" spans="1:7" x14ac:dyDescent="0.25">
      <c r="A450" s="5">
        <v>37760</v>
      </c>
      <c r="B450">
        <v>944.3</v>
      </c>
      <c r="C450">
        <v>944.3</v>
      </c>
      <c r="D450">
        <v>912.05</v>
      </c>
      <c r="E450">
        <v>933.22</v>
      </c>
      <c r="F450">
        <v>1397660000</v>
      </c>
      <c r="G450">
        <v>933.22</v>
      </c>
    </row>
    <row r="451" spans="1:7" x14ac:dyDescent="0.25">
      <c r="A451" s="5">
        <v>37753</v>
      </c>
      <c r="B451">
        <v>933.41</v>
      </c>
      <c r="C451">
        <v>948.65</v>
      </c>
      <c r="D451">
        <v>929.3</v>
      </c>
      <c r="E451">
        <v>944.3</v>
      </c>
      <c r="F451">
        <v>1442580000</v>
      </c>
      <c r="G451">
        <v>944.3</v>
      </c>
    </row>
    <row r="452" spans="1:7" x14ac:dyDescent="0.25">
      <c r="A452" s="5">
        <v>37746</v>
      </c>
      <c r="B452">
        <v>930.08</v>
      </c>
      <c r="C452">
        <v>939.61</v>
      </c>
      <c r="D452">
        <v>919.72</v>
      </c>
      <c r="E452">
        <v>933.41</v>
      </c>
      <c r="F452">
        <v>1466700000</v>
      </c>
      <c r="G452">
        <v>933.41</v>
      </c>
    </row>
    <row r="453" spans="1:7" x14ac:dyDescent="0.25">
      <c r="A453" s="5">
        <v>37739</v>
      </c>
      <c r="B453">
        <v>898.81</v>
      </c>
      <c r="C453">
        <v>930.56</v>
      </c>
      <c r="D453">
        <v>898.81</v>
      </c>
      <c r="E453">
        <v>930.08</v>
      </c>
      <c r="F453">
        <v>1507782000</v>
      </c>
      <c r="G453">
        <v>930.08</v>
      </c>
    </row>
    <row r="454" spans="1:7" x14ac:dyDescent="0.25">
      <c r="A454" s="5">
        <v>37732</v>
      </c>
      <c r="B454">
        <v>893.58</v>
      </c>
      <c r="C454">
        <v>919.74</v>
      </c>
      <c r="D454">
        <v>886.7</v>
      </c>
      <c r="E454">
        <v>898.81</v>
      </c>
      <c r="F454">
        <v>1480200000</v>
      </c>
      <c r="G454">
        <v>898.81</v>
      </c>
    </row>
    <row r="455" spans="1:7" x14ac:dyDescent="0.25">
      <c r="A455" s="5">
        <v>37725</v>
      </c>
      <c r="B455">
        <v>868.3</v>
      </c>
      <c r="C455">
        <v>896.77</v>
      </c>
      <c r="D455">
        <v>868.3</v>
      </c>
      <c r="E455">
        <v>893.58</v>
      </c>
      <c r="F455">
        <v>1402350000</v>
      </c>
      <c r="G455">
        <v>893.58</v>
      </c>
    </row>
    <row r="456" spans="1:7" x14ac:dyDescent="0.25">
      <c r="A456" s="5">
        <v>37718</v>
      </c>
      <c r="B456">
        <v>878.85</v>
      </c>
      <c r="C456">
        <v>904.89</v>
      </c>
      <c r="D456">
        <v>862.76</v>
      </c>
      <c r="E456">
        <v>868.3</v>
      </c>
      <c r="F456">
        <v>1288000000</v>
      </c>
      <c r="G456">
        <v>868.3</v>
      </c>
    </row>
    <row r="457" spans="1:7" x14ac:dyDescent="0.25">
      <c r="A457" s="5">
        <v>37711</v>
      </c>
      <c r="B457">
        <v>863.5</v>
      </c>
      <c r="C457">
        <v>885.89</v>
      </c>
      <c r="D457">
        <v>843.68</v>
      </c>
      <c r="E457">
        <v>878.85</v>
      </c>
      <c r="F457">
        <v>1425520000</v>
      </c>
      <c r="G457">
        <v>878.85</v>
      </c>
    </row>
    <row r="458" spans="1:7" x14ac:dyDescent="0.25">
      <c r="A458" s="5">
        <v>37704</v>
      </c>
      <c r="B458">
        <v>895.79</v>
      </c>
      <c r="C458">
        <v>895.79</v>
      </c>
      <c r="D458">
        <v>858.09</v>
      </c>
      <c r="E458">
        <v>863.5</v>
      </c>
      <c r="F458">
        <v>1281200000</v>
      </c>
      <c r="G458">
        <v>863.5</v>
      </c>
    </row>
    <row r="459" spans="1:7" x14ac:dyDescent="0.25">
      <c r="A459" s="5">
        <v>37697</v>
      </c>
      <c r="B459">
        <v>833.27</v>
      </c>
      <c r="C459">
        <v>895.9</v>
      </c>
      <c r="D459">
        <v>827.17</v>
      </c>
      <c r="E459">
        <v>895.79</v>
      </c>
      <c r="F459">
        <v>1610346000</v>
      </c>
      <c r="G459">
        <v>895.79</v>
      </c>
    </row>
    <row r="460" spans="1:7" x14ac:dyDescent="0.25">
      <c r="A460" s="5">
        <v>37690</v>
      </c>
      <c r="B460">
        <v>828.89</v>
      </c>
      <c r="C460">
        <v>841.39</v>
      </c>
      <c r="D460">
        <v>788.9</v>
      </c>
      <c r="E460">
        <v>833.27</v>
      </c>
      <c r="F460">
        <v>1532180000</v>
      </c>
      <c r="G460">
        <v>833.27</v>
      </c>
    </row>
    <row r="461" spans="1:7" x14ac:dyDescent="0.25">
      <c r="A461" s="5">
        <v>37683</v>
      </c>
      <c r="B461">
        <v>841.15</v>
      </c>
      <c r="C461">
        <v>852.34</v>
      </c>
      <c r="D461">
        <v>811.23</v>
      </c>
      <c r="E461">
        <v>828.89</v>
      </c>
      <c r="F461">
        <v>1293180000</v>
      </c>
      <c r="G461">
        <v>828.89</v>
      </c>
    </row>
    <row r="462" spans="1:7" x14ac:dyDescent="0.25">
      <c r="A462" s="5">
        <v>37676</v>
      </c>
      <c r="B462">
        <v>848.17</v>
      </c>
      <c r="C462">
        <v>848.17</v>
      </c>
      <c r="D462">
        <v>818.54</v>
      </c>
      <c r="E462">
        <v>841.15</v>
      </c>
      <c r="F462">
        <v>1349680000</v>
      </c>
      <c r="G462">
        <v>841.15</v>
      </c>
    </row>
    <row r="463" spans="1:7" x14ac:dyDescent="0.25">
      <c r="A463" s="5">
        <v>37670</v>
      </c>
      <c r="B463">
        <v>834.89</v>
      </c>
      <c r="C463">
        <v>852.87</v>
      </c>
      <c r="D463">
        <v>831.48</v>
      </c>
      <c r="E463">
        <v>848.17</v>
      </c>
      <c r="F463">
        <v>1229675000</v>
      </c>
      <c r="G463">
        <v>848.17</v>
      </c>
    </row>
    <row r="464" spans="1:7" x14ac:dyDescent="0.25">
      <c r="A464" s="5">
        <v>37662</v>
      </c>
      <c r="B464">
        <v>829.69</v>
      </c>
      <c r="C464">
        <v>843.02</v>
      </c>
      <c r="D464">
        <v>806.29</v>
      </c>
      <c r="E464">
        <v>834.89</v>
      </c>
      <c r="F464">
        <v>1339920000</v>
      </c>
      <c r="G464">
        <v>834.89</v>
      </c>
    </row>
    <row r="465" spans="1:7" x14ac:dyDescent="0.25">
      <c r="A465" s="5">
        <v>37655</v>
      </c>
      <c r="B465">
        <v>855.7</v>
      </c>
      <c r="C465">
        <v>864.64</v>
      </c>
      <c r="D465">
        <v>826.7</v>
      </c>
      <c r="E465">
        <v>829.69</v>
      </c>
      <c r="F465">
        <v>1373720000</v>
      </c>
      <c r="G465">
        <v>829.69</v>
      </c>
    </row>
    <row r="466" spans="1:7" x14ac:dyDescent="0.25">
      <c r="A466" s="5">
        <v>37648</v>
      </c>
      <c r="B466">
        <v>861.4</v>
      </c>
      <c r="C466">
        <v>868.72</v>
      </c>
      <c r="D466">
        <v>840.34</v>
      </c>
      <c r="E466">
        <v>855.7</v>
      </c>
      <c r="F466">
        <v>1515846000</v>
      </c>
      <c r="G466">
        <v>855.7</v>
      </c>
    </row>
    <row r="467" spans="1:7" x14ac:dyDescent="0.25">
      <c r="A467" s="5">
        <v>37642</v>
      </c>
      <c r="B467">
        <v>901.78</v>
      </c>
      <c r="C467">
        <v>906</v>
      </c>
      <c r="D467">
        <v>859.71</v>
      </c>
      <c r="E467">
        <v>861.4</v>
      </c>
      <c r="F467">
        <v>1553837500</v>
      </c>
      <c r="G467">
        <v>861.4</v>
      </c>
    </row>
    <row r="468" spans="1:7" x14ac:dyDescent="0.25">
      <c r="A468" s="5">
        <v>37634</v>
      </c>
      <c r="B468">
        <v>927.57</v>
      </c>
      <c r="C468">
        <v>935.05</v>
      </c>
      <c r="D468">
        <v>899.02</v>
      </c>
      <c r="E468">
        <v>901.78</v>
      </c>
      <c r="F468">
        <v>1420120000</v>
      </c>
      <c r="G468">
        <v>901.78</v>
      </c>
    </row>
    <row r="469" spans="1:7" x14ac:dyDescent="0.25">
      <c r="A469" s="5">
        <v>37627</v>
      </c>
      <c r="B469">
        <v>908.59</v>
      </c>
      <c r="C469">
        <v>932.89</v>
      </c>
      <c r="D469">
        <v>908.32</v>
      </c>
      <c r="E469">
        <v>927.57</v>
      </c>
      <c r="F469">
        <v>1498880000</v>
      </c>
      <c r="G469">
        <v>927.57</v>
      </c>
    </row>
    <row r="470" spans="1:7" x14ac:dyDescent="0.25">
      <c r="A470" s="5">
        <v>37620</v>
      </c>
      <c r="B470">
        <v>875.4</v>
      </c>
      <c r="C470">
        <v>911.25</v>
      </c>
      <c r="D470">
        <v>869.45</v>
      </c>
      <c r="E470">
        <v>908.59</v>
      </c>
      <c r="F470">
        <v>1126575000</v>
      </c>
      <c r="G470">
        <v>908.59</v>
      </c>
    </row>
    <row r="471" spans="1:7" x14ac:dyDescent="0.25">
      <c r="A471" s="5">
        <v>37613</v>
      </c>
      <c r="B471">
        <v>895.74</v>
      </c>
      <c r="C471">
        <v>903.89</v>
      </c>
      <c r="D471">
        <v>873.62</v>
      </c>
      <c r="E471">
        <v>875.4</v>
      </c>
      <c r="F471">
        <v>762477500</v>
      </c>
      <c r="G471">
        <v>875.4</v>
      </c>
    </row>
    <row r="472" spans="1:7" x14ac:dyDescent="0.25">
      <c r="A472" s="5">
        <v>37606</v>
      </c>
      <c r="B472">
        <v>889.48</v>
      </c>
      <c r="C472">
        <v>911.22</v>
      </c>
      <c r="D472">
        <v>880.32</v>
      </c>
      <c r="E472">
        <v>895.76</v>
      </c>
      <c r="F472">
        <v>1427646000</v>
      </c>
      <c r="G472">
        <v>895.76</v>
      </c>
    </row>
    <row r="473" spans="1:7" x14ac:dyDescent="0.25">
      <c r="A473" s="5">
        <v>37599</v>
      </c>
      <c r="B473">
        <v>912.23</v>
      </c>
      <c r="C473">
        <v>912.23</v>
      </c>
      <c r="D473">
        <v>888.48</v>
      </c>
      <c r="E473">
        <v>889.48</v>
      </c>
      <c r="F473">
        <v>1295720000</v>
      </c>
      <c r="G473">
        <v>889.48</v>
      </c>
    </row>
    <row r="474" spans="1:7" x14ac:dyDescent="0.25">
      <c r="A474" s="5">
        <v>37592</v>
      </c>
      <c r="B474">
        <v>936.31</v>
      </c>
      <c r="C474">
        <v>954.28</v>
      </c>
      <c r="D474">
        <v>895.96</v>
      </c>
      <c r="E474">
        <v>912.23</v>
      </c>
      <c r="F474">
        <v>1436120000</v>
      </c>
      <c r="G474">
        <v>912.23</v>
      </c>
    </row>
    <row r="475" spans="1:7" x14ac:dyDescent="0.25">
      <c r="A475" s="5">
        <v>37585</v>
      </c>
      <c r="B475">
        <v>930.55</v>
      </c>
      <c r="C475">
        <v>941.82</v>
      </c>
      <c r="D475">
        <v>912.1</v>
      </c>
      <c r="E475">
        <v>936.31</v>
      </c>
      <c r="F475">
        <v>1277840000</v>
      </c>
      <c r="G475">
        <v>936.31</v>
      </c>
    </row>
    <row r="476" spans="1:7" x14ac:dyDescent="0.25">
      <c r="A476" s="5">
        <v>37578</v>
      </c>
      <c r="B476">
        <v>909.83</v>
      </c>
      <c r="C476">
        <v>937.28</v>
      </c>
      <c r="D476">
        <v>893.09</v>
      </c>
      <c r="E476">
        <v>930.55</v>
      </c>
      <c r="F476">
        <v>1635840000</v>
      </c>
      <c r="G476">
        <v>930.55</v>
      </c>
    </row>
    <row r="477" spans="1:7" x14ac:dyDescent="0.25">
      <c r="A477" s="5">
        <v>37571</v>
      </c>
      <c r="B477">
        <v>894.74</v>
      </c>
      <c r="C477">
        <v>910.21</v>
      </c>
      <c r="D477">
        <v>872.05</v>
      </c>
      <c r="E477">
        <v>909.83</v>
      </c>
      <c r="F477">
        <v>1374520000</v>
      </c>
      <c r="G477">
        <v>909.83</v>
      </c>
    </row>
    <row r="478" spans="1:7" x14ac:dyDescent="0.25">
      <c r="A478" s="5">
        <v>37564</v>
      </c>
      <c r="B478">
        <v>900.96</v>
      </c>
      <c r="C478">
        <v>925.66</v>
      </c>
      <c r="D478">
        <v>891.62</v>
      </c>
      <c r="E478">
        <v>894.74</v>
      </c>
      <c r="F478">
        <v>1517480000</v>
      </c>
      <c r="G478">
        <v>894.74</v>
      </c>
    </row>
    <row r="479" spans="1:7" x14ac:dyDescent="0.25">
      <c r="A479" s="5">
        <v>37557</v>
      </c>
      <c r="B479">
        <v>897.65</v>
      </c>
      <c r="C479">
        <v>907.44</v>
      </c>
      <c r="D479">
        <v>867.91</v>
      </c>
      <c r="E479">
        <v>900.96</v>
      </c>
      <c r="F479">
        <v>1485260000</v>
      </c>
      <c r="G479">
        <v>900.96</v>
      </c>
    </row>
    <row r="480" spans="1:7" x14ac:dyDescent="0.25">
      <c r="A480" s="5">
        <v>37550</v>
      </c>
      <c r="B480">
        <v>884.39</v>
      </c>
      <c r="C480">
        <v>902.94</v>
      </c>
      <c r="D480">
        <v>873.06</v>
      </c>
      <c r="E480">
        <v>897.65</v>
      </c>
      <c r="F480">
        <v>1526214000</v>
      </c>
      <c r="G480">
        <v>897.65</v>
      </c>
    </row>
    <row r="481" spans="1:7" x14ac:dyDescent="0.25">
      <c r="A481" s="5">
        <v>37543</v>
      </c>
      <c r="B481">
        <v>835.32</v>
      </c>
      <c r="C481">
        <v>886.68</v>
      </c>
      <c r="D481">
        <v>828.37</v>
      </c>
      <c r="E481">
        <v>884.39</v>
      </c>
      <c r="F481">
        <v>1588958000</v>
      </c>
      <c r="G481">
        <v>884.39</v>
      </c>
    </row>
    <row r="482" spans="1:7" x14ac:dyDescent="0.25">
      <c r="A482" s="5">
        <v>37536</v>
      </c>
      <c r="B482">
        <v>800.58</v>
      </c>
      <c r="C482">
        <v>843.27</v>
      </c>
      <c r="D482">
        <v>768.63</v>
      </c>
      <c r="E482">
        <v>835.32</v>
      </c>
      <c r="F482">
        <v>1868864000</v>
      </c>
      <c r="G482">
        <v>835.32</v>
      </c>
    </row>
    <row r="483" spans="1:7" x14ac:dyDescent="0.25">
      <c r="A483" s="5">
        <v>37529</v>
      </c>
      <c r="B483">
        <v>827.37</v>
      </c>
      <c r="C483">
        <v>851.93</v>
      </c>
      <c r="D483">
        <v>794.1</v>
      </c>
      <c r="E483">
        <v>800.58</v>
      </c>
      <c r="F483">
        <v>1736420000</v>
      </c>
      <c r="G483">
        <v>800.58</v>
      </c>
    </row>
    <row r="484" spans="1:7" x14ac:dyDescent="0.25">
      <c r="A484" s="5">
        <v>37522</v>
      </c>
      <c r="B484">
        <v>845.39</v>
      </c>
      <c r="C484">
        <v>856.6</v>
      </c>
      <c r="D484">
        <v>817.38</v>
      </c>
      <c r="E484">
        <v>827.37</v>
      </c>
      <c r="F484">
        <v>1572028000</v>
      </c>
      <c r="G484">
        <v>827.37</v>
      </c>
    </row>
    <row r="485" spans="1:7" x14ac:dyDescent="0.25">
      <c r="A485" s="5">
        <v>37515</v>
      </c>
      <c r="B485">
        <v>889.81</v>
      </c>
      <c r="C485">
        <v>902.68</v>
      </c>
      <c r="D485">
        <v>839.09</v>
      </c>
      <c r="E485">
        <v>845.39</v>
      </c>
      <c r="F485">
        <v>1453560000</v>
      </c>
      <c r="G485">
        <v>845.39</v>
      </c>
    </row>
    <row r="486" spans="1:7" x14ac:dyDescent="0.25">
      <c r="A486" s="5">
        <v>37508</v>
      </c>
      <c r="B486">
        <v>893.92</v>
      </c>
      <c r="C486">
        <v>924.02</v>
      </c>
      <c r="D486">
        <v>877.05</v>
      </c>
      <c r="E486">
        <v>889.81</v>
      </c>
      <c r="F486">
        <v>1125240000</v>
      </c>
      <c r="G486">
        <v>889.81</v>
      </c>
    </row>
    <row r="487" spans="1:7" x14ac:dyDescent="0.25">
      <c r="A487" s="5">
        <v>37502</v>
      </c>
      <c r="B487">
        <v>916.07</v>
      </c>
      <c r="C487">
        <v>916.07</v>
      </c>
      <c r="D487">
        <v>870.5</v>
      </c>
      <c r="E487">
        <v>893.92</v>
      </c>
      <c r="F487">
        <v>1311925000</v>
      </c>
      <c r="G487">
        <v>893.92</v>
      </c>
    </row>
    <row r="488" spans="1:7" x14ac:dyDescent="0.25">
      <c r="A488" s="5">
        <v>37494</v>
      </c>
      <c r="B488">
        <v>940.86</v>
      </c>
      <c r="C488">
        <v>955.82</v>
      </c>
      <c r="D488">
        <v>903.33</v>
      </c>
      <c r="E488">
        <v>916.07</v>
      </c>
      <c r="F488">
        <v>1134440000</v>
      </c>
      <c r="G488">
        <v>916.07</v>
      </c>
    </row>
    <row r="489" spans="1:7" x14ac:dyDescent="0.25">
      <c r="A489" s="5">
        <v>37487</v>
      </c>
      <c r="B489">
        <v>928.77</v>
      </c>
      <c r="C489">
        <v>965</v>
      </c>
      <c r="D489">
        <v>927.21</v>
      </c>
      <c r="E489">
        <v>940.86</v>
      </c>
      <c r="F489">
        <v>1281180000</v>
      </c>
      <c r="G489">
        <v>940.86</v>
      </c>
    </row>
    <row r="490" spans="1:7" x14ac:dyDescent="0.25">
      <c r="A490" s="5">
        <v>37480</v>
      </c>
      <c r="B490">
        <v>908.64</v>
      </c>
      <c r="C490">
        <v>935.38</v>
      </c>
      <c r="D490">
        <v>876.2</v>
      </c>
      <c r="E490">
        <v>928.77</v>
      </c>
      <c r="F490">
        <v>1327680000</v>
      </c>
      <c r="G490">
        <v>928.77</v>
      </c>
    </row>
    <row r="491" spans="1:7" x14ac:dyDescent="0.25">
      <c r="A491" s="5">
        <v>37473</v>
      </c>
      <c r="B491">
        <v>864.24</v>
      </c>
      <c r="C491">
        <v>913.95</v>
      </c>
      <c r="D491">
        <v>833.44</v>
      </c>
      <c r="E491">
        <v>908.64</v>
      </c>
      <c r="F491">
        <v>1474320000</v>
      </c>
      <c r="G491">
        <v>908.64</v>
      </c>
    </row>
    <row r="492" spans="1:7" x14ac:dyDescent="0.25">
      <c r="A492" s="5">
        <v>37466</v>
      </c>
      <c r="B492">
        <v>852.84</v>
      </c>
      <c r="C492">
        <v>911.64</v>
      </c>
      <c r="D492">
        <v>852.84</v>
      </c>
      <c r="E492">
        <v>864.24</v>
      </c>
      <c r="F492">
        <v>1772880000</v>
      </c>
      <c r="G492">
        <v>864.24</v>
      </c>
    </row>
    <row r="493" spans="1:7" x14ac:dyDescent="0.25">
      <c r="A493" s="5">
        <v>37459</v>
      </c>
      <c r="B493">
        <v>847.76</v>
      </c>
      <c r="C493">
        <v>854.13</v>
      </c>
      <c r="D493">
        <v>775.68</v>
      </c>
      <c r="E493">
        <v>852.84</v>
      </c>
      <c r="F493">
        <v>2337088000</v>
      </c>
      <c r="G493">
        <v>852.84</v>
      </c>
    </row>
    <row r="494" spans="1:7" x14ac:dyDescent="0.25">
      <c r="A494" s="5">
        <v>37452</v>
      </c>
      <c r="B494">
        <v>921.39</v>
      </c>
      <c r="C494">
        <v>926.52</v>
      </c>
      <c r="D494">
        <v>842.07</v>
      </c>
      <c r="E494">
        <v>847.75</v>
      </c>
      <c r="F494">
        <v>2275080000</v>
      </c>
      <c r="G494">
        <v>847.75</v>
      </c>
    </row>
    <row r="495" spans="1:7" x14ac:dyDescent="0.25">
      <c r="A495" s="5">
        <v>37445</v>
      </c>
      <c r="B495">
        <v>989.03</v>
      </c>
      <c r="C495">
        <v>993.56</v>
      </c>
      <c r="D495">
        <v>900.94</v>
      </c>
      <c r="E495">
        <v>921.39</v>
      </c>
      <c r="F495">
        <v>1607616000</v>
      </c>
      <c r="G495">
        <v>921.39</v>
      </c>
    </row>
    <row r="496" spans="1:7" x14ac:dyDescent="0.25">
      <c r="A496" s="5">
        <v>37438</v>
      </c>
      <c r="B496">
        <v>989.82</v>
      </c>
      <c r="C496">
        <v>994.46</v>
      </c>
      <c r="D496">
        <v>934.87</v>
      </c>
      <c r="E496">
        <v>989.03</v>
      </c>
      <c r="F496">
        <v>1368925000</v>
      </c>
      <c r="G496">
        <v>989.03</v>
      </c>
    </row>
    <row r="497" spans="1:7" x14ac:dyDescent="0.25">
      <c r="A497" s="5">
        <v>37431</v>
      </c>
      <c r="B497">
        <v>989.14</v>
      </c>
      <c r="C497">
        <v>1005.88</v>
      </c>
      <c r="D497">
        <v>952.92</v>
      </c>
      <c r="E497">
        <v>989.82</v>
      </c>
      <c r="F497">
        <v>1821238000</v>
      </c>
      <c r="G497">
        <v>989.82</v>
      </c>
    </row>
    <row r="498" spans="1:7" x14ac:dyDescent="0.25">
      <c r="A498" s="5">
        <v>37424</v>
      </c>
      <c r="B498">
        <v>1007.27</v>
      </c>
      <c r="C498">
        <v>1040.83</v>
      </c>
      <c r="D498">
        <v>985.65</v>
      </c>
      <c r="E498">
        <v>989.14</v>
      </c>
      <c r="F498">
        <v>1330540000</v>
      </c>
      <c r="G498">
        <v>989.14</v>
      </c>
    </row>
    <row r="499" spans="1:7" x14ac:dyDescent="0.25">
      <c r="A499" s="5">
        <v>37417</v>
      </c>
      <c r="B499">
        <v>1027.53</v>
      </c>
      <c r="C499">
        <v>1039.04</v>
      </c>
      <c r="D499">
        <v>981.63</v>
      </c>
      <c r="E499">
        <v>1007.27</v>
      </c>
      <c r="F499">
        <v>1437764000</v>
      </c>
      <c r="G499">
        <v>1007.27</v>
      </c>
    </row>
    <row r="500" spans="1:7" x14ac:dyDescent="0.25">
      <c r="A500" s="5">
        <v>37410</v>
      </c>
      <c r="B500">
        <v>1067.1400000000001</v>
      </c>
      <c r="C500">
        <v>1070.74</v>
      </c>
      <c r="D500">
        <v>1012.49</v>
      </c>
      <c r="E500">
        <v>1027.53</v>
      </c>
      <c r="F500">
        <v>1406760000</v>
      </c>
      <c r="G500">
        <v>1027.53</v>
      </c>
    </row>
    <row r="501" spans="1:7" x14ac:dyDescent="0.25">
      <c r="A501" s="5">
        <v>37404</v>
      </c>
      <c r="B501">
        <v>1083.82</v>
      </c>
      <c r="C501">
        <v>1085.98</v>
      </c>
      <c r="D501">
        <v>1054.26</v>
      </c>
      <c r="E501">
        <v>1067.1400000000001</v>
      </c>
      <c r="F501">
        <v>1160550000</v>
      </c>
      <c r="G501">
        <v>1067.1400000000001</v>
      </c>
    </row>
    <row r="502" spans="1:7" x14ac:dyDescent="0.25">
      <c r="A502" s="5">
        <v>37396</v>
      </c>
      <c r="B502">
        <v>1106.5899999999999</v>
      </c>
      <c r="C502">
        <v>1106.5899999999999</v>
      </c>
      <c r="D502">
        <v>1075.6400000000001</v>
      </c>
      <c r="E502">
        <v>1083.82</v>
      </c>
      <c r="F502">
        <v>1080980000</v>
      </c>
      <c r="G502">
        <v>1083.82</v>
      </c>
    </row>
    <row r="503" spans="1:7" x14ac:dyDescent="0.25">
      <c r="A503" s="5">
        <v>37389</v>
      </c>
      <c r="B503">
        <v>1054.99</v>
      </c>
      <c r="C503">
        <v>1106.5899999999999</v>
      </c>
      <c r="D503">
        <v>1053.9000000000001</v>
      </c>
      <c r="E503">
        <v>1106.5899999999999</v>
      </c>
      <c r="F503">
        <v>1290860000</v>
      </c>
      <c r="G503">
        <v>1106.5899999999999</v>
      </c>
    </row>
    <row r="504" spans="1:7" x14ac:dyDescent="0.25">
      <c r="A504" s="5">
        <v>37382</v>
      </c>
      <c r="B504">
        <v>1073.43</v>
      </c>
      <c r="C504">
        <v>1088.92</v>
      </c>
      <c r="D504">
        <v>1048.96</v>
      </c>
      <c r="E504">
        <v>1054.99</v>
      </c>
      <c r="F504">
        <v>1260840000</v>
      </c>
      <c r="G504">
        <v>1054.99</v>
      </c>
    </row>
    <row r="505" spans="1:7" x14ac:dyDescent="0.25">
      <c r="A505" s="5">
        <v>37375</v>
      </c>
      <c r="B505">
        <v>1076.32</v>
      </c>
      <c r="C505">
        <v>1091.42</v>
      </c>
      <c r="D505">
        <v>1063.46</v>
      </c>
      <c r="E505">
        <v>1073.43</v>
      </c>
      <c r="F505">
        <v>1408640000</v>
      </c>
      <c r="G505">
        <v>1073.43</v>
      </c>
    </row>
    <row r="506" spans="1:7" x14ac:dyDescent="0.25">
      <c r="A506" s="5">
        <v>37368</v>
      </c>
      <c r="B506">
        <v>1125.17</v>
      </c>
      <c r="C506">
        <v>1125.17</v>
      </c>
      <c r="D506">
        <v>1076.31</v>
      </c>
      <c r="E506">
        <v>1076.32</v>
      </c>
      <c r="F506">
        <v>1367020000</v>
      </c>
      <c r="G506">
        <v>1076.32</v>
      </c>
    </row>
    <row r="507" spans="1:7" x14ac:dyDescent="0.25">
      <c r="A507" s="5">
        <v>37361</v>
      </c>
      <c r="B507">
        <v>1111.01</v>
      </c>
      <c r="C507">
        <v>1133</v>
      </c>
      <c r="D507">
        <v>1099.4100000000001</v>
      </c>
      <c r="E507">
        <v>1125.17</v>
      </c>
      <c r="F507">
        <v>1276580000</v>
      </c>
      <c r="G507">
        <v>1125.17</v>
      </c>
    </row>
    <row r="508" spans="1:7" x14ac:dyDescent="0.25">
      <c r="A508" s="5">
        <v>37354</v>
      </c>
      <c r="B508">
        <v>1122.73</v>
      </c>
      <c r="C508">
        <v>1131.76</v>
      </c>
      <c r="D508">
        <v>1102.42</v>
      </c>
      <c r="E508">
        <v>1111.01</v>
      </c>
      <c r="F508">
        <v>1313260000</v>
      </c>
      <c r="G508">
        <v>1111.01</v>
      </c>
    </row>
    <row r="509" spans="1:7" x14ac:dyDescent="0.25">
      <c r="A509" s="5">
        <v>37347</v>
      </c>
      <c r="B509">
        <v>1147.3900000000001</v>
      </c>
      <c r="C509">
        <v>1147.8399999999999</v>
      </c>
      <c r="D509">
        <v>1119.49</v>
      </c>
      <c r="E509">
        <v>1122.73</v>
      </c>
      <c r="F509">
        <v>1168260000</v>
      </c>
      <c r="G509">
        <v>1122.73</v>
      </c>
    </row>
    <row r="510" spans="1:7" x14ac:dyDescent="0.25">
      <c r="A510" s="5">
        <v>37340</v>
      </c>
      <c r="B510">
        <v>1148.7</v>
      </c>
      <c r="C510">
        <v>1154.45</v>
      </c>
      <c r="D510">
        <v>1131.6099999999999</v>
      </c>
      <c r="E510">
        <v>1147.3900000000001</v>
      </c>
      <c r="F510">
        <v>1152300000</v>
      </c>
      <c r="G510">
        <v>1147.3900000000001</v>
      </c>
    </row>
    <row r="511" spans="1:7" x14ac:dyDescent="0.25">
      <c r="A511" s="5">
        <v>37333</v>
      </c>
      <c r="B511">
        <v>1166.1600000000001</v>
      </c>
      <c r="C511">
        <v>1173.94</v>
      </c>
      <c r="D511">
        <v>1139.48</v>
      </c>
      <c r="E511">
        <v>1148.7</v>
      </c>
      <c r="F511">
        <v>1262380000</v>
      </c>
      <c r="G511">
        <v>1148.7</v>
      </c>
    </row>
    <row r="512" spans="1:7" x14ac:dyDescent="0.25">
      <c r="A512" s="5">
        <v>37326</v>
      </c>
      <c r="B512">
        <v>1164.31</v>
      </c>
      <c r="C512">
        <v>1173.03</v>
      </c>
      <c r="D512">
        <v>1151.01</v>
      </c>
      <c r="E512">
        <v>1166.1600000000001</v>
      </c>
      <c r="F512">
        <v>1314260000</v>
      </c>
      <c r="G512">
        <v>1166.1600000000001</v>
      </c>
    </row>
    <row r="513" spans="1:7" x14ac:dyDescent="0.25">
      <c r="A513" s="5">
        <v>37319</v>
      </c>
      <c r="B513">
        <v>1131.78</v>
      </c>
      <c r="C513">
        <v>1172.76</v>
      </c>
      <c r="D513">
        <v>1130.93</v>
      </c>
      <c r="E513">
        <v>1164.31</v>
      </c>
      <c r="F513">
        <v>1522860000</v>
      </c>
      <c r="G513">
        <v>1164.31</v>
      </c>
    </row>
    <row r="514" spans="1:7" x14ac:dyDescent="0.25">
      <c r="A514" s="5">
        <v>37312</v>
      </c>
      <c r="B514">
        <v>1089.8399999999999</v>
      </c>
      <c r="C514">
        <v>1131.79</v>
      </c>
      <c r="D514">
        <v>1089.8399999999999</v>
      </c>
      <c r="E514">
        <v>1131.78</v>
      </c>
      <c r="F514">
        <v>1383820000</v>
      </c>
      <c r="G514">
        <v>1131.78</v>
      </c>
    </row>
    <row r="515" spans="1:7" x14ac:dyDescent="0.25">
      <c r="A515" s="5">
        <v>37306</v>
      </c>
      <c r="B515">
        <v>1104.18</v>
      </c>
      <c r="C515">
        <v>1104.18</v>
      </c>
      <c r="D515">
        <v>1074.3599999999999</v>
      </c>
      <c r="E515">
        <v>1089.8399999999999</v>
      </c>
      <c r="F515">
        <v>1355350000</v>
      </c>
      <c r="G515">
        <v>1089.8399999999999</v>
      </c>
    </row>
    <row r="516" spans="1:7" x14ac:dyDescent="0.25">
      <c r="A516" s="5">
        <v>37298</v>
      </c>
      <c r="B516">
        <v>1096.22</v>
      </c>
      <c r="C516">
        <v>1124.72</v>
      </c>
      <c r="D516">
        <v>1094.68</v>
      </c>
      <c r="E516">
        <v>1104.18</v>
      </c>
      <c r="F516">
        <v>1220240000</v>
      </c>
      <c r="G516">
        <v>1104.18</v>
      </c>
    </row>
    <row r="517" spans="1:7" x14ac:dyDescent="0.25">
      <c r="A517" s="5">
        <v>37291</v>
      </c>
      <c r="B517">
        <v>1122.2</v>
      </c>
      <c r="C517">
        <v>1122.2</v>
      </c>
      <c r="D517">
        <v>1077.78</v>
      </c>
      <c r="E517">
        <v>1096.22</v>
      </c>
      <c r="F517">
        <v>1539040000</v>
      </c>
      <c r="G517">
        <v>1096.22</v>
      </c>
    </row>
    <row r="518" spans="1:7" x14ac:dyDescent="0.25">
      <c r="A518" s="5">
        <v>37284</v>
      </c>
      <c r="B518">
        <v>1133.28</v>
      </c>
      <c r="C518">
        <v>1138.6300000000001</v>
      </c>
      <c r="D518">
        <v>1081.6600000000001</v>
      </c>
      <c r="E518">
        <v>1122.2</v>
      </c>
      <c r="F518">
        <v>1588520000</v>
      </c>
      <c r="G518">
        <v>1122.2</v>
      </c>
    </row>
    <row r="519" spans="1:7" x14ac:dyDescent="0.25">
      <c r="A519" s="5">
        <v>37278</v>
      </c>
      <c r="B519">
        <v>1127.58</v>
      </c>
      <c r="C519">
        <v>1139.5</v>
      </c>
      <c r="D519">
        <v>1117.43</v>
      </c>
      <c r="E519">
        <v>1133.28</v>
      </c>
      <c r="F519">
        <v>1422175000</v>
      </c>
      <c r="G519">
        <v>1133.28</v>
      </c>
    </row>
    <row r="520" spans="1:7" x14ac:dyDescent="0.25">
      <c r="A520" s="5">
        <v>37270</v>
      </c>
      <c r="B520">
        <v>1145.5999999999999</v>
      </c>
      <c r="C520">
        <v>1148.81</v>
      </c>
      <c r="D520">
        <v>1124.45</v>
      </c>
      <c r="E520">
        <v>1127.58</v>
      </c>
      <c r="F520">
        <v>1373840000</v>
      </c>
      <c r="G520">
        <v>1127.58</v>
      </c>
    </row>
    <row r="521" spans="1:7" x14ac:dyDescent="0.25">
      <c r="A521" s="5">
        <v>37263</v>
      </c>
      <c r="B521">
        <v>1172.51</v>
      </c>
      <c r="C521">
        <v>1176.97</v>
      </c>
      <c r="D521">
        <v>1145.45</v>
      </c>
      <c r="E521">
        <v>1145.5999999999999</v>
      </c>
      <c r="F521">
        <v>1306000000</v>
      </c>
      <c r="G521">
        <v>1145.5999999999999</v>
      </c>
    </row>
    <row r="522" spans="1:7" x14ac:dyDescent="0.25">
      <c r="A522" s="5">
        <v>37256</v>
      </c>
      <c r="B522">
        <v>1161.02</v>
      </c>
      <c r="C522">
        <v>1176.55</v>
      </c>
      <c r="D522">
        <v>1136.23</v>
      </c>
      <c r="E522">
        <v>1172.51</v>
      </c>
      <c r="F522">
        <v>1256625000</v>
      </c>
      <c r="G522">
        <v>1172.51</v>
      </c>
    </row>
    <row r="523" spans="1:7" x14ac:dyDescent="0.25">
      <c r="A523" s="5">
        <v>37249</v>
      </c>
      <c r="B523">
        <v>1144.8900000000001</v>
      </c>
      <c r="C523">
        <v>1164.6400000000001</v>
      </c>
      <c r="D523">
        <v>1144.6199999999999</v>
      </c>
      <c r="E523">
        <v>1161.02</v>
      </c>
      <c r="F523">
        <v>756117500</v>
      </c>
      <c r="G523">
        <v>1161.02</v>
      </c>
    </row>
    <row r="524" spans="1:7" x14ac:dyDescent="0.25">
      <c r="A524" s="5">
        <v>37242</v>
      </c>
      <c r="B524">
        <v>1123.0899999999999</v>
      </c>
      <c r="C524">
        <v>1152.44</v>
      </c>
      <c r="D524">
        <v>1122.6600000000001</v>
      </c>
      <c r="E524">
        <v>1144.8900000000001</v>
      </c>
      <c r="F524">
        <v>1456760000</v>
      </c>
      <c r="G524">
        <v>1144.8900000000001</v>
      </c>
    </row>
    <row r="525" spans="1:7" x14ac:dyDescent="0.25">
      <c r="A525" s="5">
        <v>37235</v>
      </c>
      <c r="B525">
        <v>1158.31</v>
      </c>
      <c r="C525">
        <v>1158.31</v>
      </c>
      <c r="D525">
        <v>1114.53</v>
      </c>
      <c r="E525">
        <v>1123.0899999999999</v>
      </c>
      <c r="F525">
        <v>1370780000</v>
      </c>
      <c r="G525">
        <v>1123.0899999999999</v>
      </c>
    </row>
    <row r="526" spans="1:7" x14ac:dyDescent="0.25">
      <c r="A526" s="5">
        <v>37228</v>
      </c>
      <c r="B526">
        <v>1139.45</v>
      </c>
      <c r="C526">
        <v>1173.6199999999999</v>
      </c>
      <c r="D526">
        <v>1125.78</v>
      </c>
      <c r="E526">
        <v>1158.31</v>
      </c>
      <c r="F526">
        <v>1404560000</v>
      </c>
      <c r="G526">
        <v>1158.31</v>
      </c>
    </row>
    <row r="527" spans="1:7" x14ac:dyDescent="0.25">
      <c r="A527" s="5">
        <v>37221</v>
      </c>
      <c r="B527">
        <v>1150.3399999999999</v>
      </c>
      <c r="C527">
        <v>1163.3800000000001</v>
      </c>
      <c r="D527">
        <v>1125.51</v>
      </c>
      <c r="E527">
        <v>1139.45</v>
      </c>
      <c r="F527">
        <v>1312160000</v>
      </c>
      <c r="G527">
        <v>1139.45</v>
      </c>
    </row>
    <row r="528" spans="1:7" x14ac:dyDescent="0.25">
      <c r="A528" s="5">
        <v>37214</v>
      </c>
      <c r="B528">
        <v>1138.6500000000001</v>
      </c>
      <c r="C528">
        <v>1152.45</v>
      </c>
      <c r="D528">
        <v>1129.78</v>
      </c>
      <c r="E528">
        <v>1150.3399999999999</v>
      </c>
      <c r="F528">
        <v>1021650000</v>
      </c>
      <c r="G528">
        <v>1150.3399999999999</v>
      </c>
    </row>
    <row r="529" spans="1:7" x14ac:dyDescent="0.25">
      <c r="A529" s="5">
        <v>37207</v>
      </c>
      <c r="B529">
        <v>1120.31</v>
      </c>
      <c r="C529">
        <v>1148.28</v>
      </c>
      <c r="D529">
        <v>1098.32</v>
      </c>
      <c r="E529">
        <v>1138.6500000000001</v>
      </c>
      <c r="F529">
        <v>1319400000</v>
      </c>
      <c r="G529">
        <v>1138.6500000000001</v>
      </c>
    </row>
    <row r="530" spans="1:7" x14ac:dyDescent="0.25">
      <c r="A530" s="5">
        <v>37200</v>
      </c>
      <c r="B530">
        <v>1087.2</v>
      </c>
      <c r="C530">
        <v>1135.75</v>
      </c>
      <c r="D530">
        <v>1087.2</v>
      </c>
      <c r="E530">
        <v>1120.31</v>
      </c>
      <c r="F530">
        <v>1329260000</v>
      </c>
      <c r="G530">
        <v>1120.31</v>
      </c>
    </row>
    <row r="531" spans="1:7" x14ac:dyDescent="0.25">
      <c r="A531" s="5">
        <v>37193</v>
      </c>
      <c r="B531">
        <v>1104.6099999999999</v>
      </c>
      <c r="C531">
        <v>1104.6099999999999</v>
      </c>
      <c r="D531">
        <v>1053.6099999999999</v>
      </c>
      <c r="E531">
        <v>1087.2</v>
      </c>
      <c r="F531">
        <v>1239060000</v>
      </c>
      <c r="G531">
        <v>1087.2</v>
      </c>
    </row>
    <row r="532" spans="1:7" x14ac:dyDescent="0.25">
      <c r="A532" s="5">
        <v>37186</v>
      </c>
      <c r="B532">
        <v>1073.48</v>
      </c>
      <c r="C532">
        <v>1110.6099999999999</v>
      </c>
      <c r="D532">
        <v>1065.6400000000001</v>
      </c>
      <c r="E532">
        <v>1104.6099999999999</v>
      </c>
      <c r="F532">
        <v>1273620000</v>
      </c>
      <c r="G532">
        <v>1104.6099999999999</v>
      </c>
    </row>
    <row r="533" spans="1:7" x14ac:dyDescent="0.25">
      <c r="A533" s="5">
        <v>37179</v>
      </c>
      <c r="B533">
        <v>1091.6500000000001</v>
      </c>
      <c r="C533">
        <v>1107.1199999999999</v>
      </c>
      <c r="D533">
        <v>1057.24</v>
      </c>
      <c r="E533">
        <v>1073.48</v>
      </c>
      <c r="F533">
        <v>1249040000</v>
      </c>
      <c r="G533">
        <v>1073.48</v>
      </c>
    </row>
    <row r="534" spans="1:7" x14ac:dyDescent="0.25">
      <c r="A534" s="5">
        <v>37172</v>
      </c>
      <c r="B534">
        <v>1071.3699999999999</v>
      </c>
      <c r="C534">
        <v>1099.1600000000001</v>
      </c>
      <c r="D534">
        <v>1052.76</v>
      </c>
      <c r="E534">
        <v>1091.6500000000001</v>
      </c>
      <c r="F534">
        <v>1311036000</v>
      </c>
      <c r="G534">
        <v>1091.6500000000001</v>
      </c>
    </row>
    <row r="535" spans="1:7" x14ac:dyDescent="0.25">
      <c r="A535" s="5">
        <v>37165</v>
      </c>
      <c r="B535">
        <v>1040.94</v>
      </c>
      <c r="C535">
        <v>1084.1199999999999</v>
      </c>
      <c r="D535">
        <v>1026.76</v>
      </c>
      <c r="E535">
        <v>1071.3800000000001</v>
      </c>
      <c r="F535">
        <v>1405360000</v>
      </c>
      <c r="G535">
        <v>1071.3800000000001</v>
      </c>
    </row>
    <row r="536" spans="1:7" x14ac:dyDescent="0.25">
      <c r="A536" s="5">
        <v>37158</v>
      </c>
      <c r="B536">
        <v>965.8</v>
      </c>
      <c r="C536">
        <v>1040.94</v>
      </c>
      <c r="D536">
        <v>965.8</v>
      </c>
      <c r="E536">
        <v>1040.94</v>
      </c>
      <c r="F536">
        <v>1595600000</v>
      </c>
      <c r="G536">
        <v>1040.94</v>
      </c>
    </row>
    <row r="537" spans="1:7" x14ac:dyDescent="0.25">
      <c r="A537" s="5">
        <v>37144</v>
      </c>
      <c r="B537">
        <v>1085.78</v>
      </c>
      <c r="C537">
        <v>1096.94</v>
      </c>
      <c r="D537">
        <v>944.75</v>
      </c>
      <c r="E537">
        <v>965.8</v>
      </c>
      <c r="F537">
        <v>1950081600</v>
      </c>
      <c r="G537">
        <v>965.8</v>
      </c>
    </row>
    <row r="538" spans="1:7" x14ac:dyDescent="0.25">
      <c r="A538" s="5">
        <v>37138</v>
      </c>
      <c r="B538">
        <v>1133.58</v>
      </c>
      <c r="C538">
        <v>1155.4000000000001</v>
      </c>
      <c r="D538">
        <v>1082.1199999999999</v>
      </c>
      <c r="E538">
        <v>1085.78</v>
      </c>
      <c r="F538">
        <v>1336700000</v>
      </c>
      <c r="G538">
        <v>1085.78</v>
      </c>
    </row>
    <row r="539" spans="1:7" x14ac:dyDescent="0.25">
      <c r="A539" s="5">
        <v>37130</v>
      </c>
      <c r="B539">
        <v>1184.93</v>
      </c>
      <c r="C539">
        <v>1186.8499999999999</v>
      </c>
      <c r="D539">
        <v>1124.8699999999999</v>
      </c>
      <c r="E539">
        <v>1133.58</v>
      </c>
      <c r="F539">
        <v>974100000</v>
      </c>
      <c r="G539">
        <v>1133.58</v>
      </c>
    </row>
    <row r="540" spans="1:7" x14ac:dyDescent="0.25">
      <c r="A540" s="5">
        <v>37123</v>
      </c>
      <c r="B540">
        <v>1161.97</v>
      </c>
      <c r="C540">
        <v>1185.1500000000001</v>
      </c>
      <c r="D540">
        <v>1153.3399999999999</v>
      </c>
      <c r="E540">
        <v>1184.93</v>
      </c>
      <c r="F540">
        <v>1015860000</v>
      </c>
      <c r="G540">
        <v>1184.93</v>
      </c>
    </row>
    <row r="541" spans="1:7" x14ac:dyDescent="0.25">
      <c r="A541" s="5">
        <v>37116</v>
      </c>
      <c r="B541">
        <v>1190.1600000000001</v>
      </c>
      <c r="C541">
        <v>1198.79</v>
      </c>
      <c r="D541">
        <v>1156.07</v>
      </c>
      <c r="E541">
        <v>1161.97</v>
      </c>
      <c r="F541">
        <v>979500000</v>
      </c>
      <c r="G541">
        <v>1161.97</v>
      </c>
    </row>
    <row r="542" spans="1:7" x14ac:dyDescent="0.25">
      <c r="A542" s="5">
        <v>37109</v>
      </c>
      <c r="B542">
        <v>1214.3499999999999</v>
      </c>
      <c r="C542">
        <v>1214.3499999999999</v>
      </c>
      <c r="D542">
        <v>1169.55</v>
      </c>
      <c r="E542">
        <v>1190.1600000000001</v>
      </c>
      <c r="F542">
        <v>1002680000</v>
      </c>
      <c r="G542">
        <v>1190.1600000000001</v>
      </c>
    </row>
    <row r="543" spans="1:7" x14ac:dyDescent="0.25">
      <c r="A543" s="5">
        <v>37102</v>
      </c>
      <c r="B543">
        <v>1205.82</v>
      </c>
      <c r="C543">
        <v>1226.27</v>
      </c>
      <c r="D543">
        <v>1200.4100000000001</v>
      </c>
      <c r="E543">
        <v>1214.3499999999999</v>
      </c>
      <c r="F543">
        <v>1107360000</v>
      </c>
      <c r="G543">
        <v>1214.3499999999999</v>
      </c>
    </row>
    <row r="544" spans="1:7" x14ac:dyDescent="0.25">
      <c r="A544" s="5">
        <v>37095</v>
      </c>
      <c r="B544">
        <v>1210.8499999999999</v>
      </c>
      <c r="C544">
        <v>1215.22</v>
      </c>
      <c r="D544">
        <v>1165.54</v>
      </c>
      <c r="E544">
        <v>1205.82</v>
      </c>
      <c r="F544">
        <v>1139100000</v>
      </c>
      <c r="G544">
        <v>1205.82</v>
      </c>
    </row>
    <row r="545" spans="1:7" x14ac:dyDescent="0.25">
      <c r="A545" s="5">
        <v>37088</v>
      </c>
      <c r="B545">
        <v>1215.68</v>
      </c>
      <c r="C545">
        <v>1225.04</v>
      </c>
      <c r="D545">
        <v>1196.1400000000001</v>
      </c>
      <c r="E545">
        <v>1210.8499999999999</v>
      </c>
      <c r="F545">
        <v>1221720000</v>
      </c>
      <c r="G545">
        <v>1210.8499999999999</v>
      </c>
    </row>
    <row r="546" spans="1:7" x14ac:dyDescent="0.25">
      <c r="A546" s="5">
        <v>37081</v>
      </c>
      <c r="B546">
        <v>1190.5899999999999</v>
      </c>
      <c r="C546">
        <v>1218.54</v>
      </c>
      <c r="D546">
        <v>1168.46</v>
      </c>
      <c r="E546">
        <v>1215.68</v>
      </c>
      <c r="F546">
        <v>1241860000</v>
      </c>
      <c r="G546">
        <v>1215.68</v>
      </c>
    </row>
    <row r="547" spans="1:7" x14ac:dyDescent="0.25">
      <c r="A547" s="5">
        <v>37074</v>
      </c>
      <c r="B547">
        <v>1224.42</v>
      </c>
      <c r="C547">
        <v>1239.78</v>
      </c>
      <c r="D547">
        <v>1188.74</v>
      </c>
      <c r="E547">
        <v>1190.5899999999999</v>
      </c>
      <c r="F547">
        <v>935502500</v>
      </c>
      <c r="G547">
        <v>1190.5899999999999</v>
      </c>
    </row>
    <row r="548" spans="1:7" x14ac:dyDescent="0.25">
      <c r="A548" s="5">
        <v>37067</v>
      </c>
      <c r="B548">
        <v>1225.3499999999999</v>
      </c>
      <c r="C548">
        <v>1237.29</v>
      </c>
      <c r="D548">
        <v>1204.6400000000001</v>
      </c>
      <c r="E548">
        <v>1224.3800000000001</v>
      </c>
      <c r="F548">
        <v>1314152000</v>
      </c>
      <c r="G548">
        <v>1224.3800000000001</v>
      </c>
    </row>
    <row r="549" spans="1:7" x14ac:dyDescent="0.25">
      <c r="A549" s="5">
        <v>37060</v>
      </c>
      <c r="B549">
        <v>1214.3599999999999</v>
      </c>
      <c r="C549">
        <v>1240.24</v>
      </c>
      <c r="D549">
        <v>1207.71</v>
      </c>
      <c r="E549">
        <v>1225.3499999999999</v>
      </c>
      <c r="F549">
        <v>1276524000</v>
      </c>
      <c r="G549">
        <v>1225.3499999999999</v>
      </c>
    </row>
    <row r="550" spans="1:7" x14ac:dyDescent="0.25">
      <c r="A550" s="5">
        <v>37053</v>
      </c>
      <c r="B550">
        <v>1264.96</v>
      </c>
      <c r="C550">
        <v>1264.96</v>
      </c>
      <c r="D550">
        <v>1203.03</v>
      </c>
      <c r="E550">
        <v>1214.3599999999999</v>
      </c>
      <c r="F550">
        <v>1189730000</v>
      </c>
      <c r="G550">
        <v>1214.3599999999999</v>
      </c>
    </row>
    <row r="551" spans="1:7" x14ac:dyDescent="0.25">
      <c r="A551" s="5">
        <v>37046</v>
      </c>
      <c r="B551">
        <v>1260.67</v>
      </c>
      <c r="C551">
        <v>1286.6199999999999</v>
      </c>
      <c r="D551">
        <v>1256.3599999999999</v>
      </c>
      <c r="E551">
        <v>1264.96</v>
      </c>
      <c r="F551">
        <v>966200000</v>
      </c>
      <c r="G551">
        <v>1264.96</v>
      </c>
    </row>
    <row r="552" spans="1:7" x14ac:dyDescent="0.25">
      <c r="A552" s="5">
        <v>37040</v>
      </c>
      <c r="B552">
        <v>1277.8900000000001</v>
      </c>
      <c r="C552">
        <v>1278.42</v>
      </c>
      <c r="D552">
        <v>1245.96</v>
      </c>
      <c r="E552">
        <v>1260.67</v>
      </c>
      <c r="F552">
        <v>1106550000</v>
      </c>
      <c r="G552">
        <v>1260.67</v>
      </c>
    </row>
    <row r="553" spans="1:7" x14ac:dyDescent="0.25">
      <c r="A553" s="5">
        <v>37032</v>
      </c>
      <c r="B553">
        <v>1291.96</v>
      </c>
      <c r="C553">
        <v>1315.93</v>
      </c>
      <c r="D553">
        <v>1276.42</v>
      </c>
      <c r="E553">
        <v>1277.8900000000001</v>
      </c>
      <c r="F553">
        <v>1099780000</v>
      </c>
      <c r="G553">
        <v>1277.8900000000001</v>
      </c>
    </row>
    <row r="554" spans="1:7" x14ac:dyDescent="0.25">
      <c r="A554" s="5">
        <v>37025</v>
      </c>
      <c r="B554">
        <v>1245.67</v>
      </c>
      <c r="C554">
        <v>1296.48</v>
      </c>
      <c r="D554">
        <v>1241.02</v>
      </c>
      <c r="E554">
        <v>1291.96</v>
      </c>
      <c r="F554">
        <v>1164340000</v>
      </c>
      <c r="G554">
        <v>1291.96</v>
      </c>
    </row>
    <row r="555" spans="1:7" x14ac:dyDescent="0.25">
      <c r="A555" s="5">
        <v>37018</v>
      </c>
      <c r="B555">
        <v>1266.6099999999999</v>
      </c>
      <c r="C555">
        <v>1270</v>
      </c>
      <c r="D555">
        <v>1240.79</v>
      </c>
      <c r="E555">
        <v>1245.67</v>
      </c>
      <c r="F555">
        <v>1010120000</v>
      </c>
      <c r="G555">
        <v>1245.67</v>
      </c>
    </row>
    <row r="556" spans="1:7" x14ac:dyDescent="0.25">
      <c r="A556" s="5">
        <v>37011</v>
      </c>
      <c r="B556">
        <v>1253.05</v>
      </c>
      <c r="C556">
        <v>1272.93</v>
      </c>
      <c r="D556">
        <v>1232</v>
      </c>
      <c r="E556">
        <v>1266.6099999999999</v>
      </c>
      <c r="F556">
        <v>1202060000</v>
      </c>
      <c r="G556">
        <v>1266.6099999999999</v>
      </c>
    </row>
    <row r="557" spans="1:7" x14ac:dyDescent="0.25">
      <c r="A557" s="5">
        <v>37004</v>
      </c>
      <c r="B557">
        <v>1242.98</v>
      </c>
      <c r="C557">
        <v>1253.07</v>
      </c>
      <c r="D557">
        <v>1207.3800000000001</v>
      </c>
      <c r="E557">
        <v>1253.05</v>
      </c>
      <c r="F557">
        <v>1173840000</v>
      </c>
      <c r="G557">
        <v>1253.05</v>
      </c>
    </row>
    <row r="558" spans="1:7" x14ac:dyDescent="0.25">
      <c r="A558" s="5">
        <v>36997</v>
      </c>
      <c r="B558">
        <v>1183.5</v>
      </c>
      <c r="C558">
        <v>1253.71</v>
      </c>
      <c r="D558">
        <v>1167.3800000000001</v>
      </c>
      <c r="E558">
        <v>1242.98</v>
      </c>
      <c r="F558">
        <v>1353580000</v>
      </c>
      <c r="G558">
        <v>1242.98</v>
      </c>
    </row>
    <row r="559" spans="1:7" x14ac:dyDescent="0.25">
      <c r="A559" s="5">
        <v>36990</v>
      </c>
      <c r="B559">
        <v>1128.43</v>
      </c>
      <c r="C559">
        <v>1183.51</v>
      </c>
      <c r="D559">
        <v>1126.3800000000001</v>
      </c>
      <c r="E559">
        <v>1183.5</v>
      </c>
      <c r="F559">
        <v>1201175000</v>
      </c>
      <c r="G559">
        <v>1183.5</v>
      </c>
    </row>
    <row r="560" spans="1:7" x14ac:dyDescent="0.25">
      <c r="A560" s="5">
        <v>36983</v>
      </c>
      <c r="B560">
        <v>1160.33</v>
      </c>
      <c r="C560">
        <v>1169.51</v>
      </c>
      <c r="D560">
        <v>1091.99</v>
      </c>
      <c r="E560">
        <v>1128.43</v>
      </c>
      <c r="F560">
        <v>1340278000</v>
      </c>
      <c r="G560">
        <v>1128.43</v>
      </c>
    </row>
    <row r="561" spans="1:7" x14ac:dyDescent="0.25">
      <c r="A561" s="5">
        <v>36976</v>
      </c>
      <c r="B561">
        <v>1139.83</v>
      </c>
      <c r="C561">
        <v>1183.3499999999999</v>
      </c>
      <c r="D561">
        <v>1136.26</v>
      </c>
      <c r="E561">
        <v>1160.33</v>
      </c>
      <c r="F561">
        <v>1255380000</v>
      </c>
      <c r="G561">
        <v>1160.33</v>
      </c>
    </row>
    <row r="562" spans="1:7" x14ac:dyDescent="0.25">
      <c r="A562" s="5">
        <v>36969</v>
      </c>
      <c r="B562">
        <v>1150.53</v>
      </c>
      <c r="C562">
        <v>1180.56</v>
      </c>
      <c r="D562">
        <v>1081.19</v>
      </c>
      <c r="E562">
        <v>1139.83</v>
      </c>
      <c r="F562">
        <v>1359450000</v>
      </c>
      <c r="G562">
        <v>1139.83</v>
      </c>
    </row>
    <row r="563" spans="1:7" x14ac:dyDescent="0.25">
      <c r="A563" s="5">
        <v>36962</v>
      </c>
      <c r="B563">
        <v>1233.42</v>
      </c>
      <c r="C563">
        <v>1233.42</v>
      </c>
      <c r="D563">
        <v>1148.6400000000001</v>
      </c>
      <c r="E563">
        <v>1150.53</v>
      </c>
      <c r="F563">
        <v>1358072000</v>
      </c>
      <c r="G563">
        <v>1150.53</v>
      </c>
    </row>
    <row r="564" spans="1:7" x14ac:dyDescent="0.25">
      <c r="A564" s="5">
        <v>36955</v>
      </c>
      <c r="B564">
        <v>1234.18</v>
      </c>
      <c r="C564">
        <v>1267.42</v>
      </c>
      <c r="D564">
        <v>1228.42</v>
      </c>
      <c r="E564">
        <v>1233.42</v>
      </c>
      <c r="F564">
        <v>1070640000</v>
      </c>
      <c r="G564">
        <v>1233.42</v>
      </c>
    </row>
    <row r="565" spans="1:7" x14ac:dyDescent="0.25">
      <c r="A565" s="5">
        <v>36948</v>
      </c>
      <c r="B565">
        <v>1245.8599999999999</v>
      </c>
      <c r="C565">
        <v>1272.76</v>
      </c>
      <c r="D565">
        <v>1214.5</v>
      </c>
      <c r="E565">
        <v>1234.18</v>
      </c>
      <c r="F565">
        <v>1211820000</v>
      </c>
      <c r="G565">
        <v>1234.18</v>
      </c>
    </row>
    <row r="566" spans="1:7" x14ac:dyDescent="0.25">
      <c r="A566" s="5">
        <v>36942</v>
      </c>
      <c r="B566">
        <v>1301.53</v>
      </c>
      <c r="C566">
        <v>1307.1600000000001</v>
      </c>
      <c r="D566">
        <v>1215.44</v>
      </c>
      <c r="E566">
        <v>1245.8599999999999</v>
      </c>
      <c r="F566">
        <v>1229475000</v>
      </c>
      <c r="G566">
        <v>1245.8599999999999</v>
      </c>
    </row>
    <row r="567" spans="1:7" x14ac:dyDescent="0.25">
      <c r="A567" s="5">
        <v>36934</v>
      </c>
      <c r="B567">
        <v>1314.76</v>
      </c>
      <c r="C567">
        <v>1336.62</v>
      </c>
      <c r="D567">
        <v>1293.18</v>
      </c>
      <c r="E567">
        <v>1301.53</v>
      </c>
      <c r="F567">
        <v>1135100000</v>
      </c>
      <c r="G567">
        <v>1301.53</v>
      </c>
    </row>
    <row r="568" spans="1:7" x14ac:dyDescent="0.25">
      <c r="A568" s="5">
        <v>36927</v>
      </c>
      <c r="B568">
        <v>1349.47</v>
      </c>
      <c r="C568">
        <v>1363.55</v>
      </c>
      <c r="D568">
        <v>1309.98</v>
      </c>
      <c r="E568">
        <v>1314.76</v>
      </c>
      <c r="F568">
        <v>1082720000</v>
      </c>
      <c r="G568">
        <v>1314.76</v>
      </c>
    </row>
    <row r="569" spans="1:7" x14ac:dyDescent="0.25">
      <c r="A569" s="5">
        <v>36920</v>
      </c>
      <c r="B569">
        <v>1354.92</v>
      </c>
      <c r="C569">
        <v>1383.37</v>
      </c>
      <c r="D569">
        <v>1348.72</v>
      </c>
      <c r="E569">
        <v>1349.47</v>
      </c>
      <c r="F569">
        <v>1133080000</v>
      </c>
      <c r="G569">
        <v>1349.47</v>
      </c>
    </row>
    <row r="570" spans="1:7" x14ac:dyDescent="0.25">
      <c r="A570" s="5">
        <v>36913</v>
      </c>
      <c r="B570">
        <v>1342.54</v>
      </c>
      <c r="C570">
        <v>1369.75</v>
      </c>
      <c r="D570">
        <v>1333.84</v>
      </c>
      <c r="E570">
        <v>1354.95</v>
      </c>
      <c r="F570">
        <v>1212320000</v>
      </c>
      <c r="G570">
        <v>1354.95</v>
      </c>
    </row>
    <row r="571" spans="1:7" x14ac:dyDescent="0.25">
      <c r="A571" s="5">
        <v>36907</v>
      </c>
      <c r="B571">
        <v>1318.32</v>
      </c>
      <c r="C571">
        <v>1354.55</v>
      </c>
      <c r="D571">
        <v>1313.33</v>
      </c>
      <c r="E571">
        <v>1342.54</v>
      </c>
      <c r="F571">
        <v>1351900000</v>
      </c>
      <c r="G571">
        <v>1342.54</v>
      </c>
    </row>
    <row r="572" spans="1:7" x14ac:dyDescent="0.25">
      <c r="A572" s="5">
        <v>36899</v>
      </c>
      <c r="B572">
        <v>1298.3499999999999</v>
      </c>
      <c r="C572">
        <v>1333.21</v>
      </c>
      <c r="D572">
        <v>1276.29</v>
      </c>
      <c r="E572">
        <v>1318.55</v>
      </c>
      <c r="F572">
        <v>1258100000</v>
      </c>
      <c r="G572">
        <v>1318.55</v>
      </c>
    </row>
    <row r="573" spans="1:7" x14ac:dyDescent="0.25">
      <c r="A573" s="5">
        <v>36893</v>
      </c>
      <c r="B573">
        <v>1320.28</v>
      </c>
      <c r="C573">
        <v>1350.24</v>
      </c>
      <c r="D573">
        <v>1274.6199999999999</v>
      </c>
      <c r="E573">
        <v>1298.3499999999999</v>
      </c>
      <c r="F573">
        <v>1642975000</v>
      </c>
      <c r="G573">
        <v>1298.3499999999999</v>
      </c>
    </row>
    <row r="574" spans="1:7" x14ac:dyDescent="0.25">
      <c r="A574" s="5">
        <v>36886</v>
      </c>
      <c r="B574">
        <v>1305.97</v>
      </c>
      <c r="C574">
        <v>1340.1</v>
      </c>
      <c r="D574">
        <v>1301.6400000000001</v>
      </c>
      <c r="E574">
        <v>1320.28</v>
      </c>
      <c r="F574">
        <v>987500000</v>
      </c>
      <c r="G574">
        <v>1320.28</v>
      </c>
    </row>
    <row r="575" spans="1:7" x14ac:dyDescent="0.25">
      <c r="A575" s="5">
        <v>36878</v>
      </c>
      <c r="B575">
        <v>1312.15</v>
      </c>
      <c r="C575">
        <v>1346.44</v>
      </c>
      <c r="D575">
        <v>1254.07</v>
      </c>
      <c r="E575">
        <v>1305.95</v>
      </c>
      <c r="F575">
        <v>1294680000</v>
      </c>
      <c r="G575">
        <v>1305.95</v>
      </c>
    </row>
    <row r="576" spans="1:7" x14ac:dyDescent="0.25">
      <c r="A576" s="5">
        <v>36871</v>
      </c>
      <c r="B576">
        <v>1369.89</v>
      </c>
      <c r="C576">
        <v>1389.05</v>
      </c>
      <c r="D576">
        <v>1305.3800000000001</v>
      </c>
      <c r="E576">
        <v>1312.15</v>
      </c>
      <c r="F576">
        <v>1220660000</v>
      </c>
      <c r="G576">
        <v>1312.15</v>
      </c>
    </row>
    <row r="577" spans="1:7" x14ac:dyDescent="0.25">
      <c r="A577" s="5">
        <v>36864</v>
      </c>
      <c r="B577">
        <v>1315.18</v>
      </c>
      <c r="C577">
        <v>1380.33</v>
      </c>
      <c r="D577">
        <v>1310.23</v>
      </c>
      <c r="E577">
        <v>1369.89</v>
      </c>
      <c r="F577">
        <v>1177780000</v>
      </c>
      <c r="G577">
        <v>1369.89</v>
      </c>
    </row>
    <row r="578" spans="1:7" x14ac:dyDescent="0.25">
      <c r="A578" s="5">
        <v>36857</v>
      </c>
      <c r="B578">
        <v>1341.77</v>
      </c>
      <c r="C578">
        <v>1362.5</v>
      </c>
      <c r="D578">
        <v>1294.9000000000001</v>
      </c>
      <c r="E578">
        <v>1315.23</v>
      </c>
      <c r="F578">
        <v>951626000</v>
      </c>
      <c r="G578">
        <v>1315.23</v>
      </c>
    </row>
    <row r="579" spans="1:7" x14ac:dyDescent="0.25">
      <c r="A579" s="5">
        <v>36850</v>
      </c>
      <c r="B579">
        <v>1367.72</v>
      </c>
      <c r="C579">
        <v>1367.72</v>
      </c>
      <c r="D579">
        <v>1321.89</v>
      </c>
      <c r="E579">
        <v>1341.77</v>
      </c>
      <c r="F579">
        <v>865242500</v>
      </c>
      <c r="G579">
        <v>1341.77</v>
      </c>
    </row>
    <row r="580" spans="1:7" x14ac:dyDescent="0.25">
      <c r="A580" s="5">
        <v>36843</v>
      </c>
      <c r="B580">
        <v>1365.98</v>
      </c>
      <c r="C580">
        <v>1395.96</v>
      </c>
      <c r="D580">
        <v>1328.62</v>
      </c>
      <c r="E580">
        <v>1367.72</v>
      </c>
      <c r="F580">
        <v>1068320000</v>
      </c>
      <c r="G580">
        <v>1367.72</v>
      </c>
    </row>
    <row r="581" spans="1:7" x14ac:dyDescent="0.25">
      <c r="A581" s="5">
        <v>36836</v>
      </c>
      <c r="B581">
        <v>1428.76</v>
      </c>
      <c r="C581">
        <v>1438.46</v>
      </c>
      <c r="D581">
        <v>1365.97</v>
      </c>
      <c r="E581">
        <v>1365.98</v>
      </c>
      <c r="F581">
        <v>958920000</v>
      </c>
      <c r="G581">
        <v>1365.98</v>
      </c>
    </row>
    <row r="582" spans="1:7" x14ac:dyDescent="0.25">
      <c r="A582" s="5">
        <v>36829</v>
      </c>
      <c r="B582">
        <v>1379.58</v>
      </c>
      <c r="C582">
        <v>1433.4</v>
      </c>
      <c r="D582">
        <v>1376.86</v>
      </c>
      <c r="E582">
        <v>1426.69</v>
      </c>
      <c r="F582">
        <v>1185020000</v>
      </c>
      <c r="G582">
        <v>1426.69</v>
      </c>
    </row>
    <row r="583" spans="1:7" x14ac:dyDescent="0.25">
      <c r="A583" s="5">
        <v>36822</v>
      </c>
      <c r="B583">
        <v>1396.93</v>
      </c>
      <c r="C583">
        <v>1415.64</v>
      </c>
      <c r="D583">
        <v>1337.81</v>
      </c>
      <c r="E583">
        <v>1379.58</v>
      </c>
      <c r="F583">
        <v>1182220000</v>
      </c>
      <c r="G583">
        <v>1379.58</v>
      </c>
    </row>
    <row r="584" spans="1:7" x14ac:dyDescent="0.25">
      <c r="A584" s="5">
        <v>36815</v>
      </c>
      <c r="B584">
        <v>1374.17</v>
      </c>
      <c r="C584">
        <v>1408.47</v>
      </c>
      <c r="D584">
        <v>1305.79</v>
      </c>
      <c r="E584">
        <v>1396.93</v>
      </c>
      <c r="F584">
        <v>1216780000</v>
      </c>
      <c r="G584">
        <v>1396.93</v>
      </c>
    </row>
    <row r="585" spans="1:7" x14ac:dyDescent="0.25">
      <c r="A585" s="5">
        <v>36808</v>
      </c>
      <c r="B585">
        <v>1408.99</v>
      </c>
      <c r="C585">
        <v>1409.69</v>
      </c>
      <c r="D585">
        <v>1327.08</v>
      </c>
      <c r="E585">
        <v>1374.17</v>
      </c>
      <c r="F585">
        <v>1152120000</v>
      </c>
      <c r="G585">
        <v>1374.17</v>
      </c>
    </row>
    <row r="586" spans="1:7" x14ac:dyDescent="0.25">
      <c r="A586" s="5">
        <v>36801</v>
      </c>
      <c r="B586">
        <v>1436.52</v>
      </c>
      <c r="C586">
        <v>1454.82</v>
      </c>
      <c r="D586">
        <v>1397.06</v>
      </c>
      <c r="E586">
        <v>1408.99</v>
      </c>
      <c r="F586">
        <v>1128580000</v>
      </c>
      <c r="G586">
        <v>1408.99</v>
      </c>
    </row>
    <row r="587" spans="1:7" x14ac:dyDescent="0.25">
      <c r="A587" s="5">
        <v>36794</v>
      </c>
      <c r="B587">
        <v>1448.72</v>
      </c>
      <c r="C587">
        <v>1461.69</v>
      </c>
      <c r="D587">
        <v>1419.44</v>
      </c>
      <c r="E587">
        <v>1436.51</v>
      </c>
      <c r="F587">
        <v>1133400000</v>
      </c>
      <c r="G587">
        <v>1436.51</v>
      </c>
    </row>
    <row r="588" spans="1:7" x14ac:dyDescent="0.25">
      <c r="A588" s="5">
        <v>36787</v>
      </c>
      <c r="B588">
        <v>1465.81</v>
      </c>
      <c r="C588">
        <v>1467.77</v>
      </c>
      <c r="D588">
        <v>1421.88</v>
      </c>
      <c r="E588">
        <v>1448.72</v>
      </c>
      <c r="F588">
        <v>1076460000</v>
      </c>
      <c r="G588">
        <v>1448.72</v>
      </c>
    </row>
    <row r="589" spans="1:7" x14ac:dyDescent="0.25">
      <c r="A589" s="5">
        <v>36780</v>
      </c>
      <c r="B589">
        <v>1494.5</v>
      </c>
      <c r="C589">
        <v>1506.76</v>
      </c>
      <c r="D589">
        <v>1460.22</v>
      </c>
      <c r="E589">
        <v>1465.81</v>
      </c>
      <c r="F589">
        <v>1048240000</v>
      </c>
      <c r="G589">
        <v>1465.81</v>
      </c>
    </row>
    <row r="590" spans="1:7" x14ac:dyDescent="0.25">
      <c r="A590" s="5">
        <v>36774</v>
      </c>
      <c r="B590">
        <v>1520.77</v>
      </c>
      <c r="C590">
        <v>1520.77</v>
      </c>
      <c r="D590">
        <v>1489.88</v>
      </c>
      <c r="E590">
        <v>1494.5</v>
      </c>
      <c r="F590">
        <v>945025000</v>
      </c>
      <c r="G590">
        <v>1494.5</v>
      </c>
    </row>
    <row r="591" spans="1:7" x14ac:dyDescent="0.25">
      <c r="A591" s="5">
        <v>36766</v>
      </c>
      <c r="B591">
        <v>1506.45</v>
      </c>
      <c r="C591">
        <v>1530.09</v>
      </c>
      <c r="D591">
        <v>1500.09</v>
      </c>
      <c r="E591">
        <v>1520.77</v>
      </c>
      <c r="F591">
        <v>834380000</v>
      </c>
      <c r="G591">
        <v>1520.77</v>
      </c>
    </row>
    <row r="592" spans="1:7" x14ac:dyDescent="0.25">
      <c r="A592" s="5">
        <v>36759</v>
      </c>
      <c r="B592">
        <v>1491.72</v>
      </c>
      <c r="C592">
        <v>1513.47</v>
      </c>
      <c r="D592">
        <v>1489.52</v>
      </c>
      <c r="E592">
        <v>1506.45</v>
      </c>
      <c r="F592">
        <v>788820000</v>
      </c>
      <c r="G592">
        <v>1506.45</v>
      </c>
    </row>
    <row r="593" spans="1:7" x14ac:dyDescent="0.25">
      <c r="A593" s="5">
        <v>36752</v>
      </c>
      <c r="B593">
        <v>1471.84</v>
      </c>
      <c r="C593">
        <v>1499.47</v>
      </c>
      <c r="D593">
        <v>1468.56</v>
      </c>
      <c r="E593">
        <v>1491.72</v>
      </c>
      <c r="F593">
        <v>870660000</v>
      </c>
      <c r="G593">
        <v>1491.72</v>
      </c>
    </row>
    <row r="594" spans="1:7" x14ac:dyDescent="0.25">
      <c r="A594" s="5">
        <v>36745</v>
      </c>
      <c r="B594">
        <v>1462.93</v>
      </c>
      <c r="C594">
        <v>1490.33</v>
      </c>
      <c r="D594">
        <v>1453.06</v>
      </c>
      <c r="E594">
        <v>1471.84</v>
      </c>
      <c r="F594">
        <v>935460000</v>
      </c>
      <c r="G594">
        <v>1471.84</v>
      </c>
    </row>
    <row r="595" spans="1:7" x14ac:dyDescent="0.25">
      <c r="A595" s="5">
        <v>36738</v>
      </c>
      <c r="B595">
        <v>1419.89</v>
      </c>
      <c r="C595">
        <v>1462.93</v>
      </c>
      <c r="D595">
        <v>1418.71</v>
      </c>
      <c r="E595">
        <v>1462.93</v>
      </c>
      <c r="F595">
        <v>987480000</v>
      </c>
      <c r="G595">
        <v>1462.93</v>
      </c>
    </row>
    <row r="596" spans="1:7" x14ac:dyDescent="0.25">
      <c r="A596" s="5">
        <v>36731</v>
      </c>
      <c r="B596">
        <v>1480.19</v>
      </c>
      <c r="C596">
        <v>1485.88</v>
      </c>
      <c r="D596">
        <v>1413.89</v>
      </c>
      <c r="E596">
        <v>1419.89</v>
      </c>
      <c r="F596">
        <v>1044380000</v>
      </c>
      <c r="G596">
        <v>1419.89</v>
      </c>
    </row>
    <row r="597" spans="1:7" x14ac:dyDescent="0.25">
      <c r="A597" s="5">
        <v>36724</v>
      </c>
      <c r="B597">
        <v>1509.98</v>
      </c>
      <c r="C597">
        <v>1517.32</v>
      </c>
      <c r="D597">
        <v>1477.91</v>
      </c>
      <c r="E597">
        <v>1480.19</v>
      </c>
      <c r="F597">
        <v>951320000</v>
      </c>
      <c r="G597">
        <v>1480.19</v>
      </c>
    </row>
    <row r="598" spans="1:7" x14ac:dyDescent="0.25">
      <c r="A598" s="5">
        <v>36717</v>
      </c>
      <c r="B598">
        <v>1478.9</v>
      </c>
      <c r="C598">
        <v>1509.99</v>
      </c>
      <c r="D598">
        <v>1470.48</v>
      </c>
      <c r="E598">
        <v>1509.98</v>
      </c>
      <c r="F598">
        <v>961560000</v>
      </c>
      <c r="G598">
        <v>1509.98</v>
      </c>
    </row>
    <row r="599" spans="1:7" x14ac:dyDescent="0.25">
      <c r="A599" s="5">
        <v>36710</v>
      </c>
      <c r="B599">
        <v>1454.6</v>
      </c>
      <c r="C599">
        <v>1484.12</v>
      </c>
      <c r="D599">
        <v>1439.56</v>
      </c>
      <c r="E599">
        <v>1478.9</v>
      </c>
      <c r="F599">
        <v>837550000</v>
      </c>
      <c r="G599">
        <v>1478.9</v>
      </c>
    </row>
    <row r="600" spans="1:7" x14ac:dyDescent="0.25">
      <c r="A600" s="5">
        <v>36703</v>
      </c>
      <c r="B600">
        <v>1441.48</v>
      </c>
      <c r="C600">
        <v>1467.63</v>
      </c>
      <c r="D600">
        <v>1434.63</v>
      </c>
      <c r="E600">
        <v>1454.6</v>
      </c>
      <c r="F600">
        <v>1119440000</v>
      </c>
      <c r="G600">
        <v>1454.6</v>
      </c>
    </row>
    <row r="601" spans="1:7" x14ac:dyDescent="0.25">
      <c r="A601" s="5">
        <v>36696</v>
      </c>
      <c r="B601">
        <v>1464.46</v>
      </c>
      <c r="C601">
        <v>1488.93</v>
      </c>
      <c r="D601">
        <v>1438.31</v>
      </c>
      <c r="E601">
        <v>1441.48</v>
      </c>
      <c r="F601">
        <v>966620000</v>
      </c>
      <c r="G601">
        <v>1441.48</v>
      </c>
    </row>
    <row r="602" spans="1:7" x14ac:dyDescent="0.25">
      <c r="A602" s="5">
        <v>36689</v>
      </c>
      <c r="B602">
        <v>1456.95</v>
      </c>
      <c r="C602">
        <v>1483.62</v>
      </c>
      <c r="D602">
        <v>1442.38</v>
      </c>
      <c r="E602">
        <v>1464.46</v>
      </c>
      <c r="F602">
        <v>980380000</v>
      </c>
      <c r="G602">
        <v>1464.46</v>
      </c>
    </row>
    <row r="603" spans="1:7" x14ac:dyDescent="0.25">
      <c r="A603" s="5">
        <v>36682</v>
      </c>
      <c r="B603">
        <v>1477.26</v>
      </c>
      <c r="C603">
        <v>1477.28</v>
      </c>
      <c r="D603">
        <v>1454.74</v>
      </c>
      <c r="E603">
        <v>1456.95</v>
      </c>
      <c r="F603">
        <v>856720000</v>
      </c>
      <c r="G603">
        <v>1456.95</v>
      </c>
    </row>
    <row r="604" spans="1:7" x14ac:dyDescent="0.25">
      <c r="A604" s="5">
        <v>36676</v>
      </c>
      <c r="B604">
        <v>1378.02</v>
      </c>
      <c r="C604">
        <v>1483.23</v>
      </c>
      <c r="D604">
        <v>1378.02</v>
      </c>
      <c r="E604">
        <v>1477.26</v>
      </c>
      <c r="F604">
        <v>981800000</v>
      </c>
      <c r="G604">
        <v>1477.26</v>
      </c>
    </row>
    <row r="605" spans="1:7" x14ac:dyDescent="0.25">
      <c r="A605" s="5">
        <v>36668</v>
      </c>
      <c r="B605">
        <v>1406.95</v>
      </c>
      <c r="C605">
        <v>1411.65</v>
      </c>
      <c r="D605">
        <v>1361.09</v>
      </c>
      <c r="E605">
        <v>1378.02</v>
      </c>
      <c r="F605">
        <v>919660000</v>
      </c>
      <c r="G605">
        <v>1378.02</v>
      </c>
    </row>
    <row r="606" spans="1:7" x14ac:dyDescent="0.25">
      <c r="A606" s="5">
        <v>36661</v>
      </c>
      <c r="B606">
        <v>1420.96</v>
      </c>
      <c r="C606">
        <v>1470.4</v>
      </c>
      <c r="D606">
        <v>1401.74</v>
      </c>
      <c r="E606">
        <v>1406.95</v>
      </c>
      <c r="F606">
        <v>858440000</v>
      </c>
      <c r="G606">
        <v>1406.95</v>
      </c>
    </row>
    <row r="607" spans="1:7" x14ac:dyDescent="0.25">
      <c r="A607" s="5">
        <v>36654</v>
      </c>
      <c r="B607">
        <v>1432.63</v>
      </c>
      <c r="C607">
        <v>1432.63</v>
      </c>
      <c r="D607">
        <v>1375.14</v>
      </c>
      <c r="E607">
        <v>1420.96</v>
      </c>
      <c r="F607">
        <v>900480000</v>
      </c>
      <c r="G607">
        <v>1420.96</v>
      </c>
    </row>
    <row r="608" spans="1:7" x14ac:dyDescent="0.25">
      <c r="A608" s="5">
        <v>36647</v>
      </c>
      <c r="B608">
        <v>1452.43</v>
      </c>
      <c r="C608">
        <v>1481.51</v>
      </c>
      <c r="D608">
        <v>1398.36</v>
      </c>
      <c r="E608">
        <v>1432.63</v>
      </c>
      <c r="F608">
        <v>940140000</v>
      </c>
      <c r="G608">
        <v>1432.63</v>
      </c>
    </row>
    <row r="609" spans="1:7" x14ac:dyDescent="0.25">
      <c r="A609" s="5">
        <v>36640</v>
      </c>
      <c r="B609">
        <v>1434.54</v>
      </c>
      <c r="C609">
        <v>1482.94</v>
      </c>
      <c r="D609">
        <v>1407.13</v>
      </c>
      <c r="E609">
        <v>1452.43</v>
      </c>
      <c r="F609">
        <v>1007000000</v>
      </c>
      <c r="G609">
        <v>1452.43</v>
      </c>
    </row>
    <row r="610" spans="1:7" x14ac:dyDescent="0.25">
      <c r="A610" s="5">
        <v>36633</v>
      </c>
      <c r="B610">
        <v>1356.56</v>
      </c>
      <c r="C610">
        <v>1447.69</v>
      </c>
      <c r="D610">
        <v>1346.5</v>
      </c>
      <c r="E610">
        <v>1434.54</v>
      </c>
      <c r="F610">
        <v>1052925000</v>
      </c>
      <c r="G610">
        <v>1434.54</v>
      </c>
    </row>
    <row r="611" spans="1:7" x14ac:dyDescent="0.25">
      <c r="A611" s="5">
        <v>36626</v>
      </c>
      <c r="B611">
        <v>1516.35</v>
      </c>
      <c r="C611">
        <v>1527.19</v>
      </c>
      <c r="D611">
        <v>1339.4</v>
      </c>
      <c r="E611">
        <v>1356.56</v>
      </c>
      <c r="F611">
        <v>1062540000</v>
      </c>
      <c r="G611">
        <v>1356.56</v>
      </c>
    </row>
    <row r="612" spans="1:7" x14ac:dyDescent="0.25">
      <c r="A612" s="5">
        <v>36619</v>
      </c>
      <c r="B612">
        <v>1498.58</v>
      </c>
      <c r="C612">
        <v>1526.45</v>
      </c>
      <c r="D612">
        <v>1416.41</v>
      </c>
      <c r="E612">
        <v>1516.35</v>
      </c>
      <c r="F612">
        <v>1109412000</v>
      </c>
      <c r="G612">
        <v>1516.35</v>
      </c>
    </row>
    <row r="613" spans="1:7" x14ac:dyDescent="0.25">
      <c r="A613" s="5">
        <v>36612</v>
      </c>
      <c r="B613">
        <v>1527.46</v>
      </c>
      <c r="C613">
        <v>1534.63</v>
      </c>
      <c r="D613">
        <v>1474.63</v>
      </c>
      <c r="E613">
        <v>1498.58</v>
      </c>
      <c r="F613">
        <v>1068560000</v>
      </c>
      <c r="G613">
        <v>1498.58</v>
      </c>
    </row>
    <row r="614" spans="1:7" x14ac:dyDescent="0.25">
      <c r="A614" s="5">
        <v>36605</v>
      </c>
      <c r="B614">
        <v>1464.47</v>
      </c>
      <c r="C614">
        <v>1552.87</v>
      </c>
      <c r="D614">
        <v>1446.06</v>
      </c>
      <c r="E614">
        <v>1527.46</v>
      </c>
      <c r="F614">
        <v>1038440000</v>
      </c>
      <c r="G614">
        <v>1527.46</v>
      </c>
    </row>
    <row r="615" spans="1:7" x14ac:dyDescent="0.25">
      <c r="A615" s="5">
        <v>36598</v>
      </c>
      <c r="B615">
        <v>1395.07</v>
      </c>
      <c r="C615">
        <v>1477.33</v>
      </c>
      <c r="D615">
        <v>1356.99</v>
      </c>
      <c r="E615">
        <v>1464.47</v>
      </c>
      <c r="F615">
        <v>1238060000</v>
      </c>
      <c r="G615">
        <v>1464.47</v>
      </c>
    </row>
    <row r="616" spans="1:7" x14ac:dyDescent="0.25">
      <c r="A616" s="5">
        <v>36591</v>
      </c>
      <c r="B616">
        <v>1409.17</v>
      </c>
      <c r="C616">
        <v>1413.46</v>
      </c>
      <c r="D616">
        <v>1346.62</v>
      </c>
      <c r="E616">
        <v>1395.07</v>
      </c>
      <c r="F616">
        <v>1161580000</v>
      </c>
      <c r="G616">
        <v>1395.07</v>
      </c>
    </row>
    <row r="617" spans="1:7" x14ac:dyDescent="0.25">
      <c r="A617" s="5">
        <v>36584</v>
      </c>
      <c r="B617">
        <v>1333.36</v>
      </c>
      <c r="C617">
        <v>1410.88</v>
      </c>
      <c r="D617">
        <v>1325.07</v>
      </c>
      <c r="E617">
        <v>1409.17</v>
      </c>
      <c r="F617">
        <v>1170760000</v>
      </c>
      <c r="G617">
        <v>1409.17</v>
      </c>
    </row>
    <row r="618" spans="1:7" x14ac:dyDescent="0.25">
      <c r="A618" s="5">
        <v>36578</v>
      </c>
      <c r="B618">
        <v>1346.09</v>
      </c>
      <c r="C618">
        <v>1370.11</v>
      </c>
      <c r="D618">
        <v>1329.15</v>
      </c>
      <c r="E618">
        <v>1333.36</v>
      </c>
      <c r="F618">
        <v>1063475000</v>
      </c>
      <c r="G618">
        <v>1333.36</v>
      </c>
    </row>
    <row r="619" spans="1:7" x14ac:dyDescent="0.25">
      <c r="A619" s="5">
        <v>36570</v>
      </c>
      <c r="B619">
        <v>1387.12</v>
      </c>
      <c r="C619">
        <v>1407.72</v>
      </c>
      <c r="D619">
        <v>1345.32</v>
      </c>
      <c r="E619">
        <v>1346.09</v>
      </c>
      <c r="F619">
        <v>1023060000</v>
      </c>
      <c r="G619">
        <v>1346.09</v>
      </c>
    </row>
    <row r="620" spans="1:7" x14ac:dyDescent="0.25">
      <c r="A620" s="5">
        <v>36563</v>
      </c>
      <c r="B620">
        <v>1424.37</v>
      </c>
      <c r="C620">
        <v>1444.55</v>
      </c>
      <c r="D620">
        <v>1378.89</v>
      </c>
      <c r="E620">
        <v>1387.12</v>
      </c>
      <c r="F620">
        <v>1020160000</v>
      </c>
      <c r="G620">
        <v>1387.12</v>
      </c>
    </row>
    <row r="621" spans="1:7" x14ac:dyDescent="0.25">
      <c r="A621" s="5">
        <v>36556</v>
      </c>
      <c r="B621">
        <v>1360.16</v>
      </c>
      <c r="C621">
        <v>1435.91</v>
      </c>
      <c r="D621">
        <v>1350.14</v>
      </c>
      <c r="E621">
        <v>1424.37</v>
      </c>
      <c r="F621">
        <v>1041000000</v>
      </c>
      <c r="G621">
        <v>1424.37</v>
      </c>
    </row>
    <row r="622" spans="1:7" x14ac:dyDescent="0.25">
      <c r="A622" s="5">
        <v>36549</v>
      </c>
      <c r="B622">
        <v>1441.36</v>
      </c>
      <c r="C622">
        <v>1454.09</v>
      </c>
      <c r="D622">
        <v>1356.2</v>
      </c>
      <c r="E622">
        <v>1360.16</v>
      </c>
      <c r="F622">
        <v>1106420000</v>
      </c>
      <c r="G622">
        <v>1360.16</v>
      </c>
    </row>
    <row r="623" spans="1:7" x14ac:dyDescent="0.25">
      <c r="A623" s="5">
        <v>36543</v>
      </c>
      <c r="B623">
        <v>1465.15</v>
      </c>
      <c r="C623">
        <v>1465.71</v>
      </c>
      <c r="D623">
        <v>1438.54</v>
      </c>
      <c r="E623">
        <v>1441.36</v>
      </c>
      <c r="F623">
        <v>1113750000</v>
      </c>
      <c r="G623">
        <v>1441.36</v>
      </c>
    </row>
    <row r="624" spans="1:7" x14ac:dyDescent="0.25">
      <c r="A624" s="5">
        <v>36535</v>
      </c>
      <c r="B624">
        <v>1441.47</v>
      </c>
      <c r="C624">
        <v>1473</v>
      </c>
      <c r="D624">
        <v>1427.08</v>
      </c>
      <c r="E624">
        <v>1465.15</v>
      </c>
      <c r="F624">
        <v>1033940000</v>
      </c>
      <c r="G624">
        <v>1465.15</v>
      </c>
    </row>
    <row r="625" spans="1:7" x14ac:dyDescent="0.25">
      <c r="A625" s="5">
        <v>36528</v>
      </c>
      <c r="B625">
        <v>1469.25</v>
      </c>
      <c r="C625">
        <v>1478</v>
      </c>
      <c r="D625">
        <v>1377.68</v>
      </c>
      <c r="E625">
        <v>1441.47</v>
      </c>
      <c r="F625">
        <v>1068760000</v>
      </c>
      <c r="G625">
        <v>1441.47</v>
      </c>
    </row>
    <row r="626" spans="1:7" x14ac:dyDescent="0.25">
      <c r="A626" s="5">
        <v>36521</v>
      </c>
      <c r="B626">
        <v>1458.34</v>
      </c>
      <c r="C626">
        <v>1473.1</v>
      </c>
      <c r="D626">
        <v>1450.83</v>
      </c>
      <c r="E626">
        <v>1469.25</v>
      </c>
      <c r="F626">
        <v>574918000</v>
      </c>
      <c r="G626">
        <v>1469.25</v>
      </c>
    </row>
    <row r="627" spans="1:7" x14ac:dyDescent="0.25">
      <c r="A627" s="5">
        <v>36514</v>
      </c>
      <c r="B627">
        <v>1421.03</v>
      </c>
      <c r="C627">
        <v>1461.44</v>
      </c>
      <c r="D627">
        <v>1411.1</v>
      </c>
      <c r="E627">
        <v>1458.34</v>
      </c>
      <c r="F627">
        <v>861675000</v>
      </c>
      <c r="G627">
        <v>1458.34</v>
      </c>
    </row>
    <row r="628" spans="1:7" x14ac:dyDescent="0.25">
      <c r="A628" s="5">
        <v>36507</v>
      </c>
      <c r="B628">
        <v>1417.04</v>
      </c>
      <c r="C628">
        <v>1431.77</v>
      </c>
      <c r="D628">
        <v>1396.2</v>
      </c>
      <c r="E628">
        <v>1421.03</v>
      </c>
      <c r="F628">
        <v>1091880000</v>
      </c>
      <c r="G628">
        <v>1421.03</v>
      </c>
    </row>
    <row r="629" spans="1:7" x14ac:dyDescent="0.25">
      <c r="A629" s="5">
        <v>36500</v>
      </c>
      <c r="B629">
        <v>1433.3</v>
      </c>
      <c r="C629">
        <v>1434.15</v>
      </c>
      <c r="D629">
        <v>1391.47</v>
      </c>
      <c r="E629">
        <v>1417.04</v>
      </c>
      <c r="F629">
        <v>1013780000</v>
      </c>
      <c r="G629">
        <v>1417.04</v>
      </c>
    </row>
    <row r="630" spans="1:7" x14ac:dyDescent="0.25">
      <c r="A630" s="5">
        <v>36493</v>
      </c>
      <c r="B630">
        <v>1416.62</v>
      </c>
      <c r="C630">
        <v>1447.42</v>
      </c>
      <c r="D630">
        <v>1386.95</v>
      </c>
      <c r="E630">
        <v>1433.3</v>
      </c>
      <c r="F630">
        <v>921740000</v>
      </c>
      <c r="G630">
        <v>1433.3</v>
      </c>
    </row>
    <row r="631" spans="1:7" x14ac:dyDescent="0.25">
      <c r="A631" s="5">
        <v>36486</v>
      </c>
      <c r="B631">
        <v>1422</v>
      </c>
      <c r="C631">
        <v>1425.24</v>
      </c>
      <c r="D631">
        <v>1399.17</v>
      </c>
      <c r="E631">
        <v>1416.62</v>
      </c>
      <c r="F631">
        <v>711630000</v>
      </c>
      <c r="G631">
        <v>1416.62</v>
      </c>
    </row>
    <row r="632" spans="1:7" x14ac:dyDescent="0.25">
      <c r="A632" s="5">
        <v>36479</v>
      </c>
      <c r="B632">
        <v>1396.06</v>
      </c>
      <c r="C632">
        <v>1425.31</v>
      </c>
      <c r="D632">
        <v>1392.28</v>
      </c>
      <c r="E632">
        <v>1422</v>
      </c>
      <c r="F632">
        <v>922900000</v>
      </c>
      <c r="G632">
        <v>1422</v>
      </c>
    </row>
    <row r="633" spans="1:7" x14ac:dyDescent="0.25">
      <c r="A633" s="5">
        <v>36472</v>
      </c>
      <c r="B633">
        <v>1370.23</v>
      </c>
      <c r="C633">
        <v>1396.12</v>
      </c>
      <c r="D633">
        <v>1359.98</v>
      </c>
      <c r="E633">
        <v>1396.06</v>
      </c>
      <c r="F633">
        <v>887460000</v>
      </c>
      <c r="G633">
        <v>1396.06</v>
      </c>
    </row>
    <row r="634" spans="1:7" x14ac:dyDescent="0.25">
      <c r="A634" s="5">
        <v>36465</v>
      </c>
      <c r="B634">
        <v>1362.93</v>
      </c>
      <c r="C634">
        <v>1387.48</v>
      </c>
      <c r="D634">
        <v>1346.41</v>
      </c>
      <c r="E634">
        <v>1370.23</v>
      </c>
      <c r="F634">
        <v>933780000</v>
      </c>
      <c r="G634">
        <v>1370.23</v>
      </c>
    </row>
    <row r="635" spans="1:7" x14ac:dyDescent="0.25">
      <c r="A635" s="5">
        <v>36458</v>
      </c>
      <c r="B635">
        <v>1301.6500000000001</v>
      </c>
      <c r="C635">
        <v>1373.17</v>
      </c>
      <c r="D635">
        <v>1280.48</v>
      </c>
      <c r="E635">
        <v>1362.93</v>
      </c>
      <c r="F635">
        <v>972200000</v>
      </c>
      <c r="G635">
        <v>1362.93</v>
      </c>
    </row>
    <row r="636" spans="1:7" x14ac:dyDescent="0.25">
      <c r="A636" s="5">
        <v>36451</v>
      </c>
      <c r="B636">
        <v>1247.4100000000001</v>
      </c>
      <c r="C636">
        <v>1308.81</v>
      </c>
      <c r="D636">
        <v>1233.7</v>
      </c>
      <c r="E636">
        <v>1301.6500000000001</v>
      </c>
      <c r="F636">
        <v>924980000</v>
      </c>
      <c r="G636">
        <v>1301.6500000000001</v>
      </c>
    </row>
    <row r="637" spans="1:7" x14ac:dyDescent="0.25">
      <c r="A637" s="5">
        <v>36444</v>
      </c>
      <c r="B637">
        <v>1336.02</v>
      </c>
      <c r="C637">
        <v>1339.23</v>
      </c>
      <c r="D637">
        <v>1245.3900000000001</v>
      </c>
      <c r="E637">
        <v>1247.4100000000001</v>
      </c>
      <c r="F637">
        <v>812120000</v>
      </c>
      <c r="G637">
        <v>1247.4100000000001</v>
      </c>
    </row>
    <row r="638" spans="1:7" x14ac:dyDescent="0.25">
      <c r="A638" s="5">
        <v>36437</v>
      </c>
      <c r="B638">
        <v>1282.81</v>
      </c>
      <c r="C638">
        <v>1336.61</v>
      </c>
      <c r="D638">
        <v>1282.81</v>
      </c>
      <c r="E638">
        <v>1336.02</v>
      </c>
      <c r="F638">
        <v>877860000</v>
      </c>
      <c r="G638">
        <v>1336.02</v>
      </c>
    </row>
    <row r="639" spans="1:7" x14ac:dyDescent="0.25">
      <c r="A639" s="5">
        <v>36430</v>
      </c>
      <c r="B639">
        <v>1277.3599999999999</v>
      </c>
      <c r="C639">
        <v>1295.03</v>
      </c>
      <c r="D639">
        <v>1256.26</v>
      </c>
      <c r="E639">
        <v>1282.81</v>
      </c>
      <c r="F639">
        <v>887160000</v>
      </c>
      <c r="G639">
        <v>1282.81</v>
      </c>
    </row>
    <row r="640" spans="1:7" x14ac:dyDescent="0.25">
      <c r="A640" s="5">
        <v>36423</v>
      </c>
      <c r="B640">
        <v>1335.42</v>
      </c>
      <c r="C640">
        <v>1338.38</v>
      </c>
      <c r="D640">
        <v>1263.8399999999999</v>
      </c>
      <c r="E640">
        <v>1277.3599999999999</v>
      </c>
      <c r="F640">
        <v>794220000</v>
      </c>
      <c r="G640">
        <v>1277.3599999999999</v>
      </c>
    </row>
    <row r="641" spans="1:7" x14ac:dyDescent="0.25">
      <c r="A641" s="5">
        <v>36416</v>
      </c>
      <c r="B641">
        <v>1351.66</v>
      </c>
      <c r="C641">
        <v>1351.66</v>
      </c>
      <c r="D641">
        <v>1299.97</v>
      </c>
      <c r="E641">
        <v>1335.42</v>
      </c>
      <c r="F641">
        <v>756120000</v>
      </c>
      <c r="G641">
        <v>1335.42</v>
      </c>
    </row>
    <row r="642" spans="1:7" x14ac:dyDescent="0.25">
      <c r="A642" s="5">
        <v>36410</v>
      </c>
      <c r="B642">
        <v>1357.24</v>
      </c>
      <c r="C642">
        <v>1361.39</v>
      </c>
      <c r="D642">
        <v>1333.91</v>
      </c>
      <c r="E642">
        <v>1351.66</v>
      </c>
      <c r="F642">
        <v>772225000</v>
      </c>
      <c r="G642">
        <v>1351.66</v>
      </c>
    </row>
    <row r="643" spans="1:7" x14ac:dyDescent="0.25">
      <c r="A643" s="5">
        <v>36402</v>
      </c>
      <c r="B643">
        <v>1348.27</v>
      </c>
      <c r="C643">
        <v>1357.74</v>
      </c>
      <c r="D643">
        <v>1304.8800000000001</v>
      </c>
      <c r="E643">
        <v>1357.24</v>
      </c>
      <c r="F643">
        <v>703620000</v>
      </c>
      <c r="G643">
        <v>1357.24</v>
      </c>
    </row>
    <row r="644" spans="1:7" x14ac:dyDescent="0.25">
      <c r="A644" s="5">
        <v>36395</v>
      </c>
      <c r="B644">
        <v>1336.61</v>
      </c>
      <c r="C644">
        <v>1382.84</v>
      </c>
      <c r="D644">
        <v>1336.61</v>
      </c>
      <c r="E644">
        <v>1348.27</v>
      </c>
      <c r="F644">
        <v>713790000</v>
      </c>
      <c r="G644">
        <v>1348.27</v>
      </c>
    </row>
    <row r="645" spans="1:7" x14ac:dyDescent="0.25">
      <c r="A645" s="5">
        <v>36388</v>
      </c>
      <c r="B645">
        <v>1327.68</v>
      </c>
      <c r="C645">
        <v>1344.16</v>
      </c>
      <c r="D645">
        <v>1315.35</v>
      </c>
      <c r="E645">
        <v>1336.61</v>
      </c>
      <c r="F645">
        <v>660650000</v>
      </c>
      <c r="G645">
        <v>1336.61</v>
      </c>
    </row>
    <row r="646" spans="1:7" x14ac:dyDescent="0.25">
      <c r="A646" s="5">
        <v>36381</v>
      </c>
      <c r="B646">
        <v>1300.29</v>
      </c>
      <c r="C646">
        <v>1327.72</v>
      </c>
      <c r="D646">
        <v>1267.73</v>
      </c>
      <c r="E646">
        <v>1327.68</v>
      </c>
      <c r="F646">
        <v>750020000</v>
      </c>
      <c r="G646">
        <v>1327.68</v>
      </c>
    </row>
    <row r="647" spans="1:7" x14ac:dyDescent="0.25">
      <c r="A647" s="5">
        <v>36374</v>
      </c>
      <c r="B647">
        <v>1328.72</v>
      </c>
      <c r="C647">
        <v>1344.69</v>
      </c>
      <c r="D647">
        <v>1287.23</v>
      </c>
      <c r="E647">
        <v>1300.29</v>
      </c>
      <c r="F647">
        <v>747330000</v>
      </c>
      <c r="G647">
        <v>1300.29</v>
      </c>
    </row>
    <row r="648" spans="1:7" x14ac:dyDescent="0.25">
      <c r="A648" s="5">
        <v>36367</v>
      </c>
      <c r="B648">
        <v>1356.94</v>
      </c>
      <c r="C648">
        <v>1370.53</v>
      </c>
      <c r="D648">
        <v>1328.49</v>
      </c>
      <c r="E648">
        <v>1328.72</v>
      </c>
      <c r="F648">
        <v>707010000</v>
      </c>
      <c r="G648">
        <v>1328.72</v>
      </c>
    </row>
    <row r="649" spans="1:7" x14ac:dyDescent="0.25">
      <c r="A649" s="5">
        <v>36360</v>
      </c>
      <c r="B649">
        <v>1418.78</v>
      </c>
      <c r="C649">
        <v>1420.33</v>
      </c>
      <c r="D649">
        <v>1349.91</v>
      </c>
      <c r="E649">
        <v>1356.94</v>
      </c>
      <c r="F649">
        <v>716982000</v>
      </c>
      <c r="G649">
        <v>1356.94</v>
      </c>
    </row>
    <row r="650" spans="1:7" x14ac:dyDescent="0.25">
      <c r="A650" s="5">
        <v>36353</v>
      </c>
      <c r="B650">
        <v>1403.28</v>
      </c>
      <c r="C650">
        <v>1418.78</v>
      </c>
      <c r="D650">
        <v>1386.51</v>
      </c>
      <c r="E650">
        <v>1418.78</v>
      </c>
      <c r="F650">
        <v>742060000</v>
      </c>
      <c r="G650">
        <v>1418.78</v>
      </c>
    </row>
    <row r="651" spans="1:7" x14ac:dyDescent="0.25">
      <c r="A651" s="5">
        <v>36347</v>
      </c>
      <c r="B651">
        <v>1391.22</v>
      </c>
      <c r="C651">
        <v>1405.29</v>
      </c>
      <c r="D651">
        <v>1384.95</v>
      </c>
      <c r="E651">
        <v>1403.28</v>
      </c>
      <c r="F651">
        <v>761425000</v>
      </c>
      <c r="G651">
        <v>1403.28</v>
      </c>
    </row>
    <row r="652" spans="1:7" x14ac:dyDescent="0.25">
      <c r="A652" s="5">
        <v>36339</v>
      </c>
      <c r="B652">
        <v>1315.31</v>
      </c>
      <c r="C652">
        <v>1391.22</v>
      </c>
      <c r="D652">
        <v>1315.31</v>
      </c>
      <c r="E652">
        <v>1391.22</v>
      </c>
      <c r="F652">
        <v>809396000</v>
      </c>
      <c r="G652">
        <v>1391.22</v>
      </c>
    </row>
    <row r="653" spans="1:7" x14ac:dyDescent="0.25">
      <c r="A653" s="5">
        <v>36332</v>
      </c>
      <c r="B653">
        <v>1342.84</v>
      </c>
      <c r="C653">
        <v>1351.12</v>
      </c>
      <c r="D653">
        <v>1308.47</v>
      </c>
      <c r="E653">
        <v>1315.31</v>
      </c>
      <c r="F653">
        <v>689752000</v>
      </c>
      <c r="G653">
        <v>1315.31</v>
      </c>
    </row>
    <row r="654" spans="1:7" x14ac:dyDescent="0.25">
      <c r="A654" s="5">
        <v>36325</v>
      </c>
      <c r="B654">
        <v>1293.6400000000001</v>
      </c>
      <c r="C654">
        <v>1344.48</v>
      </c>
      <c r="D654">
        <v>1292.2</v>
      </c>
      <c r="E654">
        <v>1342.84</v>
      </c>
      <c r="F654">
        <v>757520000</v>
      </c>
      <c r="G654">
        <v>1342.84</v>
      </c>
    </row>
    <row r="655" spans="1:7" x14ac:dyDescent="0.25">
      <c r="A655" s="5">
        <v>36318</v>
      </c>
      <c r="B655">
        <v>1327.75</v>
      </c>
      <c r="C655">
        <v>1336.42</v>
      </c>
      <c r="D655">
        <v>1287.8800000000001</v>
      </c>
      <c r="E655">
        <v>1293.6400000000001</v>
      </c>
      <c r="F655">
        <v>685380000</v>
      </c>
      <c r="G655">
        <v>1293.6400000000001</v>
      </c>
    </row>
    <row r="656" spans="1:7" x14ac:dyDescent="0.25">
      <c r="A656" s="5">
        <v>36312</v>
      </c>
      <c r="B656">
        <v>1301.8399999999999</v>
      </c>
      <c r="C656">
        <v>1327.75</v>
      </c>
      <c r="D656">
        <v>1277.47</v>
      </c>
      <c r="E656">
        <v>1327.75</v>
      </c>
      <c r="F656">
        <v>706475000</v>
      </c>
      <c r="G656">
        <v>1327.75</v>
      </c>
    </row>
    <row r="657" spans="1:7" x14ac:dyDescent="0.25">
      <c r="A657" s="5">
        <v>36304</v>
      </c>
      <c r="B657">
        <v>1330.29</v>
      </c>
      <c r="C657">
        <v>1333.02</v>
      </c>
      <c r="D657">
        <v>1277.31</v>
      </c>
      <c r="E657">
        <v>1301.8399999999999</v>
      </c>
      <c r="F657">
        <v>782712000</v>
      </c>
      <c r="G657">
        <v>1301.8399999999999</v>
      </c>
    </row>
    <row r="658" spans="1:7" x14ac:dyDescent="0.25">
      <c r="A658" s="5">
        <v>36297</v>
      </c>
      <c r="B658">
        <v>1337.8</v>
      </c>
      <c r="C658">
        <v>1350.49</v>
      </c>
      <c r="D658">
        <v>1321.19</v>
      </c>
      <c r="E658">
        <v>1330.29</v>
      </c>
      <c r="F658">
        <v>731760000</v>
      </c>
      <c r="G658">
        <v>1330.29</v>
      </c>
    </row>
    <row r="659" spans="1:7" x14ac:dyDescent="0.25">
      <c r="A659" s="5">
        <v>36290</v>
      </c>
      <c r="B659">
        <v>1345</v>
      </c>
      <c r="C659">
        <v>1375.98</v>
      </c>
      <c r="D659">
        <v>1332.63</v>
      </c>
      <c r="E659">
        <v>1337.8</v>
      </c>
      <c r="F659">
        <v>791920000</v>
      </c>
      <c r="G659">
        <v>1337.8</v>
      </c>
    </row>
    <row r="660" spans="1:7" x14ac:dyDescent="0.25">
      <c r="A660" s="5">
        <v>36283</v>
      </c>
      <c r="B660">
        <v>1335.18</v>
      </c>
      <c r="C660">
        <v>1354.64</v>
      </c>
      <c r="D660">
        <v>1317.44</v>
      </c>
      <c r="E660">
        <v>1345</v>
      </c>
      <c r="F660">
        <v>869660000</v>
      </c>
      <c r="G660">
        <v>1345</v>
      </c>
    </row>
    <row r="661" spans="1:7" x14ac:dyDescent="0.25">
      <c r="A661" s="5">
        <v>36276</v>
      </c>
      <c r="B661">
        <v>1356.85</v>
      </c>
      <c r="C661">
        <v>1371.56</v>
      </c>
      <c r="D661">
        <v>1314.58</v>
      </c>
      <c r="E661">
        <v>1335.18</v>
      </c>
      <c r="F661">
        <v>899100000</v>
      </c>
      <c r="G661">
        <v>1335.18</v>
      </c>
    </row>
    <row r="662" spans="1:7" x14ac:dyDescent="0.25">
      <c r="A662" s="5">
        <v>36269</v>
      </c>
      <c r="B662">
        <v>1319</v>
      </c>
      <c r="C662">
        <v>1363.65</v>
      </c>
      <c r="D662">
        <v>1284.21</v>
      </c>
      <c r="E662">
        <v>1356.85</v>
      </c>
      <c r="F662">
        <v>958520000</v>
      </c>
      <c r="G662">
        <v>1356.85</v>
      </c>
    </row>
    <row r="663" spans="1:7" x14ac:dyDescent="0.25">
      <c r="A663" s="5">
        <v>36262</v>
      </c>
      <c r="B663">
        <v>1348.35</v>
      </c>
      <c r="C663">
        <v>1362.38</v>
      </c>
      <c r="D663">
        <v>1308.3800000000001</v>
      </c>
      <c r="E663">
        <v>1319</v>
      </c>
      <c r="F663">
        <v>933160000</v>
      </c>
      <c r="G663">
        <v>1319</v>
      </c>
    </row>
    <row r="664" spans="1:7" x14ac:dyDescent="0.25">
      <c r="A664" s="5">
        <v>36255</v>
      </c>
      <c r="B664">
        <v>1293.72</v>
      </c>
      <c r="C664">
        <v>1351.22</v>
      </c>
      <c r="D664">
        <v>1293.72</v>
      </c>
      <c r="E664">
        <v>1348.35</v>
      </c>
      <c r="F664">
        <v>773260000</v>
      </c>
      <c r="G664">
        <v>1348.35</v>
      </c>
    </row>
    <row r="665" spans="1:7" x14ac:dyDescent="0.25">
      <c r="A665" s="5">
        <v>36248</v>
      </c>
      <c r="B665">
        <v>1282.8</v>
      </c>
      <c r="C665">
        <v>1313.6</v>
      </c>
      <c r="D665">
        <v>1282.56</v>
      </c>
      <c r="E665">
        <v>1293.72</v>
      </c>
      <c r="F665">
        <v>776050000</v>
      </c>
      <c r="G665">
        <v>1293.72</v>
      </c>
    </row>
    <row r="666" spans="1:7" x14ac:dyDescent="0.25">
      <c r="A666" s="5">
        <v>36241</v>
      </c>
      <c r="B666">
        <v>1299.29</v>
      </c>
      <c r="C666">
        <v>1303.8399999999999</v>
      </c>
      <c r="D666">
        <v>1256.43</v>
      </c>
      <c r="E666">
        <v>1282.8</v>
      </c>
      <c r="F666">
        <v>744560000</v>
      </c>
      <c r="G666">
        <v>1282.8</v>
      </c>
    </row>
    <row r="667" spans="1:7" x14ac:dyDescent="0.25">
      <c r="A667" s="5">
        <v>36234</v>
      </c>
      <c r="B667">
        <v>1294.5899999999999</v>
      </c>
      <c r="C667">
        <v>1323.82</v>
      </c>
      <c r="D667">
        <v>1291.03</v>
      </c>
      <c r="E667">
        <v>1299.29</v>
      </c>
      <c r="F667">
        <v>795420000</v>
      </c>
      <c r="G667">
        <v>1299.29</v>
      </c>
    </row>
    <row r="668" spans="1:7" x14ac:dyDescent="0.25">
      <c r="A668" s="5">
        <v>36227</v>
      </c>
      <c r="B668">
        <v>1275.47</v>
      </c>
      <c r="C668">
        <v>1306.43</v>
      </c>
      <c r="D668">
        <v>1271.58</v>
      </c>
      <c r="E668">
        <v>1294.5899999999999</v>
      </c>
      <c r="F668">
        <v>818160000</v>
      </c>
      <c r="G668">
        <v>1294.5899999999999</v>
      </c>
    </row>
    <row r="669" spans="1:7" x14ac:dyDescent="0.25">
      <c r="A669" s="5">
        <v>36220</v>
      </c>
      <c r="B669">
        <v>1238.33</v>
      </c>
      <c r="C669">
        <v>1275.73</v>
      </c>
      <c r="D669">
        <v>1216.03</v>
      </c>
      <c r="E669">
        <v>1275.47</v>
      </c>
      <c r="F669">
        <v>762120000</v>
      </c>
      <c r="G669">
        <v>1275.47</v>
      </c>
    </row>
    <row r="670" spans="1:7" x14ac:dyDescent="0.25">
      <c r="A670" s="5">
        <v>36213</v>
      </c>
      <c r="B670">
        <v>1239.22</v>
      </c>
      <c r="C670">
        <v>1283.8399999999999</v>
      </c>
      <c r="D670">
        <v>1225.01</v>
      </c>
      <c r="E670">
        <v>1238.33</v>
      </c>
      <c r="F670">
        <v>761340000</v>
      </c>
      <c r="G670">
        <v>1238.33</v>
      </c>
    </row>
    <row r="671" spans="1:7" x14ac:dyDescent="0.25">
      <c r="A671" s="5">
        <v>36207</v>
      </c>
      <c r="B671">
        <v>1230.1300000000001</v>
      </c>
      <c r="C671">
        <v>1252.17</v>
      </c>
      <c r="D671">
        <v>1220.7</v>
      </c>
      <c r="E671">
        <v>1239.22</v>
      </c>
      <c r="F671">
        <v>707815000</v>
      </c>
      <c r="G671">
        <v>1239.22</v>
      </c>
    </row>
    <row r="672" spans="1:7" x14ac:dyDescent="0.25">
      <c r="A672" s="5">
        <v>36199</v>
      </c>
      <c r="B672">
        <v>1239.4000000000001</v>
      </c>
      <c r="C672">
        <v>1254.05</v>
      </c>
      <c r="D672">
        <v>1211.8900000000001</v>
      </c>
      <c r="E672">
        <v>1230.1300000000001</v>
      </c>
      <c r="F672">
        <v>734020000</v>
      </c>
      <c r="G672">
        <v>1230.1300000000001</v>
      </c>
    </row>
    <row r="673" spans="1:7" x14ac:dyDescent="0.25">
      <c r="A673" s="5">
        <v>36192</v>
      </c>
      <c r="B673">
        <v>1279.6400000000001</v>
      </c>
      <c r="C673">
        <v>1283.75</v>
      </c>
      <c r="D673">
        <v>1232.28</v>
      </c>
      <c r="E673">
        <v>1239.4000000000001</v>
      </c>
      <c r="F673">
        <v>849560000</v>
      </c>
      <c r="G673">
        <v>1239.4000000000001</v>
      </c>
    </row>
    <row r="674" spans="1:7" x14ac:dyDescent="0.25">
      <c r="A674" s="5">
        <v>36185</v>
      </c>
      <c r="B674">
        <v>1225.19</v>
      </c>
      <c r="C674">
        <v>1280.3699999999999</v>
      </c>
      <c r="D674">
        <v>1219.46</v>
      </c>
      <c r="E674">
        <v>1279.6400000000001</v>
      </c>
      <c r="F674">
        <v>855980000</v>
      </c>
      <c r="G674">
        <v>1279.6400000000001</v>
      </c>
    </row>
    <row r="675" spans="1:7" x14ac:dyDescent="0.25">
      <c r="A675" s="5">
        <v>36179</v>
      </c>
      <c r="B675">
        <v>1243.26</v>
      </c>
      <c r="C675">
        <v>1274.07</v>
      </c>
      <c r="D675">
        <v>1217.97</v>
      </c>
      <c r="E675">
        <v>1225.19</v>
      </c>
      <c r="F675">
        <v>837225000</v>
      </c>
      <c r="G675">
        <v>1225.19</v>
      </c>
    </row>
    <row r="676" spans="1:7" x14ac:dyDescent="0.25">
      <c r="A676" s="5">
        <v>36171</v>
      </c>
      <c r="B676">
        <v>1275.0899999999999</v>
      </c>
      <c r="C676">
        <v>1276.22</v>
      </c>
      <c r="D676">
        <v>1205.46</v>
      </c>
      <c r="E676">
        <v>1243.26</v>
      </c>
      <c r="F676">
        <v>829000000</v>
      </c>
      <c r="G676">
        <v>1243.26</v>
      </c>
    </row>
    <row r="677" spans="1:7" x14ac:dyDescent="0.25">
      <c r="A677" s="5">
        <v>36164</v>
      </c>
      <c r="B677">
        <v>1229.23</v>
      </c>
      <c r="C677">
        <v>1278.24</v>
      </c>
      <c r="D677">
        <v>1219.0999999999999</v>
      </c>
      <c r="E677">
        <v>1275.0899999999999</v>
      </c>
      <c r="F677">
        <v>887940000</v>
      </c>
      <c r="G677">
        <v>1275.0899999999999</v>
      </c>
    </row>
    <row r="678" spans="1:7" x14ac:dyDescent="0.25">
      <c r="A678" s="5">
        <v>36157</v>
      </c>
      <c r="B678">
        <v>1226.27</v>
      </c>
      <c r="C678">
        <v>1244.93</v>
      </c>
      <c r="D678">
        <v>1220.78</v>
      </c>
      <c r="E678">
        <v>1229.23</v>
      </c>
      <c r="F678">
        <v>607867500</v>
      </c>
      <c r="G678">
        <v>1229.23</v>
      </c>
    </row>
    <row r="679" spans="1:7" x14ac:dyDescent="0.25">
      <c r="A679" s="5">
        <v>36150</v>
      </c>
      <c r="B679">
        <v>1188.03</v>
      </c>
      <c r="C679">
        <v>1229.8900000000001</v>
      </c>
      <c r="D679">
        <v>1188.03</v>
      </c>
      <c r="E679">
        <v>1226.27</v>
      </c>
      <c r="F679">
        <v>592445000</v>
      </c>
      <c r="G679">
        <v>1226.27</v>
      </c>
    </row>
    <row r="680" spans="1:7" x14ac:dyDescent="0.25">
      <c r="A680" s="5">
        <v>36143</v>
      </c>
      <c r="B680">
        <v>1166.46</v>
      </c>
      <c r="C680">
        <v>1188.8900000000001</v>
      </c>
      <c r="D680">
        <v>1136.8900000000001</v>
      </c>
      <c r="E680">
        <v>1188.03</v>
      </c>
      <c r="F680">
        <v>764840000</v>
      </c>
      <c r="G680">
        <v>1188.03</v>
      </c>
    </row>
    <row r="681" spans="1:7" x14ac:dyDescent="0.25">
      <c r="A681" s="5">
        <v>36136</v>
      </c>
      <c r="B681">
        <v>1176.74</v>
      </c>
      <c r="C681">
        <v>1193.53</v>
      </c>
      <c r="D681">
        <v>1153.19</v>
      </c>
      <c r="E681">
        <v>1166.46</v>
      </c>
      <c r="F681">
        <v>706120000</v>
      </c>
      <c r="G681">
        <v>1166.46</v>
      </c>
    </row>
    <row r="682" spans="1:7" x14ac:dyDescent="0.25">
      <c r="A682" s="5">
        <v>36129</v>
      </c>
      <c r="B682">
        <v>1192.33</v>
      </c>
      <c r="C682">
        <v>1192.72</v>
      </c>
      <c r="D682">
        <v>1149.6099999999999</v>
      </c>
      <c r="E682">
        <v>1176.74</v>
      </c>
      <c r="F682">
        <v>742660000</v>
      </c>
      <c r="G682">
        <v>1176.74</v>
      </c>
    </row>
    <row r="683" spans="1:7" x14ac:dyDescent="0.25">
      <c r="A683" s="5">
        <v>36122</v>
      </c>
      <c r="B683">
        <v>1163.55</v>
      </c>
      <c r="C683">
        <v>1192.97</v>
      </c>
      <c r="D683">
        <v>1163.55</v>
      </c>
      <c r="E683">
        <v>1192.33</v>
      </c>
      <c r="F683">
        <v>595207500</v>
      </c>
      <c r="G683">
        <v>1192.33</v>
      </c>
    </row>
    <row r="684" spans="1:7" x14ac:dyDescent="0.25">
      <c r="A684" s="5">
        <v>36115</v>
      </c>
      <c r="B684">
        <v>1125.72</v>
      </c>
      <c r="C684">
        <v>1163.55</v>
      </c>
      <c r="D684">
        <v>1125.72</v>
      </c>
      <c r="E684">
        <v>1163.55</v>
      </c>
      <c r="F684">
        <v>673098000</v>
      </c>
      <c r="G684">
        <v>1163.55</v>
      </c>
    </row>
    <row r="685" spans="1:7" x14ac:dyDescent="0.25">
      <c r="A685" s="5">
        <v>36108</v>
      </c>
      <c r="B685">
        <v>1141.01</v>
      </c>
      <c r="C685">
        <v>1141.01</v>
      </c>
      <c r="D685">
        <v>1115.55</v>
      </c>
      <c r="E685">
        <v>1125.72</v>
      </c>
      <c r="F685">
        <v>648912000</v>
      </c>
      <c r="G685">
        <v>1125.72</v>
      </c>
    </row>
    <row r="686" spans="1:7" x14ac:dyDescent="0.25">
      <c r="A686" s="5">
        <v>36101</v>
      </c>
      <c r="B686">
        <v>1098.67</v>
      </c>
      <c r="C686">
        <v>1141.3</v>
      </c>
      <c r="D686">
        <v>1098.67</v>
      </c>
      <c r="E686">
        <v>1141.01</v>
      </c>
      <c r="F686">
        <v>754500000</v>
      </c>
      <c r="G686">
        <v>1141.01</v>
      </c>
    </row>
    <row r="687" spans="1:7" x14ac:dyDescent="0.25">
      <c r="A687" s="5">
        <v>36094</v>
      </c>
      <c r="B687">
        <v>1070.67</v>
      </c>
      <c r="C687">
        <v>1103.78</v>
      </c>
      <c r="D687">
        <v>1059.6500000000001</v>
      </c>
      <c r="E687">
        <v>1098.67</v>
      </c>
      <c r="F687">
        <v>707262000</v>
      </c>
      <c r="G687">
        <v>1098.67</v>
      </c>
    </row>
    <row r="688" spans="1:7" x14ac:dyDescent="0.25">
      <c r="A688" s="5">
        <v>36087</v>
      </c>
      <c r="B688">
        <v>1056.42</v>
      </c>
      <c r="C688">
        <v>1084.06</v>
      </c>
      <c r="D688">
        <v>1054.23</v>
      </c>
      <c r="E688">
        <v>1070.67</v>
      </c>
      <c r="F688">
        <v>766888000</v>
      </c>
      <c r="G688">
        <v>1070.67</v>
      </c>
    </row>
    <row r="689" spans="1:7" x14ac:dyDescent="0.25">
      <c r="A689" s="5">
        <v>36080</v>
      </c>
      <c r="B689">
        <v>984.39</v>
      </c>
      <c r="C689">
        <v>1062.6500000000001</v>
      </c>
      <c r="D689">
        <v>984.39</v>
      </c>
      <c r="E689">
        <v>1056.42</v>
      </c>
      <c r="F689">
        <v>839080000</v>
      </c>
      <c r="G689">
        <v>1056.42</v>
      </c>
    </row>
    <row r="690" spans="1:7" x14ac:dyDescent="0.25">
      <c r="A690" s="5">
        <v>36073</v>
      </c>
      <c r="B690">
        <v>1002.6</v>
      </c>
      <c r="C690">
        <v>1008.77</v>
      </c>
      <c r="D690">
        <v>923.32</v>
      </c>
      <c r="E690">
        <v>984.39</v>
      </c>
      <c r="F690">
        <v>926580000</v>
      </c>
      <c r="G690">
        <v>984.39</v>
      </c>
    </row>
    <row r="691" spans="1:7" x14ac:dyDescent="0.25">
      <c r="A691" s="5">
        <v>36066</v>
      </c>
      <c r="B691">
        <v>1044.75</v>
      </c>
      <c r="C691">
        <v>1061.46</v>
      </c>
      <c r="D691">
        <v>971.69</v>
      </c>
      <c r="E691">
        <v>1002.6</v>
      </c>
      <c r="F691">
        <v>810660000</v>
      </c>
      <c r="G691">
        <v>1002.6</v>
      </c>
    </row>
    <row r="692" spans="1:7" x14ac:dyDescent="0.25">
      <c r="A692" s="5">
        <v>36059</v>
      </c>
      <c r="B692">
        <v>1020.09</v>
      </c>
      <c r="C692">
        <v>1066.1099999999999</v>
      </c>
      <c r="D692">
        <v>993.82</v>
      </c>
      <c r="E692">
        <v>1044.75</v>
      </c>
      <c r="F692">
        <v>749436000</v>
      </c>
      <c r="G692">
        <v>1044.75</v>
      </c>
    </row>
    <row r="693" spans="1:7" x14ac:dyDescent="0.25">
      <c r="A693" s="5">
        <v>36052</v>
      </c>
      <c r="B693">
        <v>1009.06</v>
      </c>
      <c r="C693">
        <v>1046.07</v>
      </c>
      <c r="D693">
        <v>1009.06</v>
      </c>
      <c r="E693">
        <v>1020.09</v>
      </c>
      <c r="F693">
        <v>745140000</v>
      </c>
      <c r="G693">
        <v>1020.09</v>
      </c>
    </row>
    <row r="694" spans="1:7" x14ac:dyDescent="0.25">
      <c r="A694" s="5">
        <v>36046</v>
      </c>
      <c r="B694">
        <v>973.89</v>
      </c>
      <c r="C694">
        <v>1027.72</v>
      </c>
      <c r="D694">
        <v>968.64</v>
      </c>
      <c r="E694">
        <v>1009.06</v>
      </c>
      <c r="F694">
        <v>804625000</v>
      </c>
      <c r="G694">
        <v>1009.06</v>
      </c>
    </row>
    <row r="695" spans="1:7" x14ac:dyDescent="0.25">
      <c r="A695" s="5">
        <v>36038</v>
      </c>
      <c r="B695">
        <v>1027.1400000000001</v>
      </c>
      <c r="C695">
        <v>1033.47</v>
      </c>
      <c r="D695">
        <v>939.98</v>
      </c>
      <c r="E695">
        <v>973.89</v>
      </c>
      <c r="F695">
        <v>937900000</v>
      </c>
      <c r="G695">
        <v>973.89</v>
      </c>
    </row>
    <row r="696" spans="1:7" x14ac:dyDescent="0.25">
      <c r="A696" s="5">
        <v>36031</v>
      </c>
      <c r="B696">
        <v>1081.24</v>
      </c>
      <c r="C696">
        <v>1106.6400000000001</v>
      </c>
      <c r="D696">
        <v>1021.04</v>
      </c>
      <c r="E696">
        <v>1027.1400000000001</v>
      </c>
      <c r="F696">
        <v>735200000</v>
      </c>
      <c r="G696">
        <v>1027.1400000000001</v>
      </c>
    </row>
    <row r="697" spans="1:7" x14ac:dyDescent="0.25">
      <c r="A697" s="5">
        <v>36024</v>
      </c>
      <c r="B697">
        <v>1062.75</v>
      </c>
      <c r="C697">
        <v>1106.32</v>
      </c>
      <c r="D697">
        <v>1054.92</v>
      </c>
      <c r="E697">
        <v>1081.24</v>
      </c>
      <c r="F697">
        <v>651188000</v>
      </c>
      <c r="G697">
        <v>1081.24</v>
      </c>
    </row>
    <row r="698" spans="1:7" x14ac:dyDescent="0.25">
      <c r="A698" s="5">
        <v>36017</v>
      </c>
      <c r="B698">
        <v>1089.45</v>
      </c>
      <c r="C698">
        <v>1092.82</v>
      </c>
      <c r="D698">
        <v>1054</v>
      </c>
      <c r="E698">
        <v>1062.75</v>
      </c>
      <c r="F698">
        <v>674002000</v>
      </c>
      <c r="G698">
        <v>1062.75</v>
      </c>
    </row>
    <row r="699" spans="1:7" x14ac:dyDescent="0.25">
      <c r="A699" s="5">
        <v>36010</v>
      </c>
      <c r="B699">
        <v>1120.67</v>
      </c>
      <c r="C699">
        <v>1121.79</v>
      </c>
      <c r="D699">
        <v>1057.3499999999999</v>
      </c>
      <c r="E699">
        <v>1089.45</v>
      </c>
      <c r="F699">
        <v>770420000</v>
      </c>
      <c r="G699">
        <v>1089.45</v>
      </c>
    </row>
    <row r="700" spans="1:7" x14ac:dyDescent="0.25">
      <c r="A700" s="5">
        <v>36003</v>
      </c>
      <c r="B700">
        <v>1140.8</v>
      </c>
      <c r="C700">
        <v>1147.27</v>
      </c>
      <c r="D700">
        <v>1114.3</v>
      </c>
      <c r="E700">
        <v>1120.67</v>
      </c>
      <c r="F700">
        <v>660250000</v>
      </c>
      <c r="G700">
        <v>1120.67</v>
      </c>
    </row>
    <row r="701" spans="1:7" x14ac:dyDescent="0.25">
      <c r="A701" s="5">
        <v>35996</v>
      </c>
      <c r="B701">
        <v>1186.75</v>
      </c>
      <c r="C701">
        <v>1190.58</v>
      </c>
      <c r="D701">
        <v>1129.1099999999999</v>
      </c>
      <c r="E701">
        <v>1140.8</v>
      </c>
      <c r="F701">
        <v>680056000</v>
      </c>
      <c r="G701">
        <v>1140.8</v>
      </c>
    </row>
    <row r="702" spans="1:7" x14ac:dyDescent="0.25">
      <c r="A702" s="5">
        <v>35989</v>
      </c>
      <c r="B702">
        <v>1164.33</v>
      </c>
      <c r="C702">
        <v>1188.0999999999999</v>
      </c>
      <c r="D702">
        <v>1160.21</v>
      </c>
      <c r="E702">
        <v>1186.75</v>
      </c>
      <c r="F702">
        <v>658982000</v>
      </c>
      <c r="G702">
        <v>1186.75</v>
      </c>
    </row>
    <row r="703" spans="1:7" x14ac:dyDescent="0.25">
      <c r="A703" s="5">
        <v>35982</v>
      </c>
      <c r="B703">
        <v>1146.42</v>
      </c>
      <c r="C703">
        <v>1166.93</v>
      </c>
      <c r="D703">
        <v>1145.03</v>
      </c>
      <c r="E703">
        <v>1164.33</v>
      </c>
      <c r="F703">
        <v>597310000</v>
      </c>
      <c r="G703">
        <v>1164.33</v>
      </c>
    </row>
    <row r="704" spans="1:7" x14ac:dyDescent="0.25">
      <c r="A704" s="5">
        <v>35975</v>
      </c>
      <c r="B704">
        <v>1133.2</v>
      </c>
      <c r="C704">
        <v>1148.56</v>
      </c>
      <c r="D704">
        <v>1131.98</v>
      </c>
      <c r="E704">
        <v>1146.42</v>
      </c>
      <c r="F704">
        <v>633340000</v>
      </c>
      <c r="G704">
        <v>1146.42</v>
      </c>
    </row>
    <row r="705" spans="1:7" x14ac:dyDescent="0.25">
      <c r="A705" s="5">
        <v>35968</v>
      </c>
      <c r="B705">
        <v>1100.6500000000001</v>
      </c>
      <c r="C705">
        <v>1142.04</v>
      </c>
      <c r="D705">
        <v>1099.42</v>
      </c>
      <c r="E705">
        <v>1133.2</v>
      </c>
      <c r="F705">
        <v>618700000</v>
      </c>
      <c r="G705">
        <v>1133.2</v>
      </c>
    </row>
    <row r="706" spans="1:7" x14ac:dyDescent="0.25">
      <c r="A706" s="5">
        <v>35961</v>
      </c>
      <c r="B706">
        <v>1098.8399999999999</v>
      </c>
      <c r="C706">
        <v>1112.8699999999999</v>
      </c>
      <c r="D706">
        <v>1074.67</v>
      </c>
      <c r="E706">
        <v>1100.6500000000001</v>
      </c>
      <c r="F706">
        <v>662152000</v>
      </c>
      <c r="G706">
        <v>1100.6500000000001</v>
      </c>
    </row>
    <row r="707" spans="1:7" x14ac:dyDescent="0.25">
      <c r="A707" s="5">
        <v>35954</v>
      </c>
      <c r="B707">
        <v>1113.8599999999999</v>
      </c>
      <c r="C707">
        <v>1126</v>
      </c>
      <c r="D707">
        <v>1080.83</v>
      </c>
      <c r="E707">
        <v>1098.8399999999999</v>
      </c>
      <c r="F707">
        <v>595436000</v>
      </c>
      <c r="G707">
        <v>1098.8399999999999</v>
      </c>
    </row>
    <row r="708" spans="1:7" x14ac:dyDescent="0.25">
      <c r="A708" s="5">
        <v>35947</v>
      </c>
      <c r="B708">
        <v>1090.82</v>
      </c>
      <c r="C708">
        <v>1113.8800000000001</v>
      </c>
      <c r="D708">
        <v>1078.0999999999999</v>
      </c>
      <c r="E708">
        <v>1113.8599999999999</v>
      </c>
      <c r="F708">
        <v>569796000</v>
      </c>
      <c r="G708">
        <v>1113.8599999999999</v>
      </c>
    </row>
    <row r="709" spans="1:7" x14ac:dyDescent="0.25">
      <c r="A709" s="5">
        <v>35941</v>
      </c>
      <c r="B709">
        <v>1110.47</v>
      </c>
      <c r="C709">
        <v>1116.79</v>
      </c>
      <c r="D709">
        <v>1074.3900000000001</v>
      </c>
      <c r="E709">
        <v>1090.82</v>
      </c>
      <c r="F709">
        <v>592282500</v>
      </c>
      <c r="G709">
        <v>1090.82</v>
      </c>
    </row>
    <row r="710" spans="1:7" x14ac:dyDescent="0.25">
      <c r="A710" s="5">
        <v>35933</v>
      </c>
      <c r="B710">
        <v>1108.73</v>
      </c>
      <c r="C710">
        <v>1124.45</v>
      </c>
      <c r="D710">
        <v>1097.99</v>
      </c>
      <c r="E710">
        <v>1110.47</v>
      </c>
      <c r="F710">
        <v>533680000</v>
      </c>
      <c r="G710">
        <v>1110.47</v>
      </c>
    </row>
    <row r="711" spans="1:7" x14ac:dyDescent="0.25">
      <c r="A711" s="5">
        <v>35926</v>
      </c>
      <c r="B711">
        <v>1108.1400000000001</v>
      </c>
      <c r="C711">
        <v>1124.03</v>
      </c>
      <c r="D711">
        <v>1102.78</v>
      </c>
      <c r="E711">
        <v>1108.73</v>
      </c>
      <c r="F711">
        <v>593128000</v>
      </c>
      <c r="G711">
        <v>1108.73</v>
      </c>
    </row>
    <row r="712" spans="1:7" x14ac:dyDescent="0.25">
      <c r="A712" s="5">
        <v>35919</v>
      </c>
      <c r="B712">
        <v>1121</v>
      </c>
      <c r="C712">
        <v>1130.52</v>
      </c>
      <c r="D712">
        <v>1094.53</v>
      </c>
      <c r="E712">
        <v>1108.1400000000001</v>
      </c>
      <c r="F712">
        <v>578400000</v>
      </c>
      <c r="G712">
        <v>1108.1400000000001</v>
      </c>
    </row>
    <row r="713" spans="1:7" x14ac:dyDescent="0.25">
      <c r="A713" s="5">
        <v>35912</v>
      </c>
      <c r="B713">
        <v>1107.9000000000001</v>
      </c>
      <c r="C713">
        <v>1121.02</v>
      </c>
      <c r="D713">
        <v>1076.7</v>
      </c>
      <c r="E713">
        <v>1121</v>
      </c>
      <c r="F713">
        <v>656184000</v>
      </c>
      <c r="G713">
        <v>1121</v>
      </c>
    </row>
    <row r="714" spans="1:7" x14ac:dyDescent="0.25">
      <c r="A714" s="5">
        <v>35905</v>
      </c>
      <c r="B714">
        <v>1122.72</v>
      </c>
      <c r="C714">
        <v>1132.98</v>
      </c>
      <c r="D714">
        <v>1104.77</v>
      </c>
      <c r="E714">
        <v>1107.9000000000001</v>
      </c>
      <c r="F714">
        <v>650930000</v>
      </c>
      <c r="G714">
        <v>1107.9000000000001</v>
      </c>
    </row>
    <row r="715" spans="1:7" x14ac:dyDescent="0.25">
      <c r="A715" s="5">
        <v>35898</v>
      </c>
      <c r="B715">
        <v>1110.67</v>
      </c>
      <c r="C715">
        <v>1122.72</v>
      </c>
      <c r="D715">
        <v>1100.5999999999999</v>
      </c>
      <c r="E715">
        <v>1122.72</v>
      </c>
      <c r="F715">
        <v>647018000</v>
      </c>
      <c r="G715">
        <v>1122.72</v>
      </c>
    </row>
    <row r="716" spans="1:7" x14ac:dyDescent="0.25">
      <c r="A716" s="5">
        <v>35891</v>
      </c>
      <c r="B716">
        <v>1122.7</v>
      </c>
      <c r="C716">
        <v>1131.99</v>
      </c>
      <c r="D716">
        <v>1098.21</v>
      </c>
      <c r="E716">
        <v>1110.67</v>
      </c>
      <c r="F716">
        <v>615460000</v>
      </c>
      <c r="G716">
        <v>1110.67</v>
      </c>
    </row>
    <row r="717" spans="1:7" x14ac:dyDescent="0.25">
      <c r="A717" s="5">
        <v>35884</v>
      </c>
      <c r="B717">
        <v>1095.44</v>
      </c>
      <c r="C717">
        <v>1126.3599999999999</v>
      </c>
      <c r="D717">
        <v>1090.02</v>
      </c>
      <c r="E717">
        <v>1122.7</v>
      </c>
      <c r="F717">
        <v>635572000</v>
      </c>
      <c r="G717">
        <v>1122.7</v>
      </c>
    </row>
    <row r="718" spans="1:7" x14ac:dyDescent="0.25">
      <c r="A718" s="5">
        <v>35877</v>
      </c>
      <c r="B718">
        <v>1099.1600000000001</v>
      </c>
      <c r="C718">
        <v>1113.07</v>
      </c>
      <c r="D718">
        <v>1091.1400000000001</v>
      </c>
      <c r="E718">
        <v>1095.44</v>
      </c>
      <c r="F718">
        <v>620516000</v>
      </c>
      <c r="G718">
        <v>1095.44</v>
      </c>
    </row>
    <row r="719" spans="1:7" x14ac:dyDescent="0.25">
      <c r="A719" s="5">
        <v>35870</v>
      </c>
      <c r="B719">
        <v>1068.6099999999999</v>
      </c>
      <c r="C719">
        <v>1101.04</v>
      </c>
      <c r="D719">
        <v>1068.6099999999999</v>
      </c>
      <c r="E719">
        <v>1099.1600000000001</v>
      </c>
      <c r="F719">
        <v>635636000</v>
      </c>
      <c r="G719">
        <v>1099.1600000000001</v>
      </c>
    </row>
    <row r="720" spans="1:7" x14ac:dyDescent="0.25">
      <c r="A720" s="5">
        <v>35863</v>
      </c>
      <c r="B720">
        <v>1055.69</v>
      </c>
      <c r="C720">
        <v>1075.8599999999999</v>
      </c>
      <c r="D720">
        <v>1050.02</v>
      </c>
      <c r="E720">
        <v>1068.6099999999999</v>
      </c>
      <c r="F720">
        <v>620924000</v>
      </c>
      <c r="G720">
        <v>1068.6099999999999</v>
      </c>
    </row>
    <row r="721" spans="1:7" x14ac:dyDescent="0.25">
      <c r="A721" s="5">
        <v>35856</v>
      </c>
      <c r="B721">
        <v>1049.3399999999999</v>
      </c>
      <c r="C721">
        <v>1055.69</v>
      </c>
      <c r="D721">
        <v>1030.8699999999999</v>
      </c>
      <c r="E721">
        <v>1055.69</v>
      </c>
      <c r="F721">
        <v>632376000</v>
      </c>
      <c r="G721">
        <v>1055.69</v>
      </c>
    </row>
    <row r="722" spans="1:7" x14ac:dyDescent="0.25">
      <c r="A722" s="5">
        <v>35849</v>
      </c>
      <c r="B722">
        <v>1034.21</v>
      </c>
      <c r="C722">
        <v>1051.6600000000001</v>
      </c>
      <c r="D722">
        <v>1028.8900000000001</v>
      </c>
      <c r="E722">
        <v>1049.3399999999999</v>
      </c>
      <c r="F722">
        <v>594544000</v>
      </c>
      <c r="G722">
        <v>1049.3399999999999</v>
      </c>
    </row>
    <row r="723" spans="1:7" x14ac:dyDescent="0.25">
      <c r="A723" s="5">
        <v>35843</v>
      </c>
      <c r="B723">
        <v>1020.09</v>
      </c>
      <c r="C723">
        <v>1034.21</v>
      </c>
      <c r="D723">
        <v>1020.09</v>
      </c>
      <c r="E723">
        <v>1034.21</v>
      </c>
      <c r="F723">
        <v>597002500</v>
      </c>
      <c r="G723">
        <v>1034.21</v>
      </c>
    </row>
    <row r="724" spans="1:7" x14ac:dyDescent="0.25">
      <c r="A724" s="5">
        <v>35835</v>
      </c>
      <c r="B724">
        <v>1012.46</v>
      </c>
      <c r="C724">
        <v>1026.3</v>
      </c>
      <c r="D724">
        <v>1006.28</v>
      </c>
      <c r="E724">
        <v>1020.09</v>
      </c>
      <c r="F724">
        <v>582066000</v>
      </c>
      <c r="G724">
        <v>1020.09</v>
      </c>
    </row>
    <row r="725" spans="1:7" x14ac:dyDescent="0.25">
      <c r="A725" s="5">
        <v>35828</v>
      </c>
      <c r="B725">
        <v>980.28</v>
      </c>
      <c r="C725">
        <v>1013.51</v>
      </c>
      <c r="D725">
        <v>980.28</v>
      </c>
      <c r="E725">
        <v>1012.46</v>
      </c>
      <c r="F725">
        <v>677098000</v>
      </c>
      <c r="G725">
        <v>1012.46</v>
      </c>
    </row>
    <row r="726" spans="1:7" x14ac:dyDescent="0.25">
      <c r="A726" s="5">
        <v>35821</v>
      </c>
      <c r="B726">
        <v>957.59</v>
      </c>
      <c r="C726">
        <v>992.65</v>
      </c>
      <c r="D726">
        <v>954.24</v>
      </c>
      <c r="E726">
        <v>980.28</v>
      </c>
      <c r="F726">
        <v>661366000</v>
      </c>
      <c r="G726">
        <v>980.28</v>
      </c>
    </row>
    <row r="727" spans="1:7" x14ac:dyDescent="0.25">
      <c r="A727" s="5">
        <v>35815</v>
      </c>
      <c r="B727">
        <v>961.51</v>
      </c>
      <c r="C727">
        <v>978.6</v>
      </c>
      <c r="D727">
        <v>950.86</v>
      </c>
      <c r="E727">
        <v>957.59</v>
      </c>
      <c r="F727">
        <v>638322500</v>
      </c>
      <c r="G727">
        <v>957.59</v>
      </c>
    </row>
    <row r="728" spans="1:7" x14ac:dyDescent="0.25">
      <c r="A728" s="5">
        <v>35807</v>
      </c>
      <c r="B728">
        <v>927.69</v>
      </c>
      <c r="C728">
        <v>965.12</v>
      </c>
      <c r="D728">
        <v>912.83</v>
      </c>
      <c r="E728">
        <v>961.51</v>
      </c>
      <c r="F728">
        <v>638920000</v>
      </c>
      <c r="G728">
        <v>961.51</v>
      </c>
    </row>
    <row r="729" spans="1:7" x14ac:dyDescent="0.25">
      <c r="A729" s="5">
        <v>35800</v>
      </c>
      <c r="B729">
        <v>975.04</v>
      </c>
      <c r="C729">
        <v>982.63</v>
      </c>
      <c r="D729">
        <v>921.72</v>
      </c>
      <c r="E729">
        <v>927.69</v>
      </c>
      <c r="F729">
        <v>662476000</v>
      </c>
      <c r="G729">
        <v>927.69</v>
      </c>
    </row>
    <row r="730" spans="1:7" x14ac:dyDescent="0.25">
      <c r="A730" s="5">
        <v>35793</v>
      </c>
      <c r="B730">
        <v>936.46</v>
      </c>
      <c r="C730">
        <v>975.04</v>
      </c>
      <c r="D730">
        <v>936.46</v>
      </c>
      <c r="E730">
        <v>975.04</v>
      </c>
      <c r="F730">
        <v>444167500</v>
      </c>
      <c r="G730">
        <v>975.04</v>
      </c>
    </row>
    <row r="731" spans="1:7" x14ac:dyDescent="0.25">
      <c r="A731" s="5">
        <v>35786</v>
      </c>
      <c r="B731">
        <v>946.78</v>
      </c>
      <c r="C731">
        <v>956.73</v>
      </c>
      <c r="D731">
        <v>932.7</v>
      </c>
      <c r="E731">
        <v>936.46</v>
      </c>
      <c r="F731">
        <v>366655000</v>
      </c>
      <c r="G731">
        <v>936.46</v>
      </c>
    </row>
    <row r="732" spans="1:7" x14ac:dyDescent="0.25">
      <c r="A732" s="5">
        <v>35779</v>
      </c>
      <c r="B732">
        <v>953.39</v>
      </c>
      <c r="C732">
        <v>974.3</v>
      </c>
      <c r="D732">
        <v>924.92</v>
      </c>
      <c r="E732">
        <v>946.78</v>
      </c>
      <c r="F732">
        <v>650288000</v>
      </c>
      <c r="G732">
        <v>946.78</v>
      </c>
    </row>
    <row r="733" spans="1:7" x14ac:dyDescent="0.25">
      <c r="A733" s="5">
        <v>35772</v>
      </c>
      <c r="B733">
        <v>983.79</v>
      </c>
      <c r="C733">
        <v>985.67</v>
      </c>
      <c r="D733">
        <v>947</v>
      </c>
      <c r="E733">
        <v>953.39</v>
      </c>
      <c r="F733">
        <v>568558000</v>
      </c>
      <c r="G733">
        <v>953.39</v>
      </c>
    </row>
    <row r="734" spans="1:7" x14ac:dyDescent="0.25">
      <c r="A734" s="5">
        <v>35765</v>
      </c>
      <c r="B734">
        <v>955.4</v>
      </c>
      <c r="C734">
        <v>986.25</v>
      </c>
      <c r="D734">
        <v>955.4</v>
      </c>
      <c r="E734">
        <v>983.79</v>
      </c>
      <c r="F734">
        <v>597618000</v>
      </c>
      <c r="G734">
        <v>983.79</v>
      </c>
    </row>
    <row r="735" spans="1:7" x14ac:dyDescent="0.25">
      <c r="A735" s="5">
        <v>35758</v>
      </c>
      <c r="B735">
        <v>963.09</v>
      </c>
      <c r="C735">
        <v>963.09</v>
      </c>
      <c r="D735">
        <v>944.71</v>
      </c>
      <c r="E735">
        <v>955.4</v>
      </c>
      <c r="F735">
        <v>444907500</v>
      </c>
      <c r="G735">
        <v>955.4</v>
      </c>
    </row>
    <row r="736" spans="1:7" x14ac:dyDescent="0.25">
      <c r="A736" s="5">
        <v>35751</v>
      </c>
      <c r="B736">
        <v>928.35</v>
      </c>
      <c r="C736">
        <v>964.55</v>
      </c>
      <c r="D736">
        <v>928.35</v>
      </c>
      <c r="E736">
        <v>963.09</v>
      </c>
      <c r="F736">
        <v>570850000</v>
      </c>
      <c r="G736">
        <v>963.09</v>
      </c>
    </row>
    <row r="737" spans="1:7" x14ac:dyDescent="0.25">
      <c r="A737" s="5">
        <v>35744</v>
      </c>
      <c r="B737">
        <v>927.51</v>
      </c>
      <c r="C737">
        <v>935.9</v>
      </c>
      <c r="D737">
        <v>900.61</v>
      </c>
      <c r="E737">
        <v>928.35</v>
      </c>
      <c r="F737">
        <v>554972000</v>
      </c>
      <c r="G737">
        <v>928.35</v>
      </c>
    </row>
    <row r="738" spans="1:7" x14ac:dyDescent="0.25">
      <c r="A738" s="5">
        <v>35737</v>
      </c>
      <c r="B738">
        <v>914.62</v>
      </c>
      <c r="C738">
        <v>949.62</v>
      </c>
      <c r="D738">
        <v>914.62</v>
      </c>
      <c r="E738">
        <v>927.51</v>
      </c>
      <c r="F738">
        <v>552976000</v>
      </c>
      <c r="G738">
        <v>927.51</v>
      </c>
    </row>
    <row r="739" spans="1:7" x14ac:dyDescent="0.25">
      <c r="A739" s="5">
        <v>35730</v>
      </c>
      <c r="B739">
        <v>941.64</v>
      </c>
      <c r="C739">
        <v>941.64</v>
      </c>
      <c r="D739">
        <v>855.27</v>
      </c>
      <c r="E739">
        <v>914.62</v>
      </c>
      <c r="F739">
        <v>804848000</v>
      </c>
      <c r="G739">
        <v>914.62</v>
      </c>
    </row>
    <row r="740" spans="1:7" x14ac:dyDescent="0.25">
      <c r="A740" s="5">
        <v>35723</v>
      </c>
      <c r="B740">
        <v>944.16</v>
      </c>
      <c r="C740">
        <v>972.61</v>
      </c>
      <c r="D740">
        <v>937.55</v>
      </c>
      <c r="E740">
        <v>941.64</v>
      </c>
      <c r="F740">
        <v>606116000</v>
      </c>
      <c r="G740">
        <v>941.64</v>
      </c>
    </row>
    <row r="741" spans="1:7" x14ac:dyDescent="0.25">
      <c r="A741" s="5">
        <v>35716</v>
      </c>
      <c r="B741">
        <v>966.98</v>
      </c>
      <c r="C741">
        <v>973.46</v>
      </c>
      <c r="D741">
        <v>931.58</v>
      </c>
      <c r="E741">
        <v>944.16</v>
      </c>
      <c r="F741">
        <v>518486000</v>
      </c>
      <c r="G741">
        <v>944.16</v>
      </c>
    </row>
    <row r="742" spans="1:7" x14ac:dyDescent="0.25">
      <c r="A742" s="5">
        <v>35709</v>
      </c>
      <c r="B742">
        <v>965.03</v>
      </c>
      <c r="C742">
        <v>983.12</v>
      </c>
      <c r="D742">
        <v>963.34</v>
      </c>
      <c r="E742">
        <v>966.98</v>
      </c>
      <c r="F742">
        <v>534644000</v>
      </c>
      <c r="G742">
        <v>966.98</v>
      </c>
    </row>
    <row r="743" spans="1:7" x14ac:dyDescent="0.25">
      <c r="A743" s="5">
        <v>35702</v>
      </c>
      <c r="B743">
        <v>945.22</v>
      </c>
      <c r="C743">
        <v>975.47</v>
      </c>
      <c r="D743">
        <v>941.94</v>
      </c>
      <c r="E743">
        <v>965.03</v>
      </c>
      <c r="F743">
        <v>552278000</v>
      </c>
      <c r="G743">
        <v>965.03</v>
      </c>
    </row>
    <row r="744" spans="1:7" x14ac:dyDescent="0.25">
      <c r="A744" s="5">
        <v>35695</v>
      </c>
      <c r="B744">
        <v>950.51</v>
      </c>
      <c r="C744">
        <v>960.59</v>
      </c>
      <c r="D744">
        <v>937.38</v>
      </c>
      <c r="E744">
        <v>945.22</v>
      </c>
      <c r="F744">
        <v>536702000</v>
      </c>
      <c r="G744">
        <v>945.22</v>
      </c>
    </row>
    <row r="745" spans="1:7" x14ac:dyDescent="0.25">
      <c r="A745" s="5">
        <v>35688</v>
      </c>
      <c r="B745">
        <v>923.91</v>
      </c>
      <c r="C745">
        <v>958.19</v>
      </c>
      <c r="D745">
        <v>919.41</v>
      </c>
      <c r="E745">
        <v>950.51</v>
      </c>
      <c r="F745">
        <v>578566000</v>
      </c>
      <c r="G745">
        <v>950.51</v>
      </c>
    </row>
    <row r="746" spans="1:7" x14ac:dyDescent="0.25">
      <c r="A746" s="5">
        <v>35681</v>
      </c>
      <c r="B746">
        <v>929.05</v>
      </c>
      <c r="C746">
        <v>938.9</v>
      </c>
      <c r="D746">
        <v>902.56</v>
      </c>
      <c r="E746">
        <v>923.91</v>
      </c>
      <c r="F746">
        <v>521084000</v>
      </c>
      <c r="G746">
        <v>923.91</v>
      </c>
    </row>
    <row r="747" spans="1:7" x14ac:dyDescent="0.25">
      <c r="A747" s="5">
        <v>35675</v>
      </c>
      <c r="B747">
        <v>899.47</v>
      </c>
      <c r="C747">
        <v>940.37</v>
      </c>
      <c r="D747">
        <v>899.47</v>
      </c>
      <c r="E747">
        <v>929.05</v>
      </c>
      <c r="F747">
        <v>534160000</v>
      </c>
      <c r="G747">
        <v>929.05</v>
      </c>
    </row>
    <row r="748" spans="1:7" x14ac:dyDescent="0.25">
      <c r="A748" s="5">
        <v>35667</v>
      </c>
      <c r="B748">
        <v>923.55</v>
      </c>
      <c r="C748">
        <v>930.93</v>
      </c>
      <c r="D748">
        <v>896.82</v>
      </c>
      <c r="E748">
        <v>899.47</v>
      </c>
      <c r="F748">
        <v>446092000</v>
      </c>
      <c r="G748">
        <v>899.47</v>
      </c>
    </row>
    <row r="749" spans="1:7" x14ac:dyDescent="0.25">
      <c r="A749" s="5">
        <v>35660</v>
      </c>
      <c r="B749">
        <v>900.81</v>
      </c>
      <c r="C749">
        <v>939.47</v>
      </c>
      <c r="D749">
        <v>893.34</v>
      </c>
      <c r="E749">
        <v>923.54</v>
      </c>
      <c r="F749">
        <v>508078000</v>
      </c>
      <c r="G749">
        <v>923.54</v>
      </c>
    </row>
    <row r="750" spans="1:7" x14ac:dyDescent="0.25">
      <c r="A750" s="5">
        <v>35653</v>
      </c>
      <c r="B750">
        <v>933.54</v>
      </c>
      <c r="C750">
        <v>942.99</v>
      </c>
      <c r="D750">
        <v>900.81</v>
      </c>
      <c r="E750">
        <v>900.81</v>
      </c>
      <c r="F750">
        <v>527028000</v>
      </c>
      <c r="G750">
        <v>900.81</v>
      </c>
    </row>
    <row r="751" spans="1:7" x14ac:dyDescent="0.25">
      <c r="A751" s="5">
        <v>35646</v>
      </c>
      <c r="B751">
        <v>947.14</v>
      </c>
      <c r="C751">
        <v>964.17</v>
      </c>
      <c r="D751">
        <v>925.74</v>
      </c>
      <c r="E751">
        <v>933.54</v>
      </c>
      <c r="F751">
        <v>537272000</v>
      </c>
      <c r="G751">
        <v>933.54</v>
      </c>
    </row>
    <row r="752" spans="1:7" x14ac:dyDescent="0.25">
      <c r="A752" s="5">
        <v>35639</v>
      </c>
      <c r="B752">
        <v>938.79</v>
      </c>
      <c r="C752">
        <v>957.73</v>
      </c>
      <c r="D752">
        <v>932.56</v>
      </c>
      <c r="E752">
        <v>947.14</v>
      </c>
      <c r="F752">
        <v>528302000</v>
      </c>
      <c r="G752">
        <v>947.14</v>
      </c>
    </row>
    <row r="753" spans="1:7" x14ac:dyDescent="0.25">
      <c r="A753" s="5">
        <v>35632</v>
      </c>
      <c r="B753">
        <v>915.3</v>
      </c>
      <c r="C753">
        <v>945.65</v>
      </c>
      <c r="D753">
        <v>907.12</v>
      </c>
      <c r="E753">
        <v>938.79</v>
      </c>
      <c r="F753">
        <v>549710000</v>
      </c>
      <c r="G753">
        <v>938.79</v>
      </c>
    </row>
    <row r="754" spans="1:7" x14ac:dyDescent="0.25">
      <c r="A754" s="5">
        <v>35625</v>
      </c>
      <c r="B754">
        <v>916.68</v>
      </c>
      <c r="C754">
        <v>939.32</v>
      </c>
      <c r="D754">
        <v>912.02</v>
      </c>
      <c r="E754">
        <v>915.3</v>
      </c>
      <c r="F754">
        <v>590136000</v>
      </c>
      <c r="G754">
        <v>915.3</v>
      </c>
    </row>
    <row r="755" spans="1:7" x14ac:dyDescent="0.25">
      <c r="A755" s="5">
        <v>35618</v>
      </c>
      <c r="B755">
        <v>916.92</v>
      </c>
      <c r="C755">
        <v>923.26</v>
      </c>
      <c r="D755">
        <v>902.48</v>
      </c>
      <c r="E755">
        <v>916.68</v>
      </c>
      <c r="F755">
        <v>537058000</v>
      </c>
      <c r="G755">
        <v>916.68</v>
      </c>
    </row>
    <row r="756" spans="1:7" x14ac:dyDescent="0.25">
      <c r="A756" s="5">
        <v>35611</v>
      </c>
      <c r="B756">
        <v>887.3</v>
      </c>
      <c r="C756">
        <v>917.82</v>
      </c>
      <c r="D756">
        <v>879.82</v>
      </c>
      <c r="E756">
        <v>916.92</v>
      </c>
      <c r="F756">
        <v>501845000</v>
      </c>
      <c r="G756">
        <v>916.92</v>
      </c>
    </row>
    <row r="757" spans="1:7" x14ac:dyDescent="0.25">
      <c r="A757" s="5">
        <v>35604</v>
      </c>
      <c r="B757">
        <v>898.7</v>
      </c>
      <c r="C757">
        <v>902.09</v>
      </c>
      <c r="D757">
        <v>878.43</v>
      </c>
      <c r="E757">
        <v>887.3</v>
      </c>
      <c r="F757">
        <v>522190000</v>
      </c>
      <c r="G757">
        <v>887.3</v>
      </c>
    </row>
    <row r="758" spans="1:7" x14ac:dyDescent="0.25">
      <c r="A758" s="5">
        <v>35597</v>
      </c>
      <c r="B758">
        <v>893.27</v>
      </c>
      <c r="C758">
        <v>901.77</v>
      </c>
      <c r="D758">
        <v>886.19</v>
      </c>
      <c r="E758">
        <v>898.7</v>
      </c>
      <c r="F758">
        <v>527816000</v>
      </c>
      <c r="G758">
        <v>898.7</v>
      </c>
    </row>
    <row r="759" spans="1:7" x14ac:dyDescent="0.25">
      <c r="A759" s="5">
        <v>35590</v>
      </c>
      <c r="B759">
        <v>858.01</v>
      </c>
      <c r="C759">
        <v>894.69</v>
      </c>
      <c r="D759">
        <v>858.01</v>
      </c>
      <c r="E759">
        <v>893.27</v>
      </c>
      <c r="F759">
        <v>535014000</v>
      </c>
      <c r="G759">
        <v>893.27</v>
      </c>
    </row>
    <row r="760" spans="1:7" x14ac:dyDescent="0.25">
      <c r="A760" s="5">
        <v>35583</v>
      </c>
      <c r="B760">
        <v>848.28</v>
      </c>
      <c r="C760">
        <v>859.24</v>
      </c>
      <c r="D760">
        <v>838.82</v>
      </c>
      <c r="E760">
        <v>858.01</v>
      </c>
      <c r="F760">
        <v>474262000</v>
      </c>
      <c r="G760">
        <v>858.01</v>
      </c>
    </row>
    <row r="761" spans="1:7" x14ac:dyDescent="0.25">
      <c r="A761" s="5">
        <v>35577</v>
      </c>
      <c r="B761">
        <v>847.03</v>
      </c>
      <c r="C761">
        <v>851.87</v>
      </c>
      <c r="D761">
        <v>831.87</v>
      </c>
      <c r="E761">
        <v>848.28</v>
      </c>
      <c r="F761">
        <v>480822500</v>
      </c>
      <c r="G761">
        <v>848.28</v>
      </c>
    </row>
    <row r="762" spans="1:7" x14ac:dyDescent="0.25">
      <c r="A762" s="5">
        <v>35569</v>
      </c>
      <c r="B762">
        <v>829.75</v>
      </c>
      <c r="C762">
        <v>848.49</v>
      </c>
      <c r="D762">
        <v>826.41</v>
      </c>
      <c r="E762">
        <v>847.03</v>
      </c>
      <c r="F762">
        <v>436138000</v>
      </c>
      <c r="G762">
        <v>847.03</v>
      </c>
    </row>
    <row r="763" spans="1:7" x14ac:dyDescent="0.25">
      <c r="A763" s="5">
        <v>35562</v>
      </c>
      <c r="B763">
        <v>824.78</v>
      </c>
      <c r="C763">
        <v>842.45</v>
      </c>
      <c r="D763">
        <v>824.78</v>
      </c>
      <c r="E763">
        <v>829.75</v>
      </c>
      <c r="F763">
        <v>479808000</v>
      </c>
      <c r="G763">
        <v>829.75</v>
      </c>
    </row>
    <row r="764" spans="1:7" x14ac:dyDescent="0.25">
      <c r="A764" s="5">
        <v>35555</v>
      </c>
      <c r="B764">
        <v>812.97</v>
      </c>
      <c r="C764">
        <v>832.29</v>
      </c>
      <c r="D764">
        <v>811.8</v>
      </c>
      <c r="E764">
        <v>824.78</v>
      </c>
      <c r="F764">
        <v>528696000</v>
      </c>
      <c r="G764">
        <v>824.78</v>
      </c>
    </row>
    <row r="765" spans="1:7" x14ac:dyDescent="0.25">
      <c r="A765" s="5">
        <v>35548</v>
      </c>
      <c r="B765">
        <v>765.37</v>
      </c>
      <c r="C765">
        <v>812.99</v>
      </c>
      <c r="D765">
        <v>763.3</v>
      </c>
      <c r="E765">
        <v>812.97</v>
      </c>
      <c r="F765">
        <v>493676000</v>
      </c>
      <c r="G765">
        <v>812.97</v>
      </c>
    </row>
    <row r="766" spans="1:7" x14ac:dyDescent="0.25">
      <c r="A766" s="5">
        <v>35541</v>
      </c>
      <c r="B766">
        <v>766.34</v>
      </c>
      <c r="C766">
        <v>779.89</v>
      </c>
      <c r="D766">
        <v>756.38</v>
      </c>
      <c r="E766">
        <v>765.37</v>
      </c>
      <c r="F766">
        <v>460428000</v>
      </c>
      <c r="G766">
        <v>765.37</v>
      </c>
    </row>
    <row r="767" spans="1:7" x14ac:dyDescent="0.25">
      <c r="A767" s="5">
        <v>35534</v>
      </c>
      <c r="B767">
        <v>737.65</v>
      </c>
      <c r="C767">
        <v>768.55</v>
      </c>
      <c r="D767">
        <v>733.54</v>
      </c>
      <c r="E767">
        <v>766.34</v>
      </c>
      <c r="F767">
        <v>477138000</v>
      </c>
      <c r="G767">
        <v>766.34</v>
      </c>
    </row>
    <row r="768" spans="1:7" x14ac:dyDescent="0.25">
      <c r="A768" s="5">
        <v>35527</v>
      </c>
      <c r="B768">
        <v>757.9</v>
      </c>
      <c r="C768">
        <v>769.53</v>
      </c>
      <c r="D768">
        <v>737.64</v>
      </c>
      <c r="E768">
        <v>737.65</v>
      </c>
      <c r="F768">
        <v>444450000</v>
      </c>
      <c r="G768">
        <v>737.65</v>
      </c>
    </row>
    <row r="769" spans="1:7" x14ac:dyDescent="0.25">
      <c r="A769" s="5">
        <v>35520</v>
      </c>
      <c r="B769">
        <v>773.88</v>
      </c>
      <c r="C769">
        <v>773.88</v>
      </c>
      <c r="D769">
        <v>744.04</v>
      </c>
      <c r="E769">
        <v>757.9</v>
      </c>
      <c r="F769">
        <v>518490000</v>
      </c>
      <c r="G769">
        <v>757.9</v>
      </c>
    </row>
    <row r="770" spans="1:7" x14ac:dyDescent="0.25">
      <c r="A770" s="5">
        <v>35513</v>
      </c>
      <c r="B770">
        <v>784.1</v>
      </c>
      <c r="C770">
        <v>798.11</v>
      </c>
      <c r="D770">
        <v>767.32</v>
      </c>
      <c r="E770">
        <v>773.88</v>
      </c>
      <c r="F770">
        <v>480737500</v>
      </c>
      <c r="G770">
        <v>773.88</v>
      </c>
    </row>
    <row r="771" spans="1:7" x14ac:dyDescent="0.25">
      <c r="A771" s="5">
        <v>35506</v>
      </c>
      <c r="B771">
        <v>793.17</v>
      </c>
      <c r="C771">
        <v>797.18</v>
      </c>
      <c r="D771">
        <v>778.04</v>
      </c>
      <c r="E771">
        <v>784.1</v>
      </c>
      <c r="F771">
        <v>526882000</v>
      </c>
      <c r="G771">
        <v>784.1</v>
      </c>
    </row>
    <row r="772" spans="1:7" x14ac:dyDescent="0.25">
      <c r="A772" s="5">
        <v>35499</v>
      </c>
      <c r="B772">
        <v>804.97</v>
      </c>
      <c r="C772">
        <v>814.9</v>
      </c>
      <c r="D772">
        <v>789.44</v>
      </c>
      <c r="E772">
        <v>793.17</v>
      </c>
      <c r="F772">
        <v>490266000</v>
      </c>
      <c r="G772">
        <v>793.17</v>
      </c>
    </row>
    <row r="773" spans="1:7" x14ac:dyDescent="0.25">
      <c r="A773" s="5">
        <v>35492</v>
      </c>
      <c r="B773">
        <v>790.82</v>
      </c>
      <c r="C773">
        <v>808.19</v>
      </c>
      <c r="D773">
        <v>785.66</v>
      </c>
      <c r="E773">
        <v>804.97</v>
      </c>
      <c r="F773">
        <v>511238000</v>
      </c>
      <c r="G773">
        <v>804.97</v>
      </c>
    </row>
    <row r="774" spans="1:7" x14ac:dyDescent="0.25">
      <c r="A774" s="5">
        <v>35485</v>
      </c>
      <c r="B774">
        <v>801.77</v>
      </c>
      <c r="C774">
        <v>812.85</v>
      </c>
      <c r="D774">
        <v>788.5</v>
      </c>
      <c r="E774">
        <v>790.82</v>
      </c>
      <c r="F774">
        <v>507352000</v>
      </c>
      <c r="G774">
        <v>790.82</v>
      </c>
    </row>
    <row r="775" spans="1:7" x14ac:dyDescent="0.25">
      <c r="A775" s="5">
        <v>35479</v>
      </c>
      <c r="B775">
        <v>808.48</v>
      </c>
      <c r="C775">
        <v>817.68</v>
      </c>
      <c r="D775">
        <v>799.99</v>
      </c>
      <c r="E775">
        <v>801.77</v>
      </c>
      <c r="F775">
        <v>491032500</v>
      </c>
      <c r="G775">
        <v>801.77</v>
      </c>
    </row>
    <row r="776" spans="1:7" x14ac:dyDescent="0.25">
      <c r="A776" s="5">
        <v>35471</v>
      </c>
      <c r="B776">
        <v>789.56</v>
      </c>
      <c r="C776">
        <v>812.93</v>
      </c>
      <c r="D776">
        <v>780.95</v>
      </c>
      <c r="E776">
        <v>808.48</v>
      </c>
      <c r="F776">
        <v>520764000</v>
      </c>
      <c r="G776">
        <v>808.48</v>
      </c>
    </row>
    <row r="777" spans="1:7" x14ac:dyDescent="0.25">
      <c r="A777" s="5">
        <v>35464</v>
      </c>
      <c r="B777">
        <v>786.16</v>
      </c>
      <c r="C777">
        <v>792.71</v>
      </c>
      <c r="D777">
        <v>773.43</v>
      </c>
      <c r="E777">
        <v>789.56</v>
      </c>
      <c r="F777">
        <v>522244000</v>
      </c>
      <c r="G777">
        <v>789.56</v>
      </c>
    </row>
    <row r="778" spans="1:7" x14ac:dyDescent="0.25">
      <c r="A778" s="5">
        <v>35457</v>
      </c>
      <c r="B778">
        <v>770.52</v>
      </c>
      <c r="C778">
        <v>791.86</v>
      </c>
      <c r="D778">
        <v>761.75</v>
      </c>
      <c r="E778">
        <v>786.16</v>
      </c>
      <c r="F778">
        <v>517688000</v>
      </c>
      <c r="G778">
        <v>786.16</v>
      </c>
    </row>
    <row r="779" spans="1:7" x14ac:dyDescent="0.25">
      <c r="A779" s="5">
        <v>35450</v>
      </c>
      <c r="B779">
        <v>776.17</v>
      </c>
      <c r="C779">
        <v>794.67</v>
      </c>
      <c r="D779">
        <v>768.17</v>
      </c>
      <c r="E779">
        <v>770.52</v>
      </c>
      <c r="F779">
        <v>565794000</v>
      </c>
      <c r="G779">
        <v>770.52</v>
      </c>
    </row>
    <row r="780" spans="1:7" x14ac:dyDescent="0.25">
      <c r="A780" s="5">
        <v>35443</v>
      </c>
      <c r="B780">
        <v>759.5</v>
      </c>
      <c r="C780">
        <v>776.37</v>
      </c>
      <c r="D780">
        <v>756.69</v>
      </c>
      <c r="E780">
        <v>776.17</v>
      </c>
      <c r="F780">
        <v>514784000</v>
      </c>
      <c r="G780">
        <v>776.17</v>
      </c>
    </row>
    <row r="781" spans="1:7" x14ac:dyDescent="0.25">
      <c r="A781" s="5">
        <v>35436</v>
      </c>
      <c r="B781">
        <v>748.03</v>
      </c>
      <c r="C781">
        <v>759.65</v>
      </c>
      <c r="D781">
        <v>742.18</v>
      </c>
      <c r="E781">
        <v>759.5</v>
      </c>
      <c r="F781">
        <v>545660000</v>
      </c>
      <c r="G781">
        <v>759.5</v>
      </c>
    </row>
    <row r="782" spans="1:7" x14ac:dyDescent="0.25">
      <c r="A782" s="5">
        <v>35429</v>
      </c>
      <c r="B782">
        <v>756.79</v>
      </c>
      <c r="C782">
        <v>759.2</v>
      </c>
      <c r="D782">
        <v>729.55</v>
      </c>
      <c r="E782">
        <v>748.03</v>
      </c>
      <c r="F782">
        <v>413755000</v>
      </c>
      <c r="G782">
        <v>748.03</v>
      </c>
    </row>
    <row r="783" spans="1:7" x14ac:dyDescent="0.25">
      <c r="A783" s="5">
        <v>35422</v>
      </c>
      <c r="B783">
        <v>748.87</v>
      </c>
      <c r="C783">
        <v>758.75</v>
      </c>
      <c r="D783">
        <v>743.28</v>
      </c>
      <c r="E783">
        <v>756.79</v>
      </c>
      <c r="F783">
        <v>254215000</v>
      </c>
      <c r="G783">
        <v>756.79</v>
      </c>
    </row>
    <row r="784" spans="1:7" x14ac:dyDescent="0.25">
      <c r="A784" s="5">
        <v>35415</v>
      </c>
      <c r="B784">
        <v>728.64</v>
      </c>
      <c r="C784">
        <v>755.41</v>
      </c>
      <c r="D784">
        <v>716.69</v>
      </c>
      <c r="E784">
        <v>748.87</v>
      </c>
      <c r="F784">
        <v>529728000</v>
      </c>
      <c r="G784">
        <v>748.87</v>
      </c>
    </row>
    <row r="785" spans="1:7" x14ac:dyDescent="0.25">
      <c r="A785" s="5">
        <v>35408</v>
      </c>
      <c r="B785">
        <v>739.6</v>
      </c>
      <c r="C785">
        <v>753.43</v>
      </c>
      <c r="D785">
        <v>721.97</v>
      </c>
      <c r="E785">
        <v>728.64</v>
      </c>
      <c r="F785">
        <v>454672000</v>
      </c>
      <c r="G785">
        <v>728.64</v>
      </c>
    </row>
    <row r="786" spans="1:7" x14ac:dyDescent="0.25">
      <c r="A786" s="5">
        <v>35401</v>
      </c>
      <c r="B786">
        <v>757.02</v>
      </c>
      <c r="C786">
        <v>761.75</v>
      </c>
      <c r="D786">
        <v>726.89</v>
      </c>
      <c r="E786">
        <v>739.6</v>
      </c>
      <c r="F786">
        <v>482298000</v>
      </c>
      <c r="G786">
        <v>739.6</v>
      </c>
    </row>
    <row r="787" spans="1:7" x14ac:dyDescent="0.25">
      <c r="A787" s="5">
        <v>35394</v>
      </c>
      <c r="B787">
        <v>748.73</v>
      </c>
      <c r="C787">
        <v>762.12</v>
      </c>
      <c r="D787">
        <v>747.99</v>
      </c>
      <c r="E787">
        <v>757.02</v>
      </c>
      <c r="F787">
        <v>348852500</v>
      </c>
      <c r="G787">
        <v>757.02</v>
      </c>
    </row>
    <row r="788" spans="1:7" x14ac:dyDescent="0.25">
      <c r="A788" s="5">
        <v>35387</v>
      </c>
      <c r="B788">
        <v>737.62</v>
      </c>
      <c r="C788">
        <v>748.73</v>
      </c>
      <c r="D788">
        <v>734.39</v>
      </c>
      <c r="E788">
        <v>748.73</v>
      </c>
      <c r="F788">
        <v>467608000</v>
      </c>
      <c r="G788">
        <v>748.73</v>
      </c>
    </row>
    <row r="789" spans="1:7" x14ac:dyDescent="0.25">
      <c r="A789" s="5">
        <v>35380</v>
      </c>
      <c r="B789">
        <v>730.82</v>
      </c>
      <c r="C789">
        <v>741.92</v>
      </c>
      <c r="D789">
        <v>728.03</v>
      </c>
      <c r="E789">
        <v>737.62</v>
      </c>
      <c r="F789">
        <v>452998000</v>
      </c>
      <c r="G789">
        <v>737.62</v>
      </c>
    </row>
    <row r="790" spans="1:7" x14ac:dyDescent="0.25">
      <c r="A790" s="5">
        <v>35373</v>
      </c>
      <c r="B790">
        <v>703.77</v>
      </c>
      <c r="C790">
        <v>730.82</v>
      </c>
      <c r="D790">
        <v>702.84</v>
      </c>
      <c r="E790">
        <v>730.82</v>
      </c>
      <c r="F790">
        <v>459980000</v>
      </c>
      <c r="G790">
        <v>730.82</v>
      </c>
    </row>
    <row r="791" spans="1:7" x14ac:dyDescent="0.25">
      <c r="A791" s="5">
        <v>35366</v>
      </c>
      <c r="B791">
        <v>700.92</v>
      </c>
      <c r="C791">
        <v>708.6</v>
      </c>
      <c r="D791">
        <v>696.22</v>
      </c>
      <c r="E791">
        <v>703.77</v>
      </c>
      <c r="F791">
        <v>442726000</v>
      </c>
      <c r="G791">
        <v>703.77</v>
      </c>
    </row>
    <row r="792" spans="1:7" x14ac:dyDescent="0.25">
      <c r="A792" s="5">
        <v>35359</v>
      </c>
      <c r="B792">
        <v>710.82</v>
      </c>
      <c r="C792">
        <v>714.1</v>
      </c>
      <c r="D792">
        <v>700.53</v>
      </c>
      <c r="E792">
        <v>700.92</v>
      </c>
      <c r="F792">
        <v>410840000</v>
      </c>
      <c r="G792">
        <v>700.92</v>
      </c>
    </row>
    <row r="793" spans="1:7" x14ac:dyDescent="0.25">
      <c r="A793" s="5">
        <v>35352</v>
      </c>
      <c r="B793">
        <v>700.66</v>
      </c>
      <c r="C793">
        <v>711.04</v>
      </c>
      <c r="D793">
        <v>699.07</v>
      </c>
      <c r="E793">
        <v>710.82</v>
      </c>
      <c r="F793">
        <v>434792000</v>
      </c>
      <c r="G793">
        <v>710.82</v>
      </c>
    </row>
    <row r="794" spans="1:7" x14ac:dyDescent="0.25">
      <c r="A794" s="5">
        <v>35345</v>
      </c>
      <c r="B794">
        <v>701.46</v>
      </c>
      <c r="C794">
        <v>705.76</v>
      </c>
      <c r="D794">
        <v>693.34</v>
      </c>
      <c r="E794">
        <v>700.66</v>
      </c>
      <c r="F794">
        <v>403054000</v>
      </c>
      <c r="G794">
        <v>700.66</v>
      </c>
    </row>
    <row r="795" spans="1:7" x14ac:dyDescent="0.25">
      <c r="A795" s="5">
        <v>35338</v>
      </c>
      <c r="B795">
        <v>686.19</v>
      </c>
      <c r="C795">
        <v>701.74</v>
      </c>
      <c r="D795">
        <v>684.44</v>
      </c>
      <c r="E795">
        <v>701.46</v>
      </c>
      <c r="F795">
        <v>420138000</v>
      </c>
      <c r="G795">
        <v>701.46</v>
      </c>
    </row>
    <row r="796" spans="1:7" x14ac:dyDescent="0.25">
      <c r="A796" s="5">
        <v>35331</v>
      </c>
      <c r="B796">
        <v>687.03</v>
      </c>
      <c r="C796">
        <v>690.88</v>
      </c>
      <c r="D796">
        <v>681.01</v>
      </c>
      <c r="E796">
        <v>686.19</v>
      </c>
      <c r="F796">
        <v>425050000</v>
      </c>
      <c r="G796">
        <v>686.19</v>
      </c>
    </row>
    <row r="797" spans="1:7" x14ac:dyDescent="0.25">
      <c r="A797" s="5">
        <v>35324</v>
      </c>
      <c r="B797">
        <v>680.54</v>
      </c>
      <c r="C797">
        <v>687.07</v>
      </c>
      <c r="D797">
        <v>679.06</v>
      </c>
      <c r="E797">
        <v>687.03</v>
      </c>
      <c r="F797">
        <v>438906000</v>
      </c>
      <c r="G797">
        <v>687.03</v>
      </c>
    </row>
    <row r="798" spans="1:7" x14ac:dyDescent="0.25">
      <c r="A798" s="5">
        <v>35317</v>
      </c>
      <c r="B798">
        <v>655.68</v>
      </c>
      <c r="C798">
        <v>681.39</v>
      </c>
      <c r="D798">
        <v>655.68</v>
      </c>
      <c r="E798">
        <v>680.54</v>
      </c>
      <c r="F798">
        <v>389710000</v>
      </c>
      <c r="G798">
        <v>680.54</v>
      </c>
    </row>
    <row r="799" spans="1:7" x14ac:dyDescent="0.25">
      <c r="A799" s="5">
        <v>35311</v>
      </c>
      <c r="B799">
        <v>651.99</v>
      </c>
      <c r="C799">
        <v>658.21</v>
      </c>
      <c r="D799">
        <v>643.97</v>
      </c>
      <c r="E799">
        <v>655.68</v>
      </c>
      <c r="F799">
        <v>351792500</v>
      </c>
      <c r="G799">
        <v>655.68</v>
      </c>
    </row>
    <row r="800" spans="1:7" x14ac:dyDescent="0.25">
      <c r="A800" s="5">
        <v>35303</v>
      </c>
      <c r="B800">
        <v>667.03</v>
      </c>
      <c r="C800">
        <v>667.41</v>
      </c>
      <c r="D800">
        <v>650.52</v>
      </c>
      <c r="E800">
        <v>651.99</v>
      </c>
      <c r="F800">
        <v>293578000</v>
      </c>
      <c r="G800">
        <v>651.99</v>
      </c>
    </row>
    <row r="801" spans="1:7" x14ac:dyDescent="0.25">
      <c r="A801" s="5">
        <v>35296</v>
      </c>
      <c r="B801">
        <v>665.21</v>
      </c>
      <c r="C801">
        <v>670.68</v>
      </c>
      <c r="D801">
        <v>662.16</v>
      </c>
      <c r="E801">
        <v>667.03</v>
      </c>
      <c r="F801">
        <v>328164000</v>
      </c>
      <c r="G801">
        <v>667.03</v>
      </c>
    </row>
    <row r="802" spans="1:7" x14ac:dyDescent="0.25">
      <c r="A802" s="5">
        <v>35289</v>
      </c>
      <c r="B802">
        <v>662.1</v>
      </c>
      <c r="C802">
        <v>666.34</v>
      </c>
      <c r="D802">
        <v>658.47</v>
      </c>
      <c r="E802">
        <v>665.21</v>
      </c>
      <c r="F802">
        <v>335940000</v>
      </c>
      <c r="G802">
        <v>665.21</v>
      </c>
    </row>
    <row r="803" spans="1:7" x14ac:dyDescent="0.25">
      <c r="A803" s="5">
        <v>35282</v>
      </c>
      <c r="B803">
        <v>662.49</v>
      </c>
      <c r="C803">
        <v>665.37</v>
      </c>
      <c r="D803">
        <v>656.83</v>
      </c>
      <c r="E803">
        <v>662.1</v>
      </c>
      <c r="F803">
        <v>342144000</v>
      </c>
      <c r="G803">
        <v>662.1</v>
      </c>
    </row>
    <row r="804" spans="1:7" x14ac:dyDescent="0.25">
      <c r="A804" s="5">
        <v>35275</v>
      </c>
      <c r="B804">
        <v>635.9</v>
      </c>
      <c r="C804">
        <v>662.49</v>
      </c>
      <c r="D804">
        <v>629.22</v>
      </c>
      <c r="E804">
        <v>662.49</v>
      </c>
      <c r="F804">
        <v>381480000</v>
      </c>
      <c r="G804">
        <v>662.49</v>
      </c>
    </row>
    <row r="805" spans="1:7" x14ac:dyDescent="0.25">
      <c r="A805" s="5">
        <v>35268</v>
      </c>
      <c r="B805">
        <v>638.73</v>
      </c>
      <c r="C805">
        <v>638.73</v>
      </c>
      <c r="D805">
        <v>616.42999999999995</v>
      </c>
      <c r="E805">
        <v>635.9</v>
      </c>
      <c r="F805">
        <v>393504000</v>
      </c>
      <c r="G805">
        <v>635.9</v>
      </c>
    </row>
    <row r="806" spans="1:7" x14ac:dyDescent="0.25">
      <c r="A806" s="5">
        <v>35261</v>
      </c>
      <c r="B806">
        <v>646.19000000000005</v>
      </c>
      <c r="C806">
        <v>646.19000000000005</v>
      </c>
      <c r="D806">
        <v>605.88</v>
      </c>
      <c r="E806">
        <v>638.73</v>
      </c>
      <c r="F806">
        <v>499672000</v>
      </c>
      <c r="G806">
        <v>638.73</v>
      </c>
    </row>
    <row r="807" spans="1:7" x14ac:dyDescent="0.25">
      <c r="A807" s="5">
        <v>35254</v>
      </c>
      <c r="B807">
        <v>657.44</v>
      </c>
      <c r="C807">
        <v>657.65</v>
      </c>
      <c r="D807">
        <v>639.52</v>
      </c>
      <c r="E807">
        <v>646.19000000000005</v>
      </c>
      <c r="F807">
        <v>421258000</v>
      </c>
      <c r="G807">
        <v>646.19000000000005</v>
      </c>
    </row>
    <row r="808" spans="1:7" x14ac:dyDescent="0.25">
      <c r="A808" s="5">
        <v>35247</v>
      </c>
      <c r="B808">
        <v>670.63</v>
      </c>
      <c r="C808">
        <v>675.88</v>
      </c>
      <c r="D808">
        <v>657.41</v>
      </c>
      <c r="E808">
        <v>657.44</v>
      </c>
      <c r="F808">
        <v>312870000</v>
      </c>
      <c r="G808">
        <v>657.44</v>
      </c>
    </row>
    <row r="809" spans="1:7" x14ac:dyDescent="0.25">
      <c r="A809" s="5">
        <v>35240</v>
      </c>
      <c r="B809">
        <v>666.84</v>
      </c>
      <c r="C809">
        <v>672.68</v>
      </c>
      <c r="D809">
        <v>661.56</v>
      </c>
      <c r="E809">
        <v>670.63</v>
      </c>
      <c r="F809">
        <v>397660000</v>
      </c>
      <c r="G809">
        <v>670.63</v>
      </c>
    </row>
    <row r="810" spans="1:7" x14ac:dyDescent="0.25">
      <c r="A810" s="5">
        <v>35233</v>
      </c>
      <c r="B810">
        <v>665.85</v>
      </c>
      <c r="C810">
        <v>668.27</v>
      </c>
      <c r="D810">
        <v>658.75</v>
      </c>
      <c r="E810">
        <v>666.84</v>
      </c>
      <c r="F810">
        <v>403342000</v>
      </c>
      <c r="G810">
        <v>666.84</v>
      </c>
    </row>
    <row r="811" spans="1:7" x14ac:dyDescent="0.25">
      <c r="A811" s="5">
        <v>35226</v>
      </c>
      <c r="B811">
        <v>673.31</v>
      </c>
      <c r="C811">
        <v>676.72</v>
      </c>
      <c r="D811">
        <v>664.35</v>
      </c>
      <c r="E811">
        <v>665.85</v>
      </c>
      <c r="F811">
        <v>385662000</v>
      </c>
      <c r="G811">
        <v>665.85</v>
      </c>
    </row>
    <row r="812" spans="1:7" x14ac:dyDescent="0.25">
      <c r="A812" s="5">
        <v>35219</v>
      </c>
      <c r="B812">
        <v>669.12</v>
      </c>
      <c r="C812">
        <v>680.32</v>
      </c>
      <c r="D812">
        <v>662.48</v>
      </c>
      <c r="E812">
        <v>673.31</v>
      </c>
      <c r="F812">
        <v>399504000</v>
      </c>
      <c r="G812">
        <v>673.31</v>
      </c>
    </row>
    <row r="813" spans="1:7" x14ac:dyDescent="0.25">
      <c r="A813" s="5">
        <v>35213</v>
      </c>
      <c r="B813">
        <v>678.51</v>
      </c>
      <c r="C813">
        <v>679.98</v>
      </c>
      <c r="D813">
        <v>664.56</v>
      </c>
      <c r="E813">
        <v>669.12</v>
      </c>
      <c r="F813">
        <v>355480000</v>
      </c>
      <c r="G813">
        <v>669.12</v>
      </c>
    </row>
    <row r="814" spans="1:7" x14ac:dyDescent="0.25">
      <c r="A814" s="5">
        <v>35205</v>
      </c>
      <c r="B814">
        <v>668.91</v>
      </c>
      <c r="C814">
        <v>681.1</v>
      </c>
      <c r="D814">
        <v>667.64</v>
      </c>
      <c r="E814">
        <v>678.51</v>
      </c>
      <c r="F814">
        <v>395856000</v>
      </c>
      <c r="G814">
        <v>678.51</v>
      </c>
    </row>
    <row r="815" spans="1:7" x14ac:dyDescent="0.25">
      <c r="A815" s="5">
        <v>35198</v>
      </c>
      <c r="B815">
        <v>652.09</v>
      </c>
      <c r="C815">
        <v>669.84</v>
      </c>
      <c r="D815">
        <v>652.09</v>
      </c>
      <c r="E815">
        <v>668.91</v>
      </c>
      <c r="F815">
        <v>424724000</v>
      </c>
      <c r="G815">
        <v>668.91</v>
      </c>
    </row>
    <row r="816" spans="1:7" x14ac:dyDescent="0.25">
      <c r="A816" s="5">
        <v>35191</v>
      </c>
      <c r="B816">
        <v>641.63</v>
      </c>
      <c r="C816">
        <v>653</v>
      </c>
      <c r="D816">
        <v>630.07000000000005</v>
      </c>
      <c r="E816">
        <v>652.09</v>
      </c>
      <c r="F816">
        <v>422946000</v>
      </c>
      <c r="G816">
        <v>652.09</v>
      </c>
    </row>
    <row r="817" spans="1:7" x14ac:dyDescent="0.25">
      <c r="A817" s="5">
        <v>35184</v>
      </c>
      <c r="B817">
        <v>653.46</v>
      </c>
      <c r="C817">
        <v>656.44</v>
      </c>
      <c r="D817">
        <v>640.23</v>
      </c>
      <c r="E817">
        <v>641.63</v>
      </c>
      <c r="F817">
        <v>403802000</v>
      </c>
      <c r="G817">
        <v>641.63</v>
      </c>
    </row>
    <row r="818" spans="1:7" x14ac:dyDescent="0.25">
      <c r="A818" s="5">
        <v>35177</v>
      </c>
      <c r="B818">
        <v>645.07000000000005</v>
      </c>
      <c r="C818">
        <v>656.43</v>
      </c>
      <c r="D818">
        <v>645.07000000000005</v>
      </c>
      <c r="E818">
        <v>653.46</v>
      </c>
      <c r="F818">
        <v>441386000</v>
      </c>
      <c r="G818">
        <v>653.46</v>
      </c>
    </row>
    <row r="819" spans="1:7" x14ac:dyDescent="0.25">
      <c r="A819" s="5">
        <v>35170</v>
      </c>
      <c r="B819">
        <v>636.71</v>
      </c>
      <c r="C819">
        <v>647.32000000000005</v>
      </c>
      <c r="D819">
        <v>636.71</v>
      </c>
      <c r="E819">
        <v>645.07000000000005</v>
      </c>
      <c r="F819">
        <v>423144000</v>
      </c>
      <c r="G819">
        <v>645.07000000000005</v>
      </c>
    </row>
    <row r="820" spans="1:7" x14ac:dyDescent="0.25">
      <c r="A820" s="5">
        <v>35163</v>
      </c>
      <c r="B820">
        <v>655.86</v>
      </c>
      <c r="C820">
        <v>655.86</v>
      </c>
      <c r="D820">
        <v>624.14</v>
      </c>
      <c r="E820">
        <v>636.71</v>
      </c>
      <c r="F820">
        <v>449346000</v>
      </c>
      <c r="G820">
        <v>636.71</v>
      </c>
    </row>
    <row r="821" spans="1:7" x14ac:dyDescent="0.25">
      <c r="A821" s="5">
        <v>35156</v>
      </c>
      <c r="B821">
        <v>645.5</v>
      </c>
      <c r="C821">
        <v>656.68</v>
      </c>
      <c r="D821">
        <v>645.5</v>
      </c>
      <c r="E821">
        <v>655.86</v>
      </c>
      <c r="F821">
        <v>392195000</v>
      </c>
      <c r="G821">
        <v>655.86</v>
      </c>
    </row>
    <row r="822" spans="1:7" x14ac:dyDescent="0.25">
      <c r="A822" s="5">
        <v>35149</v>
      </c>
      <c r="B822">
        <v>650.62</v>
      </c>
      <c r="C822">
        <v>655.5</v>
      </c>
      <c r="D822">
        <v>644.89</v>
      </c>
      <c r="E822">
        <v>645.5</v>
      </c>
      <c r="F822">
        <v>385466000</v>
      </c>
      <c r="G822">
        <v>645.5</v>
      </c>
    </row>
    <row r="823" spans="1:7" x14ac:dyDescent="0.25">
      <c r="A823" s="5">
        <v>35142</v>
      </c>
      <c r="B823">
        <v>641.42999999999995</v>
      </c>
      <c r="C823">
        <v>656.18</v>
      </c>
      <c r="D823">
        <v>641.42999999999995</v>
      </c>
      <c r="E823">
        <v>650.62</v>
      </c>
      <c r="F823">
        <v>396350000</v>
      </c>
      <c r="G823">
        <v>650.62</v>
      </c>
    </row>
    <row r="824" spans="1:7" x14ac:dyDescent="0.25">
      <c r="A824" s="5">
        <v>35135</v>
      </c>
      <c r="B824">
        <v>633.5</v>
      </c>
      <c r="C824">
        <v>644.16999999999996</v>
      </c>
      <c r="D824">
        <v>628.82000000000005</v>
      </c>
      <c r="E824">
        <v>641.42999999999995</v>
      </c>
      <c r="F824">
        <v>468022000</v>
      </c>
      <c r="G824">
        <v>641.42999999999995</v>
      </c>
    </row>
    <row r="825" spans="1:7" x14ac:dyDescent="0.25">
      <c r="A825" s="5">
        <v>35128</v>
      </c>
      <c r="B825">
        <v>644.37</v>
      </c>
      <c r="C825">
        <v>656.97</v>
      </c>
      <c r="D825">
        <v>627.63</v>
      </c>
      <c r="E825">
        <v>633.5</v>
      </c>
      <c r="F825">
        <v>452706000</v>
      </c>
      <c r="G825">
        <v>633.5</v>
      </c>
    </row>
    <row r="826" spans="1:7" x14ac:dyDescent="0.25">
      <c r="A826" s="5">
        <v>35121</v>
      </c>
      <c r="B826">
        <v>659.08</v>
      </c>
      <c r="C826">
        <v>659.08</v>
      </c>
      <c r="D826">
        <v>635</v>
      </c>
      <c r="E826">
        <v>644.37</v>
      </c>
      <c r="F826">
        <v>440622000</v>
      </c>
      <c r="G826">
        <v>644.37</v>
      </c>
    </row>
    <row r="827" spans="1:7" x14ac:dyDescent="0.25">
      <c r="A827" s="5">
        <v>35115</v>
      </c>
      <c r="B827">
        <v>647.98</v>
      </c>
      <c r="C827">
        <v>663</v>
      </c>
      <c r="D827">
        <v>638.79</v>
      </c>
      <c r="E827">
        <v>659.08</v>
      </c>
      <c r="F827">
        <v>438932500</v>
      </c>
      <c r="G827">
        <v>659.08</v>
      </c>
    </row>
    <row r="828" spans="1:7" x14ac:dyDescent="0.25">
      <c r="A828" s="5">
        <v>35107</v>
      </c>
      <c r="B828">
        <v>656.37</v>
      </c>
      <c r="C828">
        <v>664.23</v>
      </c>
      <c r="D828">
        <v>646.99</v>
      </c>
      <c r="E828">
        <v>647.98</v>
      </c>
      <c r="F828">
        <v>424422000</v>
      </c>
      <c r="G828">
        <v>647.98</v>
      </c>
    </row>
    <row r="829" spans="1:7" x14ac:dyDescent="0.25">
      <c r="A829" s="5">
        <v>35100</v>
      </c>
      <c r="B829">
        <v>635.84</v>
      </c>
      <c r="C829">
        <v>661.08</v>
      </c>
      <c r="D829">
        <v>633.71</v>
      </c>
      <c r="E829">
        <v>656.37</v>
      </c>
      <c r="F829">
        <v>451808000</v>
      </c>
      <c r="G829">
        <v>656.37</v>
      </c>
    </row>
    <row r="830" spans="1:7" x14ac:dyDescent="0.25">
      <c r="A830" s="5">
        <v>35093</v>
      </c>
      <c r="B830">
        <v>621.62</v>
      </c>
      <c r="C830">
        <v>639.26</v>
      </c>
      <c r="D830">
        <v>621.41999999999996</v>
      </c>
      <c r="E830">
        <v>635.84</v>
      </c>
      <c r="F830">
        <v>436268000</v>
      </c>
      <c r="G830">
        <v>635.84</v>
      </c>
    </row>
    <row r="831" spans="1:7" x14ac:dyDescent="0.25">
      <c r="A831" s="5">
        <v>35086</v>
      </c>
      <c r="B831">
        <v>611.83000000000004</v>
      </c>
      <c r="C831">
        <v>621.70000000000005</v>
      </c>
      <c r="D831">
        <v>610.65</v>
      </c>
      <c r="E831">
        <v>621.62</v>
      </c>
      <c r="F831">
        <v>426060000</v>
      </c>
      <c r="G831">
        <v>621.62</v>
      </c>
    </row>
    <row r="832" spans="1:7" x14ac:dyDescent="0.25">
      <c r="A832" s="5">
        <v>35079</v>
      </c>
      <c r="B832">
        <v>601.80999999999995</v>
      </c>
      <c r="C832">
        <v>612.91999999999996</v>
      </c>
      <c r="D832">
        <v>598.47</v>
      </c>
      <c r="E832">
        <v>611.83000000000004</v>
      </c>
      <c r="F832">
        <v>427650000</v>
      </c>
      <c r="G832">
        <v>611.83000000000004</v>
      </c>
    </row>
    <row r="833" spans="1:7" x14ac:dyDescent="0.25">
      <c r="A833" s="5">
        <v>35072</v>
      </c>
      <c r="B833">
        <v>616.71</v>
      </c>
      <c r="C833">
        <v>619.15</v>
      </c>
      <c r="D833">
        <v>597.29</v>
      </c>
      <c r="E833">
        <v>601.80999999999995</v>
      </c>
      <c r="F833">
        <v>367358000</v>
      </c>
      <c r="G833">
        <v>601.80999999999995</v>
      </c>
    </row>
    <row r="834" spans="1:7" x14ac:dyDescent="0.25">
      <c r="A834" s="5">
        <v>35066</v>
      </c>
      <c r="B834">
        <v>615.92999999999995</v>
      </c>
      <c r="C834">
        <v>624.49</v>
      </c>
      <c r="D834">
        <v>612.02</v>
      </c>
      <c r="E834">
        <v>616.71</v>
      </c>
      <c r="F834">
        <v>445705000</v>
      </c>
      <c r="G834">
        <v>616.71</v>
      </c>
    </row>
    <row r="835" spans="1:7" x14ac:dyDescent="0.25">
      <c r="A835" s="5">
        <v>35059</v>
      </c>
      <c r="B835">
        <v>611.96</v>
      </c>
      <c r="C835">
        <v>615.92999999999995</v>
      </c>
      <c r="D835">
        <v>611.96</v>
      </c>
      <c r="E835">
        <v>615.92999999999995</v>
      </c>
      <c r="F835">
        <v>269872500</v>
      </c>
      <c r="G835">
        <v>615.92999999999995</v>
      </c>
    </row>
    <row r="836" spans="1:7" x14ac:dyDescent="0.25">
      <c r="A836" s="5">
        <v>35051</v>
      </c>
      <c r="B836">
        <v>616.34</v>
      </c>
      <c r="C836">
        <v>616.34</v>
      </c>
      <c r="D836">
        <v>605.04999999999995</v>
      </c>
      <c r="E836">
        <v>611.95000000000005</v>
      </c>
      <c r="F836">
        <v>409528000</v>
      </c>
      <c r="G836">
        <v>611.95000000000005</v>
      </c>
    </row>
    <row r="837" spans="1:7" x14ac:dyDescent="0.25">
      <c r="A837" s="5">
        <v>35044</v>
      </c>
      <c r="B837">
        <v>617.48</v>
      </c>
      <c r="C837">
        <v>622.88</v>
      </c>
      <c r="D837">
        <v>614.46</v>
      </c>
      <c r="E837">
        <v>616.34</v>
      </c>
      <c r="F837">
        <v>441864000</v>
      </c>
      <c r="G837">
        <v>616.34</v>
      </c>
    </row>
    <row r="838" spans="1:7" x14ac:dyDescent="0.25">
      <c r="A838" s="5">
        <v>35037</v>
      </c>
      <c r="B838">
        <v>606.98</v>
      </c>
      <c r="C838">
        <v>621.11</v>
      </c>
      <c r="D838">
        <v>606.84</v>
      </c>
      <c r="E838">
        <v>617.48</v>
      </c>
      <c r="F838">
        <v>393556000</v>
      </c>
      <c r="G838">
        <v>617.48</v>
      </c>
    </row>
    <row r="839" spans="1:7" x14ac:dyDescent="0.25">
      <c r="A839" s="5">
        <v>35030</v>
      </c>
      <c r="B839">
        <v>599.97</v>
      </c>
      <c r="C839">
        <v>608.69000000000005</v>
      </c>
      <c r="D839">
        <v>599.02</v>
      </c>
      <c r="E839">
        <v>606.98</v>
      </c>
      <c r="F839">
        <v>399926000</v>
      </c>
      <c r="G839">
        <v>606.98</v>
      </c>
    </row>
    <row r="840" spans="1:7" x14ac:dyDescent="0.25">
      <c r="A840" s="5">
        <v>35023</v>
      </c>
      <c r="B840">
        <v>600.07000000000005</v>
      </c>
      <c r="C840">
        <v>600.71</v>
      </c>
      <c r="D840">
        <v>595.41999999999996</v>
      </c>
      <c r="E840">
        <v>599.97</v>
      </c>
      <c r="F840">
        <v>318080000</v>
      </c>
      <c r="G840">
        <v>599.97</v>
      </c>
    </row>
    <row r="841" spans="1:7" x14ac:dyDescent="0.25">
      <c r="A841" s="5">
        <v>35016</v>
      </c>
      <c r="B841">
        <v>592.72</v>
      </c>
      <c r="C841">
        <v>600.14</v>
      </c>
      <c r="D841">
        <v>588.36</v>
      </c>
      <c r="E841">
        <v>600.07000000000005</v>
      </c>
      <c r="F841">
        <v>377368000</v>
      </c>
      <c r="G841">
        <v>600.07000000000005</v>
      </c>
    </row>
    <row r="842" spans="1:7" x14ac:dyDescent="0.25">
      <c r="A842" s="5">
        <v>35009</v>
      </c>
      <c r="B842">
        <v>590.57000000000005</v>
      </c>
      <c r="C842">
        <v>593.9</v>
      </c>
      <c r="D842">
        <v>584.24</v>
      </c>
      <c r="E842">
        <v>592.72</v>
      </c>
      <c r="F842">
        <v>342602000</v>
      </c>
      <c r="G842">
        <v>592.72</v>
      </c>
    </row>
    <row r="843" spans="1:7" x14ac:dyDescent="0.25">
      <c r="A843" s="5">
        <v>35002</v>
      </c>
      <c r="B843">
        <v>579.70000000000005</v>
      </c>
      <c r="C843">
        <v>590.57000000000005</v>
      </c>
      <c r="D843">
        <v>579.70000000000005</v>
      </c>
      <c r="E843">
        <v>590.57000000000005</v>
      </c>
      <c r="F843">
        <v>364042000</v>
      </c>
      <c r="G843">
        <v>590.57000000000005</v>
      </c>
    </row>
    <row r="844" spans="1:7" x14ac:dyDescent="0.25">
      <c r="A844" s="5">
        <v>34995</v>
      </c>
      <c r="B844">
        <v>587.46</v>
      </c>
      <c r="C844">
        <v>587.46</v>
      </c>
      <c r="D844">
        <v>572.53</v>
      </c>
      <c r="E844">
        <v>579.70000000000005</v>
      </c>
      <c r="F844">
        <v>404682000</v>
      </c>
      <c r="G844">
        <v>579.70000000000005</v>
      </c>
    </row>
    <row r="845" spans="1:7" x14ac:dyDescent="0.25">
      <c r="A845" s="5">
        <v>34988</v>
      </c>
      <c r="B845">
        <v>584.5</v>
      </c>
      <c r="C845">
        <v>590.66</v>
      </c>
      <c r="D845">
        <v>581.9</v>
      </c>
      <c r="E845">
        <v>587.46</v>
      </c>
      <c r="F845">
        <v>372876000</v>
      </c>
      <c r="G845">
        <v>587.46</v>
      </c>
    </row>
    <row r="846" spans="1:7" x14ac:dyDescent="0.25">
      <c r="A846" s="5">
        <v>34981</v>
      </c>
      <c r="B846">
        <v>582.49</v>
      </c>
      <c r="C846">
        <v>587.39</v>
      </c>
      <c r="D846">
        <v>571.54999999999995</v>
      </c>
      <c r="E846">
        <v>584.5</v>
      </c>
      <c r="F846">
        <v>349502000</v>
      </c>
      <c r="G846">
        <v>584.5</v>
      </c>
    </row>
    <row r="847" spans="1:7" x14ac:dyDescent="0.25">
      <c r="A847" s="5">
        <v>34974</v>
      </c>
      <c r="B847">
        <v>584.41</v>
      </c>
      <c r="C847">
        <v>585.04999999999995</v>
      </c>
      <c r="D847">
        <v>578.48</v>
      </c>
      <c r="E847">
        <v>582.49</v>
      </c>
      <c r="F847">
        <v>342294000</v>
      </c>
      <c r="G847">
        <v>582.49</v>
      </c>
    </row>
    <row r="848" spans="1:7" x14ac:dyDescent="0.25">
      <c r="A848" s="5">
        <v>34967</v>
      </c>
      <c r="B848">
        <v>581.73</v>
      </c>
      <c r="C848">
        <v>587.61</v>
      </c>
      <c r="D848">
        <v>574.67999999999995</v>
      </c>
      <c r="E848">
        <v>584.41</v>
      </c>
      <c r="F848">
        <v>350204000</v>
      </c>
      <c r="G848">
        <v>584.41</v>
      </c>
    </row>
    <row r="849" spans="1:7" x14ac:dyDescent="0.25">
      <c r="A849" s="5">
        <v>34960</v>
      </c>
      <c r="B849">
        <v>583.35</v>
      </c>
      <c r="C849">
        <v>586.79</v>
      </c>
      <c r="D849">
        <v>578.25</v>
      </c>
      <c r="E849">
        <v>581.73</v>
      </c>
      <c r="F849">
        <v>367040000</v>
      </c>
      <c r="G849">
        <v>581.73</v>
      </c>
    </row>
    <row r="850" spans="1:7" x14ac:dyDescent="0.25">
      <c r="A850" s="5">
        <v>34953</v>
      </c>
      <c r="B850">
        <v>572.67999999999995</v>
      </c>
      <c r="C850">
        <v>585.07000000000005</v>
      </c>
      <c r="D850">
        <v>572.67999999999995</v>
      </c>
      <c r="E850">
        <v>583.35</v>
      </c>
      <c r="F850">
        <v>373602000</v>
      </c>
      <c r="G850">
        <v>583.35</v>
      </c>
    </row>
    <row r="851" spans="1:7" x14ac:dyDescent="0.25">
      <c r="A851" s="5">
        <v>34947</v>
      </c>
      <c r="B851">
        <v>563.86</v>
      </c>
      <c r="C851">
        <v>572.67999999999995</v>
      </c>
      <c r="D851">
        <v>563.84</v>
      </c>
      <c r="E851">
        <v>572.67999999999995</v>
      </c>
      <c r="F851">
        <v>335467500</v>
      </c>
      <c r="G851">
        <v>572.67999999999995</v>
      </c>
    </row>
    <row r="852" spans="1:7" x14ac:dyDescent="0.25">
      <c r="A852" s="5">
        <v>34939</v>
      </c>
      <c r="B852">
        <v>560.1</v>
      </c>
      <c r="C852">
        <v>564.62</v>
      </c>
      <c r="D852">
        <v>555.71</v>
      </c>
      <c r="E852">
        <v>563.84</v>
      </c>
      <c r="F852">
        <v>293328000</v>
      </c>
      <c r="G852">
        <v>563.84</v>
      </c>
    </row>
    <row r="853" spans="1:7" x14ac:dyDescent="0.25">
      <c r="A853" s="5">
        <v>34932</v>
      </c>
      <c r="B853">
        <v>559.21</v>
      </c>
      <c r="C853">
        <v>563.34</v>
      </c>
      <c r="D853">
        <v>555.20000000000005</v>
      </c>
      <c r="E853">
        <v>560.1</v>
      </c>
      <c r="F853">
        <v>288234000</v>
      </c>
      <c r="G853">
        <v>560.1</v>
      </c>
    </row>
    <row r="854" spans="1:7" x14ac:dyDescent="0.25">
      <c r="A854" s="5">
        <v>34925</v>
      </c>
      <c r="B854">
        <v>555.11</v>
      </c>
      <c r="C854">
        <v>561.24</v>
      </c>
      <c r="D854">
        <v>554.76</v>
      </c>
      <c r="E854">
        <v>559.21</v>
      </c>
      <c r="F854">
        <v>332022000</v>
      </c>
      <c r="G854">
        <v>559.21</v>
      </c>
    </row>
    <row r="855" spans="1:7" x14ac:dyDescent="0.25">
      <c r="A855" s="5">
        <v>34918</v>
      </c>
      <c r="B855">
        <v>558.94000000000005</v>
      </c>
      <c r="C855">
        <v>561.59</v>
      </c>
      <c r="D855">
        <v>553.04</v>
      </c>
      <c r="E855">
        <v>555.11</v>
      </c>
      <c r="F855">
        <v>292208000</v>
      </c>
      <c r="G855">
        <v>555.11</v>
      </c>
    </row>
    <row r="856" spans="1:7" x14ac:dyDescent="0.25">
      <c r="A856" s="5">
        <v>34911</v>
      </c>
      <c r="B856">
        <v>562.92999999999995</v>
      </c>
      <c r="C856">
        <v>565.62</v>
      </c>
      <c r="D856">
        <v>554.1</v>
      </c>
      <c r="E856">
        <v>558.94000000000005</v>
      </c>
      <c r="F856">
        <v>333268000</v>
      </c>
      <c r="G856">
        <v>558.94000000000005</v>
      </c>
    </row>
    <row r="857" spans="1:7" x14ac:dyDescent="0.25">
      <c r="A857" s="5">
        <v>34904</v>
      </c>
      <c r="B857">
        <v>553.62</v>
      </c>
      <c r="C857">
        <v>565.4</v>
      </c>
      <c r="D857">
        <v>553.62</v>
      </c>
      <c r="E857">
        <v>562.92999999999995</v>
      </c>
      <c r="F857">
        <v>350026000</v>
      </c>
      <c r="G857">
        <v>562.92999999999995</v>
      </c>
    </row>
    <row r="858" spans="1:7" x14ac:dyDescent="0.25">
      <c r="A858" s="5">
        <v>34897</v>
      </c>
      <c r="B858">
        <v>560.34</v>
      </c>
      <c r="C858">
        <v>562.94000000000005</v>
      </c>
      <c r="D858">
        <v>542.51</v>
      </c>
      <c r="E858">
        <v>553.62</v>
      </c>
      <c r="F858">
        <v>399966000</v>
      </c>
      <c r="G858">
        <v>553.62</v>
      </c>
    </row>
    <row r="859" spans="1:7" x14ac:dyDescent="0.25">
      <c r="A859" s="5">
        <v>34890</v>
      </c>
      <c r="B859">
        <v>556.37</v>
      </c>
      <c r="C859">
        <v>562</v>
      </c>
      <c r="D859">
        <v>553.79999999999995</v>
      </c>
      <c r="E859">
        <v>559.89</v>
      </c>
      <c r="F859">
        <v>380652000</v>
      </c>
      <c r="G859">
        <v>559.89</v>
      </c>
    </row>
    <row r="860" spans="1:7" x14ac:dyDescent="0.25">
      <c r="A860" s="5">
        <v>34883</v>
      </c>
      <c r="B860">
        <v>544.75</v>
      </c>
      <c r="C860">
        <v>556.57000000000005</v>
      </c>
      <c r="D860">
        <v>544.42999999999995</v>
      </c>
      <c r="E860">
        <v>556.37</v>
      </c>
      <c r="F860">
        <v>340697500</v>
      </c>
      <c r="G860">
        <v>556.37</v>
      </c>
    </row>
    <row r="861" spans="1:7" x14ac:dyDescent="0.25">
      <c r="A861" s="5">
        <v>34876</v>
      </c>
      <c r="B861">
        <v>549.71</v>
      </c>
      <c r="C861">
        <v>549.79</v>
      </c>
      <c r="D861">
        <v>540.72</v>
      </c>
      <c r="E861">
        <v>544.75</v>
      </c>
      <c r="F861">
        <v>327292000</v>
      </c>
      <c r="G861">
        <v>544.75</v>
      </c>
    </row>
    <row r="862" spans="1:7" x14ac:dyDescent="0.25">
      <c r="A862" s="5">
        <v>34869</v>
      </c>
      <c r="B862">
        <v>539.83000000000004</v>
      </c>
      <c r="C862">
        <v>551.07000000000005</v>
      </c>
      <c r="D862">
        <v>539.83000000000004</v>
      </c>
      <c r="E862">
        <v>549.71</v>
      </c>
      <c r="F862">
        <v>369246000</v>
      </c>
      <c r="G862">
        <v>549.71</v>
      </c>
    </row>
    <row r="863" spans="1:7" x14ac:dyDescent="0.25">
      <c r="A863" s="5">
        <v>34862</v>
      </c>
      <c r="B863">
        <v>527.94000000000005</v>
      </c>
      <c r="C863">
        <v>539.98</v>
      </c>
      <c r="D863">
        <v>527.94000000000005</v>
      </c>
      <c r="E863">
        <v>539.83000000000004</v>
      </c>
      <c r="F863">
        <v>347558000</v>
      </c>
      <c r="G863">
        <v>539.83000000000004</v>
      </c>
    </row>
    <row r="864" spans="1:7" x14ac:dyDescent="0.25">
      <c r="A864" s="5">
        <v>34855</v>
      </c>
      <c r="B864">
        <v>532.51</v>
      </c>
      <c r="C864">
        <v>537.73</v>
      </c>
      <c r="D864">
        <v>526</v>
      </c>
      <c r="E864">
        <v>527.94000000000005</v>
      </c>
      <c r="F864">
        <v>324650000</v>
      </c>
      <c r="G864">
        <v>527.94000000000005</v>
      </c>
    </row>
    <row r="865" spans="1:7" x14ac:dyDescent="0.25">
      <c r="A865" s="5">
        <v>34849</v>
      </c>
      <c r="B865">
        <v>523.65</v>
      </c>
      <c r="C865">
        <v>536.91</v>
      </c>
      <c r="D865">
        <v>521.38</v>
      </c>
      <c r="E865">
        <v>532.51</v>
      </c>
      <c r="F865">
        <v>338280000</v>
      </c>
      <c r="G865">
        <v>532.51</v>
      </c>
    </row>
    <row r="866" spans="1:7" x14ac:dyDescent="0.25">
      <c r="A866" s="5">
        <v>34841</v>
      </c>
      <c r="B866">
        <v>519.19000000000005</v>
      </c>
      <c r="C866">
        <v>531.91</v>
      </c>
      <c r="D866">
        <v>519.19000000000005</v>
      </c>
      <c r="E866">
        <v>523.65</v>
      </c>
      <c r="F866">
        <v>334620000</v>
      </c>
      <c r="G866">
        <v>523.65</v>
      </c>
    </row>
    <row r="867" spans="1:7" x14ac:dyDescent="0.25">
      <c r="A867" s="5">
        <v>34834</v>
      </c>
      <c r="B867">
        <v>525.54999999999995</v>
      </c>
      <c r="C867">
        <v>529.08000000000004</v>
      </c>
      <c r="D867">
        <v>517.07000000000005</v>
      </c>
      <c r="E867">
        <v>519.19000000000005</v>
      </c>
      <c r="F867">
        <v>347252000</v>
      </c>
      <c r="G867">
        <v>519.19000000000005</v>
      </c>
    </row>
    <row r="868" spans="1:7" x14ac:dyDescent="0.25">
      <c r="A868" s="5">
        <v>34827</v>
      </c>
      <c r="B868">
        <v>520.09</v>
      </c>
      <c r="C868">
        <v>527.04999999999995</v>
      </c>
      <c r="D868">
        <v>519.14</v>
      </c>
      <c r="E868">
        <v>525.54999999999995</v>
      </c>
      <c r="F868">
        <v>347200000</v>
      </c>
      <c r="G868">
        <v>525.54999999999995</v>
      </c>
    </row>
    <row r="869" spans="1:7" x14ac:dyDescent="0.25">
      <c r="A869" s="5">
        <v>34820</v>
      </c>
      <c r="B869">
        <v>514.76</v>
      </c>
      <c r="C869">
        <v>525.4</v>
      </c>
      <c r="D869">
        <v>513.03</v>
      </c>
      <c r="E869">
        <v>520.12</v>
      </c>
      <c r="F869">
        <v>353826000</v>
      </c>
      <c r="G869">
        <v>520.12</v>
      </c>
    </row>
    <row r="870" spans="1:7" x14ac:dyDescent="0.25">
      <c r="A870" s="5">
        <v>34813</v>
      </c>
      <c r="B870">
        <v>508.49</v>
      </c>
      <c r="C870">
        <v>515.29</v>
      </c>
      <c r="D870">
        <v>507.44</v>
      </c>
      <c r="E870">
        <v>514.71</v>
      </c>
      <c r="F870">
        <v>340034000</v>
      </c>
      <c r="G870">
        <v>514.71</v>
      </c>
    </row>
    <row r="871" spans="1:7" x14ac:dyDescent="0.25">
      <c r="A871" s="5">
        <v>34806</v>
      </c>
      <c r="B871">
        <v>509.23</v>
      </c>
      <c r="C871">
        <v>512.03</v>
      </c>
      <c r="D871">
        <v>501.19</v>
      </c>
      <c r="E871">
        <v>508.49</v>
      </c>
      <c r="F871">
        <v>365672000</v>
      </c>
      <c r="G871">
        <v>508.49</v>
      </c>
    </row>
    <row r="872" spans="1:7" x14ac:dyDescent="0.25">
      <c r="A872" s="5">
        <v>34799</v>
      </c>
      <c r="B872">
        <v>506.3</v>
      </c>
      <c r="C872">
        <v>509.83</v>
      </c>
      <c r="D872">
        <v>504.61</v>
      </c>
      <c r="E872">
        <v>509.23</v>
      </c>
      <c r="F872">
        <v>300275000</v>
      </c>
      <c r="G872">
        <v>509.23</v>
      </c>
    </row>
    <row r="873" spans="1:7" x14ac:dyDescent="0.25">
      <c r="A873" s="5">
        <v>34792</v>
      </c>
      <c r="B873">
        <v>500.7</v>
      </c>
      <c r="C873">
        <v>507.19</v>
      </c>
      <c r="D873">
        <v>500.2</v>
      </c>
      <c r="E873">
        <v>506.42</v>
      </c>
      <c r="F873">
        <v>315480000</v>
      </c>
      <c r="G873">
        <v>506.42</v>
      </c>
    </row>
    <row r="874" spans="1:7" x14ac:dyDescent="0.25">
      <c r="A874" s="5">
        <v>34785</v>
      </c>
      <c r="B874">
        <v>500.97</v>
      </c>
      <c r="C874">
        <v>508.15</v>
      </c>
      <c r="D874">
        <v>495.7</v>
      </c>
      <c r="E874">
        <v>500.71</v>
      </c>
      <c r="F874">
        <v>343714000</v>
      </c>
      <c r="G874">
        <v>500.71</v>
      </c>
    </row>
    <row r="875" spans="1:7" x14ac:dyDescent="0.25">
      <c r="A875" s="5">
        <v>34778</v>
      </c>
      <c r="B875">
        <v>495.52</v>
      </c>
      <c r="C875">
        <v>500.97</v>
      </c>
      <c r="D875">
        <v>493.67</v>
      </c>
      <c r="E875">
        <v>500.97</v>
      </c>
      <c r="F875">
        <v>331774000</v>
      </c>
      <c r="G875">
        <v>500.97</v>
      </c>
    </row>
    <row r="876" spans="1:7" x14ac:dyDescent="0.25">
      <c r="A876" s="5">
        <v>34771</v>
      </c>
      <c r="B876">
        <v>489.57</v>
      </c>
      <c r="C876">
        <v>496.67</v>
      </c>
      <c r="D876">
        <v>489.35</v>
      </c>
      <c r="E876">
        <v>495.52</v>
      </c>
      <c r="F876">
        <v>337006000</v>
      </c>
      <c r="G876">
        <v>495.52</v>
      </c>
    </row>
    <row r="877" spans="1:7" x14ac:dyDescent="0.25">
      <c r="A877" s="5">
        <v>34764</v>
      </c>
      <c r="B877">
        <v>485.42</v>
      </c>
      <c r="C877">
        <v>490.37</v>
      </c>
      <c r="D877">
        <v>479.7</v>
      </c>
      <c r="E877">
        <v>489.57</v>
      </c>
      <c r="F877">
        <v>341292000</v>
      </c>
      <c r="G877">
        <v>489.57</v>
      </c>
    </row>
    <row r="878" spans="1:7" x14ac:dyDescent="0.25">
      <c r="A878" s="5">
        <v>34757</v>
      </c>
      <c r="B878">
        <v>488.26</v>
      </c>
      <c r="C878">
        <v>488.26</v>
      </c>
      <c r="D878">
        <v>483.07</v>
      </c>
      <c r="E878">
        <v>485.42</v>
      </c>
      <c r="F878">
        <v>325296000</v>
      </c>
      <c r="G878">
        <v>485.42</v>
      </c>
    </row>
    <row r="879" spans="1:7" x14ac:dyDescent="0.25">
      <c r="A879" s="5">
        <v>34751</v>
      </c>
      <c r="B879">
        <v>481.95</v>
      </c>
      <c r="C879">
        <v>489.19</v>
      </c>
      <c r="D879">
        <v>481.94</v>
      </c>
      <c r="E879">
        <v>488.11</v>
      </c>
      <c r="F879">
        <v>336190000</v>
      </c>
      <c r="G879">
        <v>488.11</v>
      </c>
    </row>
    <row r="880" spans="1:7" x14ac:dyDescent="0.25">
      <c r="A880" s="5">
        <v>34743</v>
      </c>
      <c r="B880">
        <v>481.46</v>
      </c>
      <c r="C880">
        <v>485.54</v>
      </c>
      <c r="D880">
        <v>480.89</v>
      </c>
      <c r="E880">
        <v>481.97</v>
      </c>
      <c r="F880">
        <v>328798000</v>
      </c>
      <c r="G880">
        <v>481.97</v>
      </c>
    </row>
    <row r="881" spans="1:7" x14ac:dyDescent="0.25">
      <c r="A881" s="5">
        <v>34736</v>
      </c>
      <c r="B881">
        <v>478.64</v>
      </c>
      <c r="C881">
        <v>482.6</v>
      </c>
      <c r="D881">
        <v>478.36</v>
      </c>
      <c r="E881">
        <v>481.46</v>
      </c>
      <c r="F881">
        <v>315984000</v>
      </c>
      <c r="G881">
        <v>481.46</v>
      </c>
    </row>
    <row r="882" spans="1:7" x14ac:dyDescent="0.25">
      <c r="A882" s="5">
        <v>34729</v>
      </c>
      <c r="B882">
        <v>470.39</v>
      </c>
      <c r="C882">
        <v>479.91</v>
      </c>
      <c r="D882">
        <v>467.49</v>
      </c>
      <c r="E882">
        <v>478.65</v>
      </c>
      <c r="F882">
        <v>377712000</v>
      </c>
      <c r="G882">
        <v>478.65</v>
      </c>
    </row>
    <row r="883" spans="1:7" x14ac:dyDescent="0.25">
      <c r="A883" s="5">
        <v>34722</v>
      </c>
      <c r="B883">
        <v>464.78</v>
      </c>
      <c r="C883">
        <v>471.36</v>
      </c>
      <c r="D883">
        <v>461.14</v>
      </c>
      <c r="E883">
        <v>470.39</v>
      </c>
      <c r="F883">
        <v>325622000</v>
      </c>
      <c r="G883">
        <v>470.39</v>
      </c>
    </row>
    <row r="884" spans="1:7" x14ac:dyDescent="0.25">
      <c r="A884" s="5">
        <v>34715</v>
      </c>
      <c r="B884">
        <v>465.97</v>
      </c>
      <c r="C884">
        <v>470.43</v>
      </c>
      <c r="D884">
        <v>463.99</v>
      </c>
      <c r="E884">
        <v>464.78</v>
      </c>
      <c r="F884">
        <v>333480000</v>
      </c>
      <c r="G884">
        <v>464.78</v>
      </c>
    </row>
    <row r="885" spans="1:7" x14ac:dyDescent="0.25">
      <c r="A885" s="5">
        <v>34708</v>
      </c>
      <c r="B885">
        <v>460.67</v>
      </c>
      <c r="C885">
        <v>466.43</v>
      </c>
      <c r="D885">
        <v>458.65</v>
      </c>
      <c r="E885">
        <v>465.97</v>
      </c>
      <c r="F885">
        <v>325466000</v>
      </c>
      <c r="G885">
        <v>465.97</v>
      </c>
    </row>
    <row r="886" spans="1:7" x14ac:dyDescent="0.25">
      <c r="A886" s="5">
        <v>34702</v>
      </c>
      <c r="B886">
        <v>459.21</v>
      </c>
      <c r="C886">
        <v>462.49</v>
      </c>
      <c r="D886">
        <v>457.2</v>
      </c>
      <c r="E886">
        <v>460.68</v>
      </c>
      <c r="F886">
        <v>299770000</v>
      </c>
      <c r="G886">
        <v>460.68</v>
      </c>
    </row>
    <row r="887" spans="1:7" x14ac:dyDescent="0.25">
      <c r="A887" s="5">
        <v>34695</v>
      </c>
      <c r="B887">
        <v>459.85</v>
      </c>
      <c r="C887">
        <v>462.73</v>
      </c>
      <c r="D887">
        <v>459</v>
      </c>
      <c r="E887">
        <v>459.27</v>
      </c>
      <c r="F887">
        <v>241087500</v>
      </c>
      <c r="G887">
        <v>459.27</v>
      </c>
    </row>
    <row r="888" spans="1:7" x14ac:dyDescent="0.25">
      <c r="A888" s="5">
        <v>34687</v>
      </c>
      <c r="B888">
        <v>458.78</v>
      </c>
      <c r="C888">
        <v>461.7</v>
      </c>
      <c r="D888">
        <v>456.37</v>
      </c>
      <c r="E888">
        <v>459.83</v>
      </c>
      <c r="F888">
        <v>302876000</v>
      </c>
      <c r="G888">
        <v>459.83</v>
      </c>
    </row>
    <row r="889" spans="1:7" x14ac:dyDescent="0.25">
      <c r="A889" s="5">
        <v>34680</v>
      </c>
      <c r="B889">
        <v>446.95</v>
      </c>
      <c r="C889">
        <v>458.8</v>
      </c>
      <c r="D889">
        <v>445.62</v>
      </c>
      <c r="E889">
        <v>458.8</v>
      </c>
      <c r="F889">
        <v>352498000</v>
      </c>
      <c r="G889">
        <v>458.8</v>
      </c>
    </row>
    <row r="890" spans="1:7" x14ac:dyDescent="0.25">
      <c r="A890" s="5">
        <v>34673</v>
      </c>
      <c r="B890">
        <v>453.3</v>
      </c>
      <c r="C890">
        <v>455.04</v>
      </c>
      <c r="D890">
        <v>442.88</v>
      </c>
      <c r="E890">
        <v>446.96</v>
      </c>
      <c r="F890">
        <v>307928000</v>
      </c>
      <c r="G890">
        <v>446.96</v>
      </c>
    </row>
    <row r="891" spans="1:7" x14ac:dyDescent="0.25">
      <c r="A891" s="5">
        <v>34666</v>
      </c>
      <c r="B891">
        <v>452.26</v>
      </c>
      <c r="C891">
        <v>457.13</v>
      </c>
      <c r="D891">
        <v>447.97</v>
      </c>
      <c r="E891">
        <v>453.3</v>
      </c>
      <c r="F891">
        <v>284284000</v>
      </c>
      <c r="G891">
        <v>453.3</v>
      </c>
    </row>
    <row r="892" spans="1:7" x14ac:dyDescent="0.25">
      <c r="A892" s="5">
        <v>34659</v>
      </c>
      <c r="B892">
        <v>461.69</v>
      </c>
      <c r="C892">
        <v>463.41</v>
      </c>
      <c r="D892">
        <v>444.18</v>
      </c>
      <c r="E892">
        <v>452.29</v>
      </c>
      <c r="F892">
        <v>307337500</v>
      </c>
      <c r="G892">
        <v>452.29</v>
      </c>
    </row>
    <row r="893" spans="1:7" x14ac:dyDescent="0.25">
      <c r="A893" s="5">
        <v>34652</v>
      </c>
      <c r="B893">
        <v>462.44</v>
      </c>
      <c r="C893">
        <v>468.51</v>
      </c>
      <c r="D893">
        <v>460.25</v>
      </c>
      <c r="E893">
        <v>461.47</v>
      </c>
      <c r="F893">
        <v>314746000</v>
      </c>
      <c r="G893">
        <v>461.47</v>
      </c>
    </row>
    <row r="894" spans="1:7" x14ac:dyDescent="0.25">
      <c r="A894" s="5">
        <v>34645</v>
      </c>
      <c r="B894">
        <v>462.31</v>
      </c>
      <c r="C894">
        <v>469.95</v>
      </c>
      <c r="D894">
        <v>461.25</v>
      </c>
      <c r="E894">
        <v>462.35</v>
      </c>
      <c r="F894">
        <v>277076000</v>
      </c>
      <c r="G894">
        <v>462.35</v>
      </c>
    </row>
    <row r="895" spans="1:7" x14ac:dyDescent="0.25">
      <c r="A895" s="5">
        <v>34638</v>
      </c>
      <c r="B895">
        <v>473.76</v>
      </c>
      <c r="C895">
        <v>474.74</v>
      </c>
      <c r="D895">
        <v>462.28</v>
      </c>
      <c r="E895">
        <v>462.28</v>
      </c>
      <c r="F895">
        <v>302970000</v>
      </c>
      <c r="G895">
        <v>462.28</v>
      </c>
    </row>
    <row r="896" spans="1:7" x14ac:dyDescent="0.25">
      <c r="A896" s="5">
        <v>34631</v>
      </c>
      <c r="B896">
        <v>464.89</v>
      </c>
      <c r="C896">
        <v>473.78</v>
      </c>
      <c r="D896">
        <v>458.26</v>
      </c>
      <c r="E896">
        <v>473.77</v>
      </c>
      <c r="F896">
        <v>328144000</v>
      </c>
      <c r="G896">
        <v>473.77</v>
      </c>
    </row>
    <row r="897" spans="1:7" x14ac:dyDescent="0.25">
      <c r="A897" s="5">
        <v>34624</v>
      </c>
      <c r="B897">
        <v>469.11</v>
      </c>
      <c r="C897">
        <v>471.43</v>
      </c>
      <c r="D897">
        <v>463.83</v>
      </c>
      <c r="E897">
        <v>464.89</v>
      </c>
      <c r="F897">
        <v>292404000</v>
      </c>
      <c r="G897">
        <v>464.89</v>
      </c>
    </row>
    <row r="898" spans="1:7" x14ac:dyDescent="0.25">
      <c r="A898" s="5">
        <v>34617</v>
      </c>
      <c r="B898">
        <v>455.12</v>
      </c>
      <c r="C898">
        <v>471.3</v>
      </c>
      <c r="D898">
        <v>455.12</v>
      </c>
      <c r="E898">
        <v>469.1</v>
      </c>
      <c r="F898">
        <v>285574000</v>
      </c>
      <c r="G898">
        <v>469.1</v>
      </c>
    </row>
    <row r="899" spans="1:7" x14ac:dyDescent="0.25">
      <c r="A899" s="5">
        <v>34610</v>
      </c>
      <c r="B899">
        <v>462.69</v>
      </c>
      <c r="C899">
        <v>463.31</v>
      </c>
      <c r="D899">
        <v>449.27</v>
      </c>
      <c r="E899">
        <v>455.1</v>
      </c>
      <c r="F899">
        <v>302254000</v>
      </c>
      <c r="G899">
        <v>455.1</v>
      </c>
    </row>
    <row r="900" spans="1:7" x14ac:dyDescent="0.25">
      <c r="A900" s="5">
        <v>34603</v>
      </c>
      <c r="B900">
        <v>459.65</v>
      </c>
      <c r="C900">
        <v>465.55</v>
      </c>
      <c r="D900">
        <v>459.31</v>
      </c>
      <c r="E900">
        <v>462.71</v>
      </c>
      <c r="F900">
        <v>297412000</v>
      </c>
      <c r="G900">
        <v>462.71</v>
      </c>
    </row>
    <row r="901" spans="1:7" x14ac:dyDescent="0.25">
      <c r="A901" s="5">
        <v>34596</v>
      </c>
      <c r="B901">
        <v>471.21</v>
      </c>
      <c r="C901">
        <v>473.15</v>
      </c>
      <c r="D901">
        <v>458.47</v>
      </c>
      <c r="E901">
        <v>459.67</v>
      </c>
      <c r="F901">
        <v>312052000</v>
      </c>
      <c r="G901">
        <v>459.67</v>
      </c>
    </row>
    <row r="902" spans="1:7" x14ac:dyDescent="0.25">
      <c r="A902" s="5">
        <v>34589</v>
      </c>
      <c r="B902">
        <v>468.18</v>
      </c>
      <c r="C902">
        <v>474.81</v>
      </c>
      <c r="D902">
        <v>466.15</v>
      </c>
      <c r="E902">
        <v>471.19</v>
      </c>
      <c r="F902">
        <v>305640000</v>
      </c>
      <c r="G902">
        <v>471.19</v>
      </c>
    </row>
    <row r="903" spans="1:7" x14ac:dyDescent="0.25">
      <c r="A903" s="5">
        <v>34583</v>
      </c>
      <c r="B903">
        <v>471</v>
      </c>
      <c r="C903">
        <v>473.4</v>
      </c>
      <c r="D903">
        <v>466.55</v>
      </c>
      <c r="E903">
        <v>468.18</v>
      </c>
      <c r="F903">
        <v>269592500</v>
      </c>
      <c r="G903">
        <v>468.18</v>
      </c>
    </row>
    <row r="904" spans="1:7" x14ac:dyDescent="0.25">
      <c r="A904" s="5">
        <v>34575</v>
      </c>
      <c r="B904">
        <v>473.89</v>
      </c>
      <c r="C904">
        <v>477.59</v>
      </c>
      <c r="D904">
        <v>470.67</v>
      </c>
      <c r="E904">
        <v>470.99</v>
      </c>
      <c r="F904">
        <v>282846000</v>
      </c>
      <c r="G904">
        <v>470.99</v>
      </c>
    </row>
    <row r="905" spans="1:7" x14ac:dyDescent="0.25">
      <c r="A905" s="5">
        <v>34568</v>
      </c>
      <c r="B905">
        <v>463.61</v>
      </c>
      <c r="C905">
        <v>474.65</v>
      </c>
      <c r="D905">
        <v>461.46</v>
      </c>
      <c r="E905">
        <v>473.8</v>
      </c>
      <c r="F905">
        <v>288594000</v>
      </c>
      <c r="G905">
        <v>473.8</v>
      </c>
    </row>
    <row r="906" spans="1:7" x14ac:dyDescent="0.25">
      <c r="A906" s="5">
        <v>34561</v>
      </c>
      <c r="B906">
        <v>461.97</v>
      </c>
      <c r="C906">
        <v>465.91</v>
      </c>
      <c r="D906">
        <v>459.89</v>
      </c>
      <c r="E906">
        <v>463.68</v>
      </c>
      <c r="F906">
        <v>280612000</v>
      </c>
      <c r="G906">
        <v>463.68</v>
      </c>
    </row>
    <row r="907" spans="1:7" x14ac:dyDescent="0.25">
      <c r="A907" s="5">
        <v>34554</v>
      </c>
      <c r="B907">
        <v>457.08</v>
      </c>
      <c r="C907">
        <v>462.27</v>
      </c>
      <c r="D907">
        <v>456.66</v>
      </c>
      <c r="E907">
        <v>461.94</v>
      </c>
      <c r="F907">
        <v>256258000</v>
      </c>
      <c r="G907">
        <v>461.94</v>
      </c>
    </row>
    <row r="908" spans="1:7" x14ac:dyDescent="0.25">
      <c r="A908" s="5">
        <v>34547</v>
      </c>
      <c r="B908">
        <v>458.28</v>
      </c>
      <c r="C908">
        <v>462.77</v>
      </c>
      <c r="D908">
        <v>456.08</v>
      </c>
      <c r="E908">
        <v>457.09</v>
      </c>
      <c r="F908">
        <v>271236000</v>
      </c>
      <c r="G908">
        <v>457.09</v>
      </c>
    </row>
    <row r="909" spans="1:7" x14ac:dyDescent="0.25">
      <c r="A909" s="5">
        <v>34540</v>
      </c>
      <c r="B909">
        <v>453.1</v>
      </c>
      <c r="C909">
        <v>459.33</v>
      </c>
      <c r="D909">
        <v>451.36</v>
      </c>
      <c r="E909">
        <v>458.26</v>
      </c>
      <c r="F909">
        <v>242674000</v>
      </c>
      <c r="G909">
        <v>458.26</v>
      </c>
    </row>
    <row r="910" spans="1:7" x14ac:dyDescent="0.25">
      <c r="A910" s="5">
        <v>34533</v>
      </c>
      <c r="B910">
        <v>454.41</v>
      </c>
      <c r="C910">
        <v>455.71</v>
      </c>
      <c r="D910">
        <v>450.69</v>
      </c>
      <c r="E910">
        <v>453.11</v>
      </c>
      <c r="F910">
        <v>260110000</v>
      </c>
      <c r="G910">
        <v>453.11</v>
      </c>
    </row>
    <row r="911" spans="1:7" x14ac:dyDescent="0.25">
      <c r="A911" s="5">
        <v>34526</v>
      </c>
      <c r="B911">
        <v>449.56</v>
      </c>
      <c r="C911">
        <v>454.33</v>
      </c>
      <c r="D911">
        <v>444.65</v>
      </c>
      <c r="E911">
        <v>454.16</v>
      </c>
      <c r="F911">
        <v>267850000</v>
      </c>
      <c r="G911">
        <v>454.16</v>
      </c>
    </row>
    <row r="912" spans="1:7" x14ac:dyDescent="0.25">
      <c r="A912" s="5">
        <v>34520</v>
      </c>
      <c r="B912">
        <v>446.2</v>
      </c>
      <c r="C912">
        <v>449.75</v>
      </c>
      <c r="D912">
        <v>444.18</v>
      </c>
      <c r="E912">
        <v>449.55</v>
      </c>
      <c r="F912">
        <v>231975000</v>
      </c>
      <c r="G912">
        <v>449.55</v>
      </c>
    </row>
    <row r="913" spans="1:7" x14ac:dyDescent="0.25">
      <c r="A913" s="5">
        <v>34512</v>
      </c>
      <c r="B913">
        <v>442.78</v>
      </c>
      <c r="C913">
        <v>449.83</v>
      </c>
      <c r="D913">
        <v>439.83</v>
      </c>
      <c r="E913">
        <v>446.2</v>
      </c>
      <c r="F913">
        <v>254938000</v>
      </c>
      <c r="G913">
        <v>446.2</v>
      </c>
    </row>
    <row r="914" spans="1:7" x14ac:dyDescent="0.25">
      <c r="A914" s="5">
        <v>34505</v>
      </c>
      <c r="B914">
        <v>458.45</v>
      </c>
      <c r="C914">
        <v>458.45</v>
      </c>
      <c r="D914">
        <v>442.51</v>
      </c>
      <c r="E914">
        <v>442.8</v>
      </c>
      <c r="F914">
        <v>259420000</v>
      </c>
      <c r="G914">
        <v>442.8</v>
      </c>
    </row>
    <row r="915" spans="1:7" x14ac:dyDescent="0.25">
      <c r="A915" s="5">
        <v>34498</v>
      </c>
      <c r="B915">
        <v>458.67</v>
      </c>
      <c r="C915">
        <v>463.23</v>
      </c>
      <c r="D915">
        <v>457.18</v>
      </c>
      <c r="E915">
        <v>458.45</v>
      </c>
      <c r="F915">
        <v>286354000</v>
      </c>
      <c r="G915">
        <v>458.45</v>
      </c>
    </row>
    <row r="916" spans="1:7" x14ac:dyDescent="0.25">
      <c r="A916" s="5">
        <v>34491</v>
      </c>
      <c r="B916">
        <v>460.13</v>
      </c>
      <c r="C916">
        <v>461.87</v>
      </c>
      <c r="D916">
        <v>455.43</v>
      </c>
      <c r="E916">
        <v>458.67</v>
      </c>
      <c r="F916">
        <v>245022000</v>
      </c>
      <c r="G916">
        <v>458.67</v>
      </c>
    </row>
    <row r="917" spans="1:7" x14ac:dyDescent="0.25">
      <c r="A917" s="5">
        <v>34485</v>
      </c>
      <c r="B917">
        <v>457.32</v>
      </c>
      <c r="C917">
        <v>460.86</v>
      </c>
      <c r="D917">
        <v>453.99</v>
      </c>
      <c r="E917">
        <v>460.13</v>
      </c>
      <c r="F917">
        <v>259932500</v>
      </c>
      <c r="G917">
        <v>460.13</v>
      </c>
    </row>
    <row r="918" spans="1:7" x14ac:dyDescent="0.25">
      <c r="A918" s="5">
        <v>34477</v>
      </c>
      <c r="B918">
        <v>454.92</v>
      </c>
      <c r="C918">
        <v>457.77</v>
      </c>
      <c r="D918">
        <v>451.79</v>
      </c>
      <c r="E918">
        <v>457.33</v>
      </c>
      <c r="F918">
        <v>245210000</v>
      </c>
      <c r="G918">
        <v>457.33</v>
      </c>
    </row>
    <row r="919" spans="1:7" x14ac:dyDescent="0.25">
      <c r="A919" s="5">
        <v>34470</v>
      </c>
      <c r="B919">
        <v>444.15</v>
      </c>
      <c r="C919">
        <v>456.88</v>
      </c>
      <c r="D919">
        <v>443.62</v>
      </c>
      <c r="E919">
        <v>454.92</v>
      </c>
      <c r="F919">
        <v>296502000</v>
      </c>
      <c r="G919">
        <v>454.92</v>
      </c>
    </row>
    <row r="920" spans="1:7" x14ac:dyDescent="0.25">
      <c r="A920" s="5">
        <v>34463</v>
      </c>
      <c r="B920">
        <v>447.82</v>
      </c>
      <c r="C920">
        <v>447.82</v>
      </c>
      <c r="D920">
        <v>440.78</v>
      </c>
      <c r="E920">
        <v>444.14</v>
      </c>
      <c r="F920">
        <v>270154000</v>
      </c>
      <c r="G920">
        <v>444.14</v>
      </c>
    </row>
    <row r="921" spans="1:7" x14ac:dyDescent="0.25">
      <c r="A921" s="5">
        <v>34456</v>
      </c>
      <c r="B921">
        <v>450.91</v>
      </c>
      <c r="C921">
        <v>453.98</v>
      </c>
      <c r="D921">
        <v>445.64</v>
      </c>
      <c r="E921">
        <v>447.82</v>
      </c>
      <c r="F921">
        <v>279988000</v>
      </c>
      <c r="G921">
        <v>447.82</v>
      </c>
    </row>
    <row r="922" spans="1:7" x14ac:dyDescent="0.25">
      <c r="A922" s="5">
        <v>34449</v>
      </c>
      <c r="B922">
        <v>447.64</v>
      </c>
      <c r="C922">
        <v>452.79</v>
      </c>
      <c r="D922">
        <v>447.58</v>
      </c>
      <c r="E922">
        <v>450.91</v>
      </c>
      <c r="F922">
        <v>292402500</v>
      </c>
      <c r="G922">
        <v>450.91</v>
      </c>
    </row>
    <row r="923" spans="1:7" x14ac:dyDescent="0.25">
      <c r="A923" s="5">
        <v>34442</v>
      </c>
      <c r="B923">
        <v>446.27</v>
      </c>
      <c r="C923">
        <v>449.96</v>
      </c>
      <c r="D923">
        <v>438.83</v>
      </c>
      <c r="E923">
        <v>447.63</v>
      </c>
      <c r="F923">
        <v>327154000</v>
      </c>
      <c r="G923">
        <v>447.63</v>
      </c>
    </row>
    <row r="924" spans="1:7" x14ac:dyDescent="0.25">
      <c r="A924" s="5">
        <v>34435</v>
      </c>
      <c r="B924">
        <v>447.12</v>
      </c>
      <c r="C924">
        <v>450.8</v>
      </c>
      <c r="D924">
        <v>442.62</v>
      </c>
      <c r="E924">
        <v>446.18</v>
      </c>
      <c r="F924">
        <v>272776000</v>
      </c>
      <c r="G924">
        <v>446.18</v>
      </c>
    </row>
    <row r="925" spans="1:7" x14ac:dyDescent="0.25">
      <c r="A925" s="5">
        <v>34428</v>
      </c>
      <c r="B925">
        <v>445.66</v>
      </c>
      <c r="C925">
        <v>451.1</v>
      </c>
      <c r="D925">
        <v>435.86</v>
      </c>
      <c r="E925">
        <v>447.1</v>
      </c>
      <c r="F925">
        <v>313150000</v>
      </c>
      <c r="G925">
        <v>447.1</v>
      </c>
    </row>
    <row r="926" spans="1:7" x14ac:dyDescent="0.25">
      <c r="A926" s="5">
        <v>34421</v>
      </c>
      <c r="B926">
        <v>460.58</v>
      </c>
      <c r="C926">
        <v>461.12</v>
      </c>
      <c r="D926">
        <v>436.16</v>
      </c>
      <c r="E926">
        <v>445.77</v>
      </c>
      <c r="F926">
        <v>346702500</v>
      </c>
      <c r="G926">
        <v>445.77</v>
      </c>
    </row>
    <row r="927" spans="1:7" x14ac:dyDescent="0.25">
      <c r="A927" s="5">
        <v>34414</v>
      </c>
      <c r="B927">
        <v>471.06</v>
      </c>
      <c r="C927">
        <v>471.06</v>
      </c>
      <c r="D927">
        <v>460.58</v>
      </c>
      <c r="E927">
        <v>460.58</v>
      </c>
      <c r="F927">
        <v>272900000</v>
      </c>
      <c r="G927">
        <v>460.58</v>
      </c>
    </row>
    <row r="928" spans="1:7" x14ac:dyDescent="0.25">
      <c r="A928" s="5">
        <v>34407</v>
      </c>
      <c r="B928">
        <v>466.44</v>
      </c>
      <c r="C928">
        <v>471.09</v>
      </c>
      <c r="D928">
        <v>465.48</v>
      </c>
      <c r="E928">
        <v>471.06</v>
      </c>
      <c r="F928">
        <v>327542000</v>
      </c>
      <c r="G928">
        <v>471.06</v>
      </c>
    </row>
    <row r="929" spans="1:7" x14ac:dyDescent="0.25">
      <c r="A929" s="5">
        <v>34400</v>
      </c>
      <c r="B929">
        <v>464.74</v>
      </c>
      <c r="C929">
        <v>468.07</v>
      </c>
      <c r="D929">
        <v>462.46</v>
      </c>
      <c r="E929">
        <v>466.44</v>
      </c>
      <c r="F929">
        <v>313354000</v>
      </c>
      <c r="G929">
        <v>466.44</v>
      </c>
    </row>
    <row r="930" spans="1:7" x14ac:dyDescent="0.25">
      <c r="A930" s="5">
        <v>34393</v>
      </c>
      <c r="B930">
        <v>466.07</v>
      </c>
      <c r="C930">
        <v>469.16</v>
      </c>
      <c r="D930">
        <v>457.49</v>
      </c>
      <c r="E930">
        <v>464.74</v>
      </c>
      <c r="F930">
        <v>307582000</v>
      </c>
      <c r="G930">
        <v>464.74</v>
      </c>
    </row>
    <row r="931" spans="1:7" x14ac:dyDescent="0.25">
      <c r="A931" s="5">
        <v>34387</v>
      </c>
      <c r="B931">
        <v>467.69</v>
      </c>
      <c r="C931">
        <v>472.41</v>
      </c>
      <c r="D931">
        <v>464.26</v>
      </c>
      <c r="E931">
        <v>466.07</v>
      </c>
      <c r="F931">
        <v>299357500</v>
      </c>
      <c r="G931">
        <v>466.07</v>
      </c>
    </row>
    <row r="932" spans="1:7" x14ac:dyDescent="0.25">
      <c r="A932" s="5">
        <v>34379</v>
      </c>
      <c r="B932">
        <v>470.18</v>
      </c>
      <c r="C932">
        <v>475.12</v>
      </c>
      <c r="D932">
        <v>466.07</v>
      </c>
      <c r="E932">
        <v>467.69</v>
      </c>
      <c r="F932">
        <v>299734000</v>
      </c>
      <c r="G932">
        <v>467.69</v>
      </c>
    </row>
    <row r="933" spans="1:7" x14ac:dyDescent="0.25">
      <c r="A933" s="5">
        <v>34372</v>
      </c>
      <c r="B933">
        <v>469.81</v>
      </c>
      <c r="C933">
        <v>473.41</v>
      </c>
      <c r="D933">
        <v>466.89</v>
      </c>
      <c r="E933">
        <v>470.18</v>
      </c>
      <c r="F933">
        <v>308022000</v>
      </c>
      <c r="G933">
        <v>470.18</v>
      </c>
    </row>
    <row r="934" spans="1:7" x14ac:dyDescent="0.25">
      <c r="A934" s="5">
        <v>34365</v>
      </c>
      <c r="B934">
        <v>478.7</v>
      </c>
      <c r="C934">
        <v>482.85</v>
      </c>
      <c r="D934">
        <v>469.28</v>
      </c>
      <c r="E934">
        <v>469.81</v>
      </c>
      <c r="F934">
        <v>334214000</v>
      </c>
      <c r="G934">
        <v>469.81</v>
      </c>
    </row>
    <row r="935" spans="1:7" x14ac:dyDescent="0.25">
      <c r="A935" s="5">
        <v>34358</v>
      </c>
      <c r="B935">
        <v>474.72</v>
      </c>
      <c r="C935">
        <v>479.75</v>
      </c>
      <c r="D935">
        <v>470.27</v>
      </c>
      <c r="E935">
        <v>478.7</v>
      </c>
      <c r="F935">
        <v>317464000</v>
      </c>
      <c r="G935">
        <v>478.7</v>
      </c>
    </row>
    <row r="936" spans="1:7" x14ac:dyDescent="0.25">
      <c r="A936" s="5">
        <v>34351</v>
      </c>
      <c r="B936">
        <v>474.91</v>
      </c>
      <c r="C936">
        <v>475.56</v>
      </c>
      <c r="D936">
        <v>472.21</v>
      </c>
      <c r="E936">
        <v>474.72</v>
      </c>
      <c r="F936">
        <v>302198000</v>
      </c>
      <c r="G936">
        <v>474.72</v>
      </c>
    </row>
    <row r="937" spans="1:7" x14ac:dyDescent="0.25">
      <c r="A937" s="5">
        <v>34344</v>
      </c>
      <c r="B937">
        <v>469.9</v>
      </c>
      <c r="C937">
        <v>475.32</v>
      </c>
      <c r="D937">
        <v>469.55</v>
      </c>
      <c r="E937">
        <v>474.91</v>
      </c>
      <c r="F937">
        <v>303712000</v>
      </c>
      <c r="G937">
        <v>474.91</v>
      </c>
    </row>
    <row r="938" spans="1:7" x14ac:dyDescent="0.25">
      <c r="A938" s="5">
        <v>34337</v>
      </c>
      <c r="B938">
        <v>466.51</v>
      </c>
      <c r="C938">
        <v>470.26</v>
      </c>
      <c r="D938">
        <v>464.36</v>
      </c>
      <c r="E938">
        <v>469.9</v>
      </c>
      <c r="F938">
        <v>337530000</v>
      </c>
      <c r="G938">
        <v>469.9</v>
      </c>
    </row>
    <row r="939" spans="1:7" x14ac:dyDescent="0.25">
      <c r="A939" s="5">
        <v>34330</v>
      </c>
      <c r="B939">
        <v>467.4</v>
      </c>
      <c r="C939">
        <v>471.29</v>
      </c>
      <c r="D939">
        <v>466.45</v>
      </c>
      <c r="E939">
        <v>466.45</v>
      </c>
      <c r="F939">
        <v>201236000</v>
      </c>
      <c r="G939">
        <v>466.45</v>
      </c>
    </row>
    <row r="940" spans="1:7" x14ac:dyDescent="0.25">
      <c r="A940" s="5">
        <v>34323</v>
      </c>
      <c r="B940">
        <v>466.38</v>
      </c>
      <c r="C940">
        <v>468.97</v>
      </c>
      <c r="D940">
        <v>464.03</v>
      </c>
      <c r="E940">
        <v>467.38</v>
      </c>
      <c r="F940">
        <v>257237500</v>
      </c>
      <c r="G940">
        <v>467.38</v>
      </c>
    </row>
    <row r="941" spans="1:7" x14ac:dyDescent="0.25">
      <c r="A941" s="5">
        <v>34316</v>
      </c>
      <c r="B941">
        <v>463.93</v>
      </c>
      <c r="C941">
        <v>466.38</v>
      </c>
      <c r="D941">
        <v>461.84</v>
      </c>
      <c r="E941">
        <v>466.38</v>
      </c>
      <c r="F941">
        <v>302354000</v>
      </c>
      <c r="G941">
        <v>466.38</v>
      </c>
    </row>
    <row r="942" spans="1:7" x14ac:dyDescent="0.25">
      <c r="A942" s="5">
        <v>34309</v>
      </c>
      <c r="B942">
        <v>464.89</v>
      </c>
      <c r="C942">
        <v>466.89</v>
      </c>
      <c r="D942">
        <v>462.66</v>
      </c>
      <c r="E942">
        <v>463.93</v>
      </c>
      <c r="F942">
        <v>285142000</v>
      </c>
      <c r="G942">
        <v>463.93</v>
      </c>
    </row>
    <row r="943" spans="1:7" x14ac:dyDescent="0.25">
      <c r="A943" s="5">
        <v>34302</v>
      </c>
      <c r="B943">
        <v>463.06</v>
      </c>
      <c r="C943">
        <v>464.89</v>
      </c>
      <c r="D943">
        <v>460.45</v>
      </c>
      <c r="E943">
        <v>464.89</v>
      </c>
      <c r="F943">
        <v>275594000</v>
      </c>
      <c r="G943">
        <v>464.89</v>
      </c>
    </row>
    <row r="944" spans="1:7" x14ac:dyDescent="0.25">
      <c r="A944" s="5">
        <v>34295</v>
      </c>
      <c r="B944">
        <v>462.6</v>
      </c>
      <c r="C944">
        <v>463.63</v>
      </c>
      <c r="D944">
        <v>457.08</v>
      </c>
      <c r="E944">
        <v>463.06</v>
      </c>
      <c r="F944">
        <v>215345000</v>
      </c>
      <c r="G944">
        <v>463.06</v>
      </c>
    </row>
    <row r="945" spans="1:7" x14ac:dyDescent="0.25">
      <c r="A945" s="5">
        <v>34288</v>
      </c>
      <c r="B945">
        <v>465.39</v>
      </c>
      <c r="C945">
        <v>467.24</v>
      </c>
      <c r="D945">
        <v>460.03</v>
      </c>
      <c r="E945">
        <v>462.6</v>
      </c>
      <c r="F945">
        <v>297682000</v>
      </c>
      <c r="G945">
        <v>462.6</v>
      </c>
    </row>
    <row r="946" spans="1:7" x14ac:dyDescent="0.25">
      <c r="A946" s="5">
        <v>34281</v>
      </c>
      <c r="B946">
        <v>459.57</v>
      </c>
      <c r="C946">
        <v>465.84</v>
      </c>
      <c r="D946">
        <v>458.78</v>
      </c>
      <c r="E946">
        <v>465.39</v>
      </c>
      <c r="F946">
        <v>280842000</v>
      </c>
      <c r="G946">
        <v>465.39</v>
      </c>
    </row>
    <row r="947" spans="1:7" x14ac:dyDescent="0.25">
      <c r="A947" s="5">
        <v>34274</v>
      </c>
      <c r="B947">
        <v>467.83</v>
      </c>
      <c r="C947">
        <v>469.11</v>
      </c>
      <c r="D947">
        <v>454.36</v>
      </c>
      <c r="E947">
        <v>459.57</v>
      </c>
      <c r="F947">
        <v>312648000</v>
      </c>
      <c r="G947">
        <v>459.57</v>
      </c>
    </row>
    <row r="948" spans="1:7" x14ac:dyDescent="0.25">
      <c r="A948" s="5">
        <v>34267</v>
      </c>
      <c r="B948">
        <v>463.27</v>
      </c>
      <c r="C948">
        <v>468.76</v>
      </c>
      <c r="D948">
        <v>462.05</v>
      </c>
      <c r="E948">
        <v>467.83</v>
      </c>
      <c r="F948">
        <v>279292000</v>
      </c>
      <c r="G948">
        <v>467.83</v>
      </c>
    </row>
    <row r="949" spans="1:7" x14ac:dyDescent="0.25">
      <c r="A949" s="5">
        <v>34260</v>
      </c>
      <c r="B949">
        <v>469.5</v>
      </c>
      <c r="C949">
        <v>470.04</v>
      </c>
      <c r="D949">
        <v>463.27</v>
      </c>
      <c r="E949">
        <v>463.27</v>
      </c>
      <c r="F949">
        <v>306138000</v>
      </c>
      <c r="G949">
        <v>463.27</v>
      </c>
    </row>
    <row r="950" spans="1:7" x14ac:dyDescent="0.25">
      <c r="A950" s="5">
        <v>34253</v>
      </c>
      <c r="B950">
        <v>460.31</v>
      </c>
      <c r="C950">
        <v>471.1</v>
      </c>
      <c r="D950">
        <v>460.31</v>
      </c>
      <c r="E950">
        <v>469.5</v>
      </c>
      <c r="F950">
        <v>291320000</v>
      </c>
      <c r="G950">
        <v>469.5</v>
      </c>
    </row>
    <row r="951" spans="1:7" x14ac:dyDescent="0.25">
      <c r="A951" s="5">
        <v>34246</v>
      </c>
      <c r="B951">
        <v>461.28</v>
      </c>
      <c r="C951">
        <v>463.15</v>
      </c>
      <c r="D951">
        <v>456.4</v>
      </c>
      <c r="E951">
        <v>460.31</v>
      </c>
      <c r="F951">
        <v>259966000</v>
      </c>
      <c r="G951">
        <v>460.31</v>
      </c>
    </row>
    <row r="952" spans="1:7" x14ac:dyDescent="0.25">
      <c r="A952" s="5">
        <v>34239</v>
      </c>
      <c r="B952">
        <v>457.63</v>
      </c>
      <c r="C952">
        <v>462.17</v>
      </c>
      <c r="D952">
        <v>457.63</v>
      </c>
      <c r="E952">
        <v>461.28</v>
      </c>
      <c r="F952">
        <v>260758000</v>
      </c>
      <c r="G952">
        <v>461.28</v>
      </c>
    </row>
    <row r="953" spans="1:7" x14ac:dyDescent="0.25">
      <c r="A953" s="5">
        <v>34232</v>
      </c>
      <c r="B953">
        <v>458.84</v>
      </c>
      <c r="C953">
        <v>459.91</v>
      </c>
      <c r="D953">
        <v>449.64</v>
      </c>
      <c r="E953">
        <v>457.63</v>
      </c>
      <c r="F953">
        <v>270804000</v>
      </c>
      <c r="G953">
        <v>457.63</v>
      </c>
    </row>
    <row r="954" spans="1:7" x14ac:dyDescent="0.25">
      <c r="A954" s="5">
        <v>34225</v>
      </c>
      <c r="B954">
        <v>461.7</v>
      </c>
      <c r="C954">
        <v>463.38</v>
      </c>
      <c r="D954">
        <v>456.31</v>
      </c>
      <c r="E954">
        <v>458.83</v>
      </c>
      <c r="F954">
        <v>281820000</v>
      </c>
      <c r="G954">
        <v>458.83</v>
      </c>
    </row>
    <row r="955" spans="1:7" x14ac:dyDescent="0.25">
      <c r="A955" s="5">
        <v>34219</v>
      </c>
      <c r="B955">
        <v>461.34</v>
      </c>
      <c r="C955">
        <v>462.07</v>
      </c>
      <c r="D955">
        <v>453.75</v>
      </c>
      <c r="E955">
        <v>461.72</v>
      </c>
      <c r="F955">
        <v>260155000</v>
      </c>
      <c r="G955">
        <v>461.72</v>
      </c>
    </row>
    <row r="956" spans="1:7" x14ac:dyDescent="0.25">
      <c r="A956" s="5">
        <v>34211</v>
      </c>
      <c r="B956">
        <v>460.54</v>
      </c>
      <c r="C956">
        <v>463.8</v>
      </c>
      <c r="D956">
        <v>459.91</v>
      </c>
      <c r="E956">
        <v>461.34</v>
      </c>
      <c r="F956">
        <v>229816000</v>
      </c>
      <c r="G956">
        <v>461.34</v>
      </c>
    </row>
    <row r="957" spans="1:7" x14ac:dyDescent="0.25">
      <c r="A957" s="5">
        <v>34204</v>
      </c>
      <c r="B957">
        <v>456.12</v>
      </c>
      <c r="C957">
        <v>462.87</v>
      </c>
      <c r="D957">
        <v>454.29</v>
      </c>
      <c r="E957">
        <v>460.54</v>
      </c>
      <c r="F957">
        <v>247012000</v>
      </c>
      <c r="G957">
        <v>460.54</v>
      </c>
    </row>
    <row r="958" spans="1:7" x14ac:dyDescent="0.25">
      <c r="A958" s="5">
        <v>34197</v>
      </c>
      <c r="B958">
        <v>450.25</v>
      </c>
      <c r="C958">
        <v>456.99</v>
      </c>
      <c r="D958">
        <v>450.25</v>
      </c>
      <c r="E958">
        <v>456.16</v>
      </c>
      <c r="F958">
        <v>275606000</v>
      </c>
      <c r="G958">
        <v>456.16</v>
      </c>
    </row>
    <row r="959" spans="1:7" x14ac:dyDescent="0.25">
      <c r="A959" s="5">
        <v>34190</v>
      </c>
      <c r="B959">
        <v>448.68</v>
      </c>
      <c r="C959">
        <v>451.63</v>
      </c>
      <c r="D959">
        <v>447.53</v>
      </c>
      <c r="E959">
        <v>450.14</v>
      </c>
      <c r="F959">
        <v>249900000</v>
      </c>
      <c r="G959">
        <v>450.14</v>
      </c>
    </row>
    <row r="960" spans="1:7" x14ac:dyDescent="0.25">
      <c r="A960" s="5">
        <v>34183</v>
      </c>
      <c r="B960">
        <v>448.13</v>
      </c>
      <c r="C960">
        <v>450.43</v>
      </c>
      <c r="D960">
        <v>446.94</v>
      </c>
      <c r="E960">
        <v>448.68</v>
      </c>
      <c r="F960">
        <v>239320000</v>
      </c>
      <c r="G960">
        <v>448.68</v>
      </c>
    </row>
    <row r="961" spans="1:7" x14ac:dyDescent="0.25">
      <c r="A961" s="5">
        <v>34176</v>
      </c>
      <c r="B961">
        <v>447.06</v>
      </c>
      <c r="C961">
        <v>450.77</v>
      </c>
      <c r="D961">
        <v>446.59</v>
      </c>
      <c r="E961">
        <v>448.13</v>
      </c>
      <c r="F961">
        <v>253618000</v>
      </c>
      <c r="G961">
        <v>448.13</v>
      </c>
    </row>
    <row r="962" spans="1:7" x14ac:dyDescent="0.25">
      <c r="A962" s="5">
        <v>34169</v>
      </c>
      <c r="B962">
        <v>445.75</v>
      </c>
      <c r="C962">
        <v>447.63</v>
      </c>
      <c r="D962">
        <v>443.71</v>
      </c>
      <c r="E962">
        <v>447.1</v>
      </c>
      <c r="F962">
        <v>248836000</v>
      </c>
      <c r="G962">
        <v>447.1</v>
      </c>
    </row>
    <row r="963" spans="1:7" x14ac:dyDescent="0.25">
      <c r="A963" s="5">
        <v>34162</v>
      </c>
      <c r="B963">
        <v>448.13</v>
      </c>
      <c r="C963">
        <v>451.12</v>
      </c>
      <c r="D963">
        <v>445.66</v>
      </c>
      <c r="E963">
        <v>445.75</v>
      </c>
      <c r="F963">
        <v>255474000</v>
      </c>
      <c r="G963">
        <v>445.75</v>
      </c>
    </row>
    <row r="964" spans="1:7" x14ac:dyDescent="0.25">
      <c r="A964" s="5">
        <v>34156</v>
      </c>
      <c r="B964">
        <v>445.86</v>
      </c>
      <c r="C964">
        <v>448.94</v>
      </c>
      <c r="D964">
        <v>441.4</v>
      </c>
      <c r="E964">
        <v>448.11</v>
      </c>
      <c r="F964">
        <v>251525000</v>
      </c>
      <c r="G964">
        <v>448.11</v>
      </c>
    </row>
    <row r="965" spans="1:7" x14ac:dyDescent="0.25">
      <c r="A965" s="5">
        <v>34148</v>
      </c>
      <c r="B965">
        <v>447.6</v>
      </c>
      <c r="C965">
        <v>451.9</v>
      </c>
      <c r="D965">
        <v>445.2</v>
      </c>
      <c r="E965">
        <v>445.84</v>
      </c>
      <c r="F965">
        <v>262462000</v>
      </c>
      <c r="G965">
        <v>445.84</v>
      </c>
    </row>
    <row r="966" spans="1:7" x14ac:dyDescent="0.25">
      <c r="A966" s="5">
        <v>34141</v>
      </c>
      <c r="B966">
        <v>443.68</v>
      </c>
      <c r="C966">
        <v>448.64</v>
      </c>
      <c r="D966">
        <v>442.5</v>
      </c>
      <c r="E966">
        <v>447.6</v>
      </c>
      <c r="F966">
        <v>247864000</v>
      </c>
      <c r="G966">
        <v>447.6</v>
      </c>
    </row>
    <row r="967" spans="1:7" x14ac:dyDescent="0.25">
      <c r="A967" s="5">
        <v>34134</v>
      </c>
      <c r="B967">
        <v>447.26</v>
      </c>
      <c r="C967">
        <v>448.98</v>
      </c>
      <c r="D967">
        <v>443.61</v>
      </c>
      <c r="E967">
        <v>443.68</v>
      </c>
      <c r="F967">
        <v>250472000</v>
      </c>
      <c r="G967">
        <v>443.68</v>
      </c>
    </row>
    <row r="968" spans="1:7" x14ac:dyDescent="0.25">
      <c r="A968" s="5">
        <v>34127</v>
      </c>
      <c r="B968">
        <v>450.07</v>
      </c>
      <c r="C968">
        <v>450.75</v>
      </c>
      <c r="D968">
        <v>444.09</v>
      </c>
      <c r="E968">
        <v>447.26</v>
      </c>
      <c r="F968">
        <v>243188000</v>
      </c>
      <c r="G968">
        <v>447.26</v>
      </c>
    </row>
    <row r="969" spans="1:7" x14ac:dyDescent="0.25">
      <c r="A969" s="5">
        <v>34121</v>
      </c>
      <c r="B969">
        <v>450.23</v>
      </c>
      <c r="C969">
        <v>455.63</v>
      </c>
      <c r="D969">
        <v>448.92</v>
      </c>
      <c r="E969">
        <v>450.06</v>
      </c>
      <c r="F969">
        <v>259315000</v>
      </c>
      <c r="G969">
        <v>450.06</v>
      </c>
    </row>
    <row r="970" spans="1:7" x14ac:dyDescent="0.25">
      <c r="A970" s="5">
        <v>34113</v>
      </c>
      <c r="B970">
        <v>445.84</v>
      </c>
      <c r="C970">
        <v>454.55</v>
      </c>
      <c r="D970">
        <v>445.26</v>
      </c>
      <c r="E970">
        <v>450.19</v>
      </c>
      <c r="F970">
        <v>240588000</v>
      </c>
      <c r="G970">
        <v>450.19</v>
      </c>
    </row>
    <row r="971" spans="1:7" x14ac:dyDescent="0.25">
      <c r="A971" s="5">
        <v>34106</v>
      </c>
      <c r="B971">
        <v>439.56</v>
      </c>
      <c r="C971">
        <v>450.59</v>
      </c>
      <c r="D971">
        <v>436.86</v>
      </c>
      <c r="E971">
        <v>445.84</v>
      </c>
      <c r="F971">
        <v>280516000</v>
      </c>
      <c r="G971">
        <v>445.84</v>
      </c>
    </row>
    <row r="972" spans="1:7" x14ac:dyDescent="0.25">
      <c r="A972" s="5">
        <v>34099</v>
      </c>
      <c r="B972">
        <v>442.34</v>
      </c>
      <c r="C972">
        <v>445.42</v>
      </c>
      <c r="D972">
        <v>438.1</v>
      </c>
      <c r="E972">
        <v>439.56</v>
      </c>
      <c r="F972">
        <v>251314000</v>
      </c>
      <c r="G972">
        <v>439.56</v>
      </c>
    </row>
    <row r="973" spans="1:7" x14ac:dyDescent="0.25">
      <c r="A973" s="5">
        <v>34092</v>
      </c>
      <c r="B973">
        <v>440.19</v>
      </c>
      <c r="C973">
        <v>446.09</v>
      </c>
      <c r="D973">
        <v>438.25</v>
      </c>
      <c r="E973">
        <v>442.31</v>
      </c>
      <c r="F973">
        <v>249310000</v>
      </c>
      <c r="G973">
        <v>442.31</v>
      </c>
    </row>
    <row r="974" spans="1:7" x14ac:dyDescent="0.25">
      <c r="A974" s="5">
        <v>34085</v>
      </c>
      <c r="B974">
        <v>437.03</v>
      </c>
      <c r="C974">
        <v>442.29</v>
      </c>
      <c r="D974">
        <v>432.3</v>
      </c>
      <c r="E974">
        <v>440.19</v>
      </c>
      <c r="F974">
        <v>266520000</v>
      </c>
      <c r="G974">
        <v>440.19</v>
      </c>
    </row>
    <row r="975" spans="1:7" x14ac:dyDescent="0.25">
      <c r="A975" s="5">
        <v>34078</v>
      </c>
      <c r="B975">
        <v>448.94</v>
      </c>
      <c r="C975">
        <v>449.14</v>
      </c>
      <c r="D975">
        <v>436.82</v>
      </c>
      <c r="E975">
        <v>437.03</v>
      </c>
      <c r="F975">
        <v>284040000</v>
      </c>
      <c r="G975">
        <v>437.03</v>
      </c>
    </row>
    <row r="976" spans="1:7" x14ac:dyDescent="0.25">
      <c r="A976" s="5">
        <v>34071</v>
      </c>
      <c r="B976">
        <v>441.84</v>
      </c>
      <c r="C976">
        <v>450.4</v>
      </c>
      <c r="D976">
        <v>441.84</v>
      </c>
      <c r="E976">
        <v>448.94</v>
      </c>
      <c r="F976">
        <v>273676000</v>
      </c>
      <c r="G976">
        <v>448.94</v>
      </c>
    </row>
    <row r="977" spans="1:7" x14ac:dyDescent="0.25">
      <c r="A977" s="5">
        <v>34064</v>
      </c>
      <c r="B977">
        <v>441.42</v>
      </c>
      <c r="C977">
        <v>443.77</v>
      </c>
      <c r="D977">
        <v>439.48</v>
      </c>
      <c r="E977">
        <v>441.84</v>
      </c>
      <c r="F977">
        <v>293532500</v>
      </c>
      <c r="G977">
        <v>441.84</v>
      </c>
    </row>
    <row r="978" spans="1:7" x14ac:dyDescent="0.25">
      <c r="A978" s="5">
        <v>34057</v>
      </c>
      <c r="B978">
        <v>447.76</v>
      </c>
      <c r="C978">
        <v>454.88</v>
      </c>
      <c r="D978">
        <v>440.71</v>
      </c>
      <c r="E978">
        <v>441.39</v>
      </c>
      <c r="F978">
        <v>253642000</v>
      </c>
      <c r="G978">
        <v>441.39</v>
      </c>
    </row>
    <row r="979" spans="1:7" x14ac:dyDescent="0.25">
      <c r="A979" s="5">
        <v>34050</v>
      </c>
      <c r="B979">
        <v>450.17</v>
      </c>
      <c r="C979">
        <v>452.09</v>
      </c>
      <c r="D979">
        <v>446.08</v>
      </c>
      <c r="E979">
        <v>447.78</v>
      </c>
      <c r="F979">
        <v>243680000</v>
      </c>
      <c r="G979">
        <v>447.78</v>
      </c>
    </row>
    <row r="980" spans="1:7" x14ac:dyDescent="0.25">
      <c r="A980" s="5">
        <v>34043</v>
      </c>
      <c r="B980">
        <v>449.83</v>
      </c>
      <c r="C980">
        <v>453.32</v>
      </c>
      <c r="D980">
        <v>447.99</v>
      </c>
      <c r="E980">
        <v>450.18</v>
      </c>
      <c r="F980">
        <v>247372000</v>
      </c>
      <c r="G980">
        <v>450.18</v>
      </c>
    </row>
    <row r="981" spans="1:7" x14ac:dyDescent="0.25">
      <c r="A981" s="5">
        <v>34036</v>
      </c>
      <c r="B981">
        <v>446.12</v>
      </c>
      <c r="C981">
        <v>456.76</v>
      </c>
      <c r="D981">
        <v>446.12</v>
      </c>
      <c r="E981">
        <v>449.83</v>
      </c>
      <c r="F981">
        <v>266810000</v>
      </c>
      <c r="G981">
        <v>449.83</v>
      </c>
    </row>
    <row r="982" spans="1:7" x14ac:dyDescent="0.25">
      <c r="A982" s="5">
        <v>34029</v>
      </c>
      <c r="B982">
        <v>443.38</v>
      </c>
      <c r="C982">
        <v>450</v>
      </c>
      <c r="D982">
        <v>441.07</v>
      </c>
      <c r="E982">
        <v>446.11</v>
      </c>
      <c r="F982">
        <v>253458000</v>
      </c>
      <c r="G982">
        <v>446.11</v>
      </c>
    </row>
    <row r="983" spans="1:7" x14ac:dyDescent="0.25">
      <c r="A983" s="5">
        <v>34022</v>
      </c>
      <c r="B983">
        <v>434.21</v>
      </c>
      <c r="C983">
        <v>443.77</v>
      </c>
      <c r="D983">
        <v>432.41</v>
      </c>
      <c r="E983">
        <v>443.38</v>
      </c>
      <c r="F983">
        <v>288880000</v>
      </c>
      <c r="G983">
        <v>443.38</v>
      </c>
    </row>
    <row r="984" spans="1:7" x14ac:dyDescent="0.25">
      <c r="A984" s="5">
        <v>34016</v>
      </c>
      <c r="B984">
        <v>444.53</v>
      </c>
      <c r="C984">
        <v>444.53</v>
      </c>
      <c r="D984">
        <v>428.25</v>
      </c>
      <c r="E984">
        <v>434.22</v>
      </c>
      <c r="F984">
        <v>314235000</v>
      </c>
      <c r="G984">
        <v>434.22</v>
      </c>
    </row>
    <row r="985" spans="1:7" x14ac:dyDescent="0.25">
      <c r="A985" s="5">
        <v>34008</v>
      </c>
      <c r="B985">
        <v>448.94</v>
      </c>
      <c r="C985">
        <v>450.04</v>
      </c>
      <c r="D985">
        <v>444.24</v>
      </c>
      <c r="E985">
        <v>444.58</v>
      </c>
      <c r="F985">
        <v>241944000</v>
      </c>
      <c r="G985">
        <v>444.58</v>
      </c>
    </row>
    <row r="986" spans="1:7" x14ac:dyDescent="0.25">
      <c r="A986" s="5">
        <v>34001</v>
      </c>
      <c r="B986">
        <v>438.78</v>
      </c>
      <c r="C986">
        <v>449.86</v>
      </c>
      <c r="D986">
        <v>438.78</v>
      </c>
      <c r="E986">
        <v>448.93</v>
      </c>
      <c r="F986">
        <v>306278000</v>
      </c>
      <c r="G986">
        <v>448.93</v>
      </c>
    </row>
    <row r="987" spans="1:7" x14ac:dyDescent="0.25">
      <c r="A987" s="5">
        <v>33994</v>
      </c>
      <c r="B987">
        <v>436.11</v>
      </c>
      <c r="C987">
        <v>442.66</v>
      </c>
      <c r="D987">
        <v>436.11</v>
      </c>
      <c r="E987">
        <v>438.78</v>
      </c>
      <c r="F987">
        <v>276810000</v>
      </c>
      <c r="G987">
        <v>438.78</v>
      </c>
    </row>
    <row r="988" spans="1:7" x14ac:dyDescent="0.25">
      <c r="A988" s="5">
        <v>33987</v>
      </c>
      <c r="B988">
        <v>437.13</v>
      </c>
      <c r="C988">
        <v>437.81</v>
      </c>
      <c r="D988">
        <v>432.48</v>
      </c>
      <c r="E988">
        <v>436.11</v>
      </c>
      <c r="F988">
        <v>259800000</v>
      </c>
      <c r="G988">
        <v>436.11</v>
      </c>
    </row>
    <row r="989" spans="1:7" x14ac:dyDescent="0.25">
      <c r="A989" s="5">
        <v>33980</v>
      </c>
      <c r="B989">
        <v>429.04</v>
      </c>
      <c r="C989">
        <v>439.49</v>
      </c>
      <c r="D989">
        <v>428.19</v>
      </c>
      <c r="E989">
        <v>437.15</v>
      </c>
      <c r="F989">
        <v>258536000</v>
      </c>
      <c r="G989">
        <v>437.15</v>
      </c>
    </row>
    <row r="990" spans="1:7" x14ac:dyDescent="0.25">
      <c r="A990" s="5">
        <v>33973</v>
      </c>
      <c r="B990">
        <v>435.7</v>
      </c>
      <c r="C990">
        <v>437.32</v>
      </c>
      <c r="D990">
        <v>426.88</v>
      </c>
      <c r="E990">
        <v>429.05</v>
      </c>
      <c r="F990">
        <v>261024000</v>
      </c>
      <c r="G990">
        <v>429.05</v>
      </c>
    </row>
    <row r="991" spans="1:7" x14ac:dyDescent="0.25">
      <c r="A991" s="5">
        <v>33966</v>
      </c>
      <c r="B991">
        <v>439.77</v>
      </c>
      <c r="C991">
        <v>442.65</v>
      </c>
      <c r="D991">
        <v>435.71</v>
      </c>
      <c r="E991">
        <v>435.71</v>
      </c>
      <c r="F991">
        <v>176867500</v>
      </c>
      <c r="G991">
        <v>435.71</v>
      </c>
    </row>
    <row r="992" spans="1:7" x14ac:dyDescent="0.25">
      <c r="A992" s="5">
        <v>33959</v>
      </c>
      <c r="B992">
        <v>441.26</v>
      </c>
      <c r="C992">
        <v>441.64</v>
      </c>
      <c r="D992">
        <v>438.25</v>
      </c>
      <c r="E992">
        <v>439.77</v>
      </c>
      <c r="F992">
        <v>201122500</v>
      </c>
      <c r="G992">
        <v>439.77</v>
      </c>
    </row>
    <row r="993" spans="1:7" x14ac:dyDescent="0.25">
      <c r="A993" s="5">
        <v>33952</v>
      </c>
      <c r="B993">
        <v>433.73</v>
      </c>
      <c r="C993">
        <v>441.29</v>
      </c>
      <c r="D993">
        <v>430.88</v>
      </c>
      <c r="E993">
        <v>441.28</v>
      </c>
      <c r="F993">
        <v>259576000</v>
      </c>
      <c r="G993">
        <v>441.28</v>
      </c>
    </row>
    <row r="994" spans="1:7" x14ac:dyDescent="0.25">
      <c r="A994" s="5">
        <v>33945</v>
      </c>
      <c r="B994">
        <v>432.06</v>
      </c>
      <c r="C994">
        <v>436.99</v>
      </c>
      <c r="D994">
        <v>432.06</v>
      </c>
      <c r="E994">
        <v>433.73</v>
      </c>
      <c r="F994">
        <v>217448000</v>
      </c>
      <c r="G994">
        <v>433.73</v>
      </c>
    </row>
    <row r="995" spans="1:7" x14ac:dyDescent="0.25">
      <c r="A995" s="5">
        <v>33938</v>
      </c>
      <c r="B995">
        <v>430.19</v>
      </c>
      <c r="C995">
        <v>432.89</v>
      </c>
      <c r="D995">
        <v>428.61</v>
      </c>
      <c r="E995">
        <v>432.06</v>
      </c>
      <c r="F995">
        <v>241844000</v>
      </c>
      <c r="G995">
        <v>432.06</v>
      </c>
    </row>
    <row r="996" spans="1:7" x14ac:dyDescent="0.25">
      <c r="A996" s="5">
        <v>33931</v>
      </c>
      <c r="B996">
        <v>426.65</v>
      </c>
      <c r="C996">
        <v>431.93</v>
      </c>
      <c r="D996">
        <v>424.83</v>
      </c>
      <c r="E996">
        <v>430.16</v>
      </c>
      <c r="F996">
        <v>186947500</v>
      </c>
      <c r="G996">
        <v>430.16</v>
      </c>
    </row>
    <row r="997" spans="1:7" x14ac:dyDescent="0.25">
      <c r="A997" s="5">
        <v>33924</v>
      </c>
      <c r="B997">
        <v>422.44</v>
      </c>
      <c r="C997">
        <v>426.98</v>
      </c>
      <c r="D997">
        <v>418.31</v>
      </c>
      <c r="E997">
        <v>426.65</v>
      </c>
      <c r="F997">
        <v>211304000</v>
      </c>
      <c r="G997">
        <v>426.65</v>
      </c>
    </row>
    <row r="998" spans="1:7" x14ac:dyDescent="0.25">
      <c r="A998" s="5">
        <v>33917</v>
      </c>
      <c r="B998">
        <v>417.58</v>
      </c>
      <c r="C998">
        <v>423.1</v>
      </c>
      <c r="D998">
        <v>416.79</v>
      </c>
      <c r="E998">
        <v>422.43</v>
      </c>
      <c r="F998">
        <v>216690000</v>
      </c>
      <c r="G998">
        <v>422.43</v>
      </c>
    </row>
    <row r="999" spans="1:7" x14ac:dyDescent="0.25">
      <c r="A999" s="5">
        <v>33910</v>
      </c>
      <c r="B999">
        <v>418.66</v>
      </c>
      <c r="C999">
        <v>422.81</v>
      </c>
      <c r="D999">
        <v>415.58</v>
      </c>
      <c r="E999">
        <v>417.58</v>
      </c>
      <c r="F999">
        <v>206172000</v>
      </c>
      <c r="G999">
        <v>417.58</v>
      </c>
    </row>
    <row r="1000" spans="1:7" x14ac:dyDescent="0.25">
      <c r="A1000" s="5">
        <v>33903</v>
      </c>
      <c r="B1000">
        <v>414.09</v>
      </c>
      <c r="C1000">
        <v>421.16</v>
      </c>
      <c r="D1000">
        <v>413.71</v>
      </c>
      <c r="E1000">
        <v>418.68</v>
      </c>
      <c r="F1000">
        <v>200436000</v>
      </c>
      <c r="G1000">
        <v>418.68</v>
      </c>
    </row>
    <row r="1001" spans="1:7" x14ac:dyDescent="0.25">
      <c r="A1001" s="5">
        <v>33896</v>
      </c>
      <c r="B1001">
        <v>411.73</v>
      </c>
      <c r="C1001">
        <v>417.98</v>
      </c>
      <c r="D1001">
        <v>410.66</v>
      </c>
      <c r="E1001">
        <v>414.1</v>
      </c>
      <c r="F1001">
        <v>222984000</v>
      </c>
      <c r="G1001">
        <v>414.1</v>
      </c>
    </row>
    <row r="1002" spans="1:7" x14ac:dyDescent="0.25">
      <c r="A1002" s="5">
        <v>33889</v>
      </c>
      <c r="B1002">
        <v>402.66</v>
      </c>
      <c r="C1002">
        <v>411.73</v>
      </c>
      <c r="D1002">
        <v>402.66</v>
      </c>
      <c r="E1002">
        <v>411.73</v>
      </c>
      <c r="F1002">
        <v>187746000</v>
      </c>
      <c r="G1002">
        <v>411.73</v>
      </c>
    </row>
    <row r="1003" spans="1:7" x14ac:dyDescent="0.25">
      <c r="A1003" s="5">
        <v>33882</v>
      </c>
      <c r="B1003">
        <v>410.47</v>
      </c>
      <c r="C1003">
        <v>410.47</v>
      </c>
      <c r="D1003">
        <v>396.8</v>
      </c>
      <c r="E1003">
        <v>402.66</v>
      </c>
      <c r="F1003">
        <v>211674000</v>
      </c>
      <c r="G1003">
        <v>402.66</v>
      </c>
    </row>
    <row r="1004" spans="1:7" x14ac:dyDescent="0.25">
      <c r="A1004" s="5">
        <v>33875</v>
      </c>
      <c r="B1004">
        <v>414.35</v>
      </c>
      <c r="C1004">
        <v>418.67</v>
      </c>
      <c r="D1004">
        <v>410.45</v>
      </c>
      <c r="E1004">
        <v>410.47</v>
      </c>
      <c r="F1004">
        <v>181358000</v>
      </c>
      <c r="G1004">
        <v>410.47</v>
      </c>
    </row>
    <row r="1005" spans="1:7" x14ac:dyDescent="0.25">
      <c r="A1005" s="5">
        <v>33868</v>
      </c>
      <c r="B1005">
        <v>422.9</v>
      </c>
      <c r="C1005">
        <v>422.9</v>
      </c>
      <c r="D1005">
        <v>412.71</v>
      </c>
      <c r="E1005">
        <v>414.35</v>
      </c>
      <c r="F1005">
        <v>190016000</v>
      </c>
      <c r="G1005">
        <v>414.35</v>
      </c>
    </row>
    <row r="1006" spans="1:7" x14ac:dyDescent="0.25">
      <c r="A1006" s="5">
        <v>33861</v>
      </c>
      <c r="B1006">
        <v>419.65</v>
      </c>
      <c r="C1006">
        <v>425.27</v>
      </c>
      <c r="D1006">
        <v>417.77</v>
      </c>
      <c r="E1006">
        <v>422.93</v>
      </c>
      <c r="F1006">
        <v>223992000</v>
      </c>
      <c r="G1006">
        <v>422.93</v>
      </c>
    </row>
    <row r="1007" spans="1:7" x14ac:dyDescent="0.25">
      <c r="A1007" s="5">
        <v>33855</v>
      </c>
      <c r="B1007">
        <v>417.08</v>
      </c>
      <c r="C1007">
        <v>420.58</v>
      </c>
      <c r="D1007">
        <v>414.3</v>
      </c>
      <c r="E1007">
        <v>419.58</v>
      </c>
      <c r="F1007">
        <v>185697500</v>
      </c>
      <c r="G1007">
        <v>419.58</v>
      </c>
    </row>
    <row r="1008" spans="1:7" x14ac:dyDescent="0.25">
      <c r="A1008" s="5">
        <v>33847</v>
      </c>
      <c r="B1008">
        <v>414.87</v>
      </c>
      <c r="C1008">
        <v>420.31</v>
      </c>
      <c r="D1008">
        <v>413.35</v>
      </c>
      <c r="E1008">
        <v>417.08</v>
      </c>
      <c r="F1008">
        <v>171704000</v>
      </c>
      <c r="G1008">
        <v>417.08</v>
      </c>
    </row>
    <row r="1009" spans="1:7" x14ac:dyDescent="0.25">
      <c r="A1009" s="5">
        <v>33840</v>
      </c>
      <c r="B1009">
        <v>414.8</v>
      </c>
      <c r="C1009">
        <v>415.83</v>
      </c>
      <c r="D1009">
        <v>408.3</v>
      </c>
      <c r="E1009">
        <v>414.84</v>
      </c>
      <c r="F1009">
        <v>174234000</v>
      </c>
      <c r="G1009">
        <v>414.84</v>
      </c>
    </row>
    <row r="1010" spans="1:7" x14ac:dyDescent="0.25">
      <c r="A1010" s="5">
        <v>33833</v>
      </c>
      <c r="B1010">
        <v>419.89</v>
      </c>
      <c r="C1010">
        <v>421.89</v>
      </c>
      <c r="D1010">
        <v>413.58</v>
      </c>
      <c r="E1010">
        <v>414.85</v>
      </c>
      <c r="F1010">
        <v>179974000</v>
      </c>
      <c r="G1010">
        <v>414.85</v>
      </c>
    </row>
    <row r="1011" spans="1:7" x14ac:dyDescent="0.25">
      <c r="A1011" s="5">
        <v>33826</v>
      </c>
      <c r="B1011">
        <v>418.87</v>
      </c>
      <c r="C1011">
        <v>420.4</v>
      </c>
      <c r="D1011">
        <v>416.4</v>
      </c>
      <c r="E1011">
        <v>419.91</v>
      </c>
      <c r="F1011">
        <v>169110000</v>
      </c>
      <c r="G1011">
        <v>419.91</v>
      </c>
    </row>
    <row r="1012" spans="1:7" x14ac:dyDescent="0.25">
      <c r="A1012" s="5">
        <v>33819</v>
      </c>
      <c r="B1012">
        <v>424.19</v>
      </c>
      <c r="C1012">
        <v>425.14</v>
      </c>
      <c r="D1012">
        <v>418.51</v>
      </c>
      <c r="E1012">
        <v>418.88</v>
      </c>
      <c r="F1012">
        <v>175150000</v>
      </c>
      <c r="G1012">
        <v>418.88</v>
      </c>
    </row>
    <row r="1013" spans="1:7" x14ac:dyDescent="0.25">
      <c r="A1013" s="5">
        <v>33812</v>
      </c>
      <c r="B1013">
        <v>411.6</v>
      </c>
      <c r="C1013">
        <v>424.8</v>
      </c>
      <c r="D1013">
        <v>411.27</v>
      </c>
      <c r="E1013">
        <v>424.21</v>
      </c>
      <c r="F1013">
        <v>204988000</v>
      </c>
      <c r="G1013">
        <v>424.21</v>
      </c>
    </row>
    <row r="1014" spans="1:7" x14ac:dyDescent="0.25">
      <c r="A1014" s="5">
        <v>33805</v>
      </c>
      <c r="B1014">
        <v>415.62</v>
      </c>
      <c r="C1014">
        <v>415.62</v>
      </c>
      <c r="D1014">
        <v>409.81</v>
      </c>
      <c r="E1014">
        <v>411.6</v>
      </c>
      <c r="F1014">
        <v>173812000</v>
      </c>
      <c r="G1014">
        <v>411.6</v>
      </c>
    </row>
    <row r="1015" spans="1:7" x14ac:dyDescent="0.25">
      <c r="A1015" s="5">
        <v>33798</v>
      </c>
      <c r="B1015">
        <v>414.62</v>
      </c>
      <c r="C1015">
        <v>417.93</v>
      </c>
      <c r="D1015">
        <v>412.96</v>
      </c>
      <c r="E1015">
        <v>415.62</v>
      </c>
      <c r="F1015">
        <v>190004000</v>
      </c>
      <c r="G1015">
        <v>415.62</v>
      </c>
    </row>
    <row r="1016" spans="1:7" x14ac:dyDescent="0.25">
      <c r="A1016" s="5">
        <v>33791</v>
      </c>
      <c r="B1016">
        <v>411.77</v>
      </c>
      <c r="C1016">
        <v>415.88</v>
      </c>
      <c r="D1016">
        <v>407.2</v>
      </c>
      <c r="E1016">
        <v>414.62</v>
      </c>
      <c r="F1016">
        <v>197350000</v>
      </c>
      <c r="G1016">
        <v>414.62</v>
      </c>
    </row>
    <row r="1017" spans="1:7" x14ac:dyDescent="0.25">
      <c r="A1017" s="5">
        <v>33784</v>
      </c>
      <c r="B1017">
        <v>403.47</v>
      </c>
      <c r="C1017">
        <v>415.71</v>
      </c>
      <c r="D1017">
        <v>403.47</v>
      </c>
      <c r="E1017">
        <v>411.77</v>
      </c>
      <c r="F1017">
        <v>201682500</v>
      </c>
      <c r="G1017">
        <v>411.77</v>
      </c>
    </row>
    <row r="1018" spans="1:7" x14ac:dyDescent="0.25">
      <c r="A1018" s="5">
        <v>33777</v>
      </c>
      <c r="B1018">
        <v>403.64</v>
      </c>
      <c r="C1018">
        <v>405.53</v>
      </c>
      <c r="D1018">
        <v>399.92</v>
      </c>
      <c r="E1018">
        <v>403.45</v>
      </c>
      <c r="F1018">
        <v>177964000</v>
      </c>
      <c r="G1018">
        <v>403.45</v>
      </c>
    </row>
    <row r="1019" spans="1:7" x14ac:dyDescent="0.25">
      <c r="A1019" s="5">
        <v>33770</v>
      </c>
      <c r="B1019">
        <v>409.76</v>
      </c>
      <c r="C1019">
        <v>411.68</v>
      </c>
      <c r="D1019">
        <v>400.51</v>
      </c>
      <c r="E1019">
        <v>403.67</v>
      </c>
      <c r="F1019">
        <v>209060000</v>
      </c>
      <c r="G1019">
        <v>403.67</v>
      </c>
    </row>
    <row r="1020" spans="1:7" x14ac:dyDescent="0.25">
      <c r="A1020" s="5">
        <v>33763</v>
      </c>
      <c r="B1020">
        <v>413.48</v>
      </c>
      <c r="C1020">
        <v>413.95</v>
      </c>
      <c r="D1020">
        <v>406.11</v>
      </c>
      <c r="E1020">
        <v>409.76</v>
      </c>
      <c r="F1020">
        <v>189960000</v>
      </c>
      <c r="G1020">
        <v>409.76</v>
      </c>
    </row>
    <row r="1021" spans="1:7" x14ac:dyDescent="0.25">
      <c r="A1021" s="5">
        <v>33756</v>
      </c>
      <c r="B1021">
        <v>415.35</v>
      </c>
      <c r="C1021">
        <v>417.3</v>
      </c>
      <c r="D1021">
        <v>410.97</v>
      </c>
      <c r="E1021">
        <v>413.48</v>
      </c>
      <c r="F1021">
        <v>200526000</v>
      </c>
      <c r="G1021">
        <v>413.48</v>
      </c>
    </row>
    <row r="1022" spans="1:7" x14ac:dyDescent="0.25">
      <c r="A1022" s="5">
        <v>33750</v>
      </c>
      <c r="B1022">
        <v>414.02</v>
      </c>
      <c r="C1022">
        <v>418.36</v>
      </c>
      <c r="D1022">
        <v>410.23</v>
      </c>
      <c r="E1022">
        <v>415.35</v>
      </c>
      <c r="F1022">
        <v>194812500</v>
      </c>
      <c r="G1022">
        <v>415.35</v>
      </c>
    </row>
    <row r="1023" spans="1:7" x14ac:dyDescent="0.25">
      <c r="A1023" s="5">
        <v>33742</v>
      </c>
      <c r="B1023">
        <v>410.13</v>
      </c>
      <c r="C1023">
        <v>416.83</v>
      </c>
      <c r="D1023">
        <v>410.13</v>
      </c>
      <c r="E1023">
        <v>414.02</v>
      </c>
      <c r="F1023">
        <v>173652000</v>
      </c>
      <c r="G1023">
        <v>414.02</v>
      </c>
    </row>
    <row r="1024" spans="1:7" x14ac:dyDescent="0.25">
      <c r="A1024" s="5">
        <v>33735</v>
      </c>
      <c r="B1024">
        <v>416.05</v>
      </c>
      <c r="C1024">
        <v>418.75</v>
      </c>
      <c r="D1024">
        <v>409.85</v>
      </c>
      <c r="E1024">
        <v>410.09</v>
      </c>
      <c r="F1024">
        <v>181268000</v>
      </c>
      <c r="G1024">
        <v>410.09</v>
      </c>
    </row>
    <row r="1025" spans="1:7" x14ac:dyDescent="0.25">
      <c r="A1025" s="5">
        <v>33728</v>
      </c>
      <c r="B1025">
        <v>412.54</v>
      </c>
      <c r="C1025">
        <v>418.53</v>
      </c>
      <c r="D1025">
        <v>412.54</v>
      </c>
      <c r="E1025">
        <v>416.05</v>
      </c>
      <c r="F1025">
        <v>182548000</v>
      </c>
      <c r="G1025">
        <v>416.05</v>
      </c>
    </row>
    <row r="1026" spans="1:7" x14ac:dyDescent="0.25">
      <c r="A1026" s="5">
        <v>33721</v>
      </c>
      <c r="B1026">
        <v>409.03</v>
      </c>
      <c r="C1026">
        <v>415.21</v>
      </c>
      <c r="D1026">
        <v>406.33</v>
      </c>
      <c r="E1026">
        <v>412.53</v>
      </c>
      <c r="F1026">
        <v>193976000</v>
      </c>
      <c r="G1026">
        <v>412.53</v>
      </c>
    </row>
    <row r="1027" spans="1:7" x14ac:dyDescent="0.25">
      <c r="A1027" s="5">
        <v>33714</v>
      </c>
      <c r="B1027">
        <v>416.05</v>
      </c>
      <c r="C1027">
        <v>416.05</v>
      </c>
      <c r="D1027">
        <v>406.86</v>
      </c>
      <c r="E1027">
        <v>409.02</v>
      </c>
      <c r="F1027">
        <v>212092000</v>
      </c>
      <c r="G1027">
        <v>409.02</v>
      </c>
    </row>
    <row r="1028" spans="1:7" x14ac:dyDescent="0.25">
      <c r="A1028" s="5">
        <v>33707</v>
      </c>
      <c r="B1028">
        <v>404.28</v>
      </c>
      <c r="C1028">
        <v>416.28</v>
      </c>
      <c r="D1028">
        <v>403.9</v>
      </c>
      <c r="E1028">
        <v>416.04</v>
      </c>
      <c r="F1028">
        <v>209302500</v>
      </c>
      <c r="G1028">
        <v>416.04</v>
      </c>
    </row>
    <row r="1029" spans="1:7" x14ac:dyDescent="0.25">
      <c r="A1029" s="5">
        <v>33700</v>
      </c>
      <c r="B1029">
        <v>401.54</v>
      </c>
      <c r="C1029">
        <v>405.93</v>
      </c>
      <c r="D1029">
        <v>392.41</v>
      </c>
      <c r="E1029">
        <v>404.29</v>
      </c>
      <c r="F1029">
        <v>213072000</v>
      </c>
      <c r="G1029">
        <v>404.29</v>
      </c>
    </row>
    <row r="1030" spans="1:7" x14ac:dyDescent="0.25">
      <c r="A1030" s="5">
        <v>33693</v>
      </c>
      <c r="B1030">
        <v>403.5</v>
      </c>
      <c r="C1030">
        <v>405.21</v>
      </c>
      <c r="D1030">
        <v>398.21</v>
      </c>
      <c r="E1030">
        <v>401.55</v>
      </c>
      <c r="F1030">
        <v>175334000</v>
      </c>
      <c r="G1030">
        <v>401.55</v>
      </c>
    </row>
    <row r="1031" spans="1:7" x14ac:dyDescent="0.25">
      <c r="A1031" s="5">
        <v>33686</v>
      </c>
      <c r="B1031">
        <v>411.29</v>
      </c>
      <c r="C1031">
        <v>411.43</v>
      </c>
      <c r="D1031">
        <v>402.87</v>
      </c>
      <c r="E1031">
        <v>403.5</v>
      </c>
      <c r="F1031">
        <v>176834000</v>
      </c>
      <c r="G1031">
        <v>403.5</v>
      </c>
    </row>
    <row r="1032" spans="1:7" x14ac:dyDescent="0.25">
      <c r="A1032" s="5">
        <v>33679</v>
      </c>
      <c r="B1032">
        <v>405.85</v>
      </c>
      <c r="C1032">
        <v>411.3</v>
      </c>
      <c r="D1032">
        <v>403.55</v>
      </c>
      <c r="E1032">
        <v>411.3</v>
      </c>
      <c r="F1032">
        <v>195688000</v>
      </c>
      <c r="G1032">
        <v>411.3</v>
      </c>
    </row>
    <row r="1033" spans="1:7" x14ac:dyDescent="0.25">
      <c r="A1033" s="5">
        <v>33672</v>
      </c>
      <c r="B1033">
        <v>404.45</v>
      </c>
      <c r="C1033">
        <v>409.16</v>
      </c>
      <c r="D1033">
        <v>401.94</v>
      </c>
      <c r="E1033">
        <v>405.84</v>
      </c>
      <c r="F1033">
        <v>181638000</v>
      </c>
      <c r="G1033">
        <v>405.84</v>
      </c>
    </row>
    <row r="1034" spans="1:7" x14ac:dyDescent="0.25">
      <c r="A1034" s="5">
        <v>33665</v>
      </c>
      <c r="B1034">
        <v>412.68</v>
      </c>
      <c r="C1034">
        <v>413.78</v>
      </c>
      <c r="D1034">
        <v>403.65</v>
      </c>
      <c r="E1034">
        <v>404.44</v>
      </c>
      <c r="F1034">
        <v>195818000</v>
      </c>
      <c r="G1034">
        <v>404.44</v>
      </c>
    </row>
    <row r="1035" spans="1:7" x14ac:dyDescent="0.25">
      <c r="A1035" s="5">
        <v>33658</v>
      </c>
      <c r="B1035">
        <v>411.46</v>
      </c>
      <c r="C1035">
        <v>416.07</v>
      </c>
      <c r="D1035">
        <v>408.02</v>
      </c>
      <c r="E1035">
        <v>412.7</v>
      </c>
      <c r="F1035">
        <v>209364000</v>
      </c>
      <c r="G1035">
        <v>412.7</v>
      </c>
    </row>
    <row r="1036" spans="1:7" x14ac:dyDescent="0.25">
      <c r="A1036" s="5">
        <v>33652</v>
      </c>
      <c r="B1036">
        <v>412.48</v>
      </c>
      <c r="C1036">
        <v>414.26</v>
      </c>
      <c r="D1036">
        <v>406.34</v>
      </c>
      <c r="E1036">
        <v>411.43</v>
      </c>
      <c r="F1036">
        <v>249892500</v>
      </c>
      <c r="G1036">
        <v>411.43</v>
      </c>
    </row>
    <row r="1037" spans="1:7" x14ac:dyDescent="0.25">
      <c r="A1037" s="5">
        <v>33644</v>
      </c>
      <c r="B1037">
        <v>411.07</v>
      </c>
      <c r="C1037">
        <v>418.08</v>
      </c>
      <c r="D1037">
        <v>411.07</v>
      </c>
      <c r="E1037">
        <v>412.48</v>
      </c>
      <c r="F1037">
        <v>213328000</v>
      </c>
      <c r="G1037">
        <v>412.48</v>
      </c>
    </row>
    <row r="1038" spans="1:7" x14ac:dyDescent="0.25">
      <c r="A1038" s="5">
        <v>33637</v>
      </c>
      <c r="B1038">
        <v>408.79</v>
      </c>
      <c r="C1038">
        <v>416.17</v>
      </c>
      <c r="D1038">
        <v>407.45</v>
      </c>
      <c r="E1038">
        <v>411.09</v>
      </c>
      <c r="F1038">
        <v>230916000</v>
      </c>
      <c r="G1038">
        <v>411.09</v>
      </c>
    </row>
    <row r="1039" spans="1:7" x14ac:dyDescent="0.25">
      <c r="A1039" s="5">
        <v>33630</v>
      </c>
      <c r="B1039">
        <v>415.44</v>
      </c>
      <c r="C1039">
        <v>417.83</v>
      </c>
      <c r="D1039">
        <v>408.64</v>
      </c>
      <c r="E1039">
        <v>408.78</v>
      </c>
      <c r="F1039">
        <v>210122000</v>
      </c>
      <c r="G1039">
        <v>408.78</v>
      </c>
    </row>
    <row r="1040" spans="1:7" x14ac:dyDescent="0.25">
      <c r="A1040" s="5">
        <v>33623</v>
      </c>
      <c r="B1040">
        <v>418.86</v>
      </c>
      <c r="C1040">
        <v>419.78</v>
      </c>
      <c r="D1040">
        <v>411.32</v>
      </c>
      <c r="E1040">
        <v>415.48</v>
      </c>
      <c r="F1040">
        <v>215200000</v>
      </c>
      <c r="G1040">
        <v>415.48</v>
      </c>
    </row>
    <row r="1041" spans="1:7" x14ac:dyDescent="0.25">
      <c r="A1041" s="5">
        <v>33616</v>
      </c>
      <c r="B1041">
        <v>415.05</v>
      </c>
      <c r="C1041">
        <v>421.18</v>
      </c>
      <c r="D1041">
        <v>413.54</v>
      </c>
      <c r="E1041">
        <v>418.86</v>
      </c>
      <c r="F1041">
        <v>280922000</v>
      </c>
      <c r="G1041">
        <v>418.86</v>
      </c>
    </row>
    <row r="1042" spans="1:7" x14ac:dyDescent="0.25">
      <c r="A1042" s="5">
        <v>33609</v>
      </c>
      <c r="B1042">
        <v>419.31</v>
      </c>
      <c r="C1042">
        <v>420.5</v>
      </c>
      <c r="D1042">
        <v>413.31</v>
      </c>
      <c r="E1042">
        <v>415.1</v>
      </c>
      <c r="F1042">
        <v>264644000</v>
      </c>
      <c r="G1042">
        <v>415.1</v>
      </c>
    </row>
    <row r="1043" spans="1:7" x14ac:dyDescent="0.25">
      <c r="A1043" s="5">
        <v>33602</v>
      </c>
      <c r="B1043">
        <v>406.49</v>
      </c>
      <c r="C1043">
        <v>419.79</v>
      </c>
      <c r="D1043">
        <v>406.49</v>
      </c>
      <c r="E1043">
        <v>419.34</v>
      </c>
      <c r="F1043">
        <v>231130000</v>
      </c>
      <c r="G1043">
        <v>419.34</v>
      </c>
    </row>
    <row r="1044" spans="1:7" x14ac:dyDescent="0.25">
      <c r="A1044" s="5">
        <v>33595</v>
      </c>
      <c r="B1044">
        <v>387.05</v>
      </c>
      <c r="C1044">
        <v>406.58</v>
      </c>
      <c r="D1044">
        <v>386.96</v>
      </c>
      <c r="E1044">
        <v>406.46</v>
      </c>
      <c r="F1044">
        <v>174680000</v>
      </c>
      <c r="G1044">
        <v>406.46</v>
      </c>
    </row>
    <row r="1045" spans="1:7" x14ac:dyDescent="0.25">
      <c r="A1045" s="5">
        <v>33588</v>
      </c>
      <c r="B1045">
        <v>384.48</v>
      </c>
      <c r="C1045">
        <v>388.24</v>
      </c>
      <c r="D1045">
        <v>380.64</v>
      </c>
      <c r="E1045">
        <v>387.04</v>
      </c>
      <c r="F1045">
        <v>214454000</v>
      </c>
      <c r="G1045">
        <v>387.04</v>
      </c>
    </row>
    <row r="1046" spans="1:7" x14ac:dyDescent="0.25">
      <c r="A1046" s="5">
        <v>33581</v>
      </c>
      <c r="B1046">
        <v>379.09</v>
      </c>
      <c r="C1046">
        <v>385.04</v>
      </c>
      <c r="D1046">
        <v>374.78</v>
      </c>
      <c r="E1046">
        <v>384.47</v>
      </c>
      <c r="F1046">
        <v>192506000</v>
      </c>
      <c r="G1046">
        <v>384.47</v>
      </c>
    </row>
    <row r="1047" spans="1:7" x14ac:dyDescent="0.25">
      <c r="A1047" s="5">
        <v>33574</v>
      </c>
      <c r="B1047">
        <v>375.11</v>
      </c>
      <c r="C1047">
        <v>382.39</v>
      </c>
      <c r="D1047">
        <v>371.36</v>
      </c>
      <c r="E1047">
        <v>379.1</v>
      </c>
      <c r="F1047">
        <v>185822000</v>
      </c>
      <c r="G1047">
        <v>379.1</v>
      </c>
    </row>
    <row r="1048" spans="1:7" x14ac:dyDescent="0.25">
      <c r="A1048" s="5">
        <v>33567</v>
      </c>
      <c r="B1048">
        <v>376.14</v>
      </c>
      <c r="C1048">
        <v>378.29</v>
      </c>
      <c r="D1048">
        <v>371.63</v>
      </c>
      <c r="E1048">
        <v>375.22</v>
      </c>
      <c r="F1048">
        <v>158557500</v>
      </c>
      <c r="G1048">
        <v>375.22</v>
      </c>
    </row>
    <row r="1049" spans="1:7" x14ac:dyDescent="0.25">
      <c r="A1049" s="5">
        <v>33560</v>
      </c>
      <c r="B1049">
        <v>382.62</v>
      </c>
      <c r="C1049">
        <v>385.4</v>
      </c>
      <c r="D1049">
        <v>374.52</v>
      </c>
      <c r="E1049">
        <v>376.14</v>
      </c>
      <c r="F1049">
        <v>212390000</v>
      </c>
      <c r="G1049">
        <v>376.14</v>
      </c>
    </row>
    <row r="1050" spans="1:7" x14ac:dyDescent="0.25">
      <c r="A1050" s="5">
        <v>33553</v>
      </c>
      <c r="B1050">
        <v>392.9</v>
      </c>
      <c r="C1050">
        <v>398.22</v>
      </c>
      <c r="D1050">
        <v>382.62</v>
      </c>
      <c r="E1050">
        <v>382.62</v>
      </c>
      <c r="F1050">
        <v>190346000</v>
      </c>
      <c r="G1050">
        <v>382.62</v>
      </c>
    </row>
    <row r="1051" spans="1:7" x14ac:dyDescent="0.25">
      <c r="A1051" s="5">
        <v>33546</v>
      </c>
      <c r="B1051">
        <v>391.29</v>
      </c>
      <c r="C1051">
        <v>396.43</v>
      </c>
      <c r="D1051">
        <v>387.58</v>
      </c>
      <c r="E1051">
        <v>392.89</v>
      </c>
      <c r="F1051">
        <v>176786000</v>
      </c>
      <c r="G1051">
        <v>392.89</v>
      </c>
    </row>
    <row r="1052" spans="1:7" x14ac:dyDescent="0.25">
      <c r="A1052" s="5">
        <v>33539</v>
      </c>
      <c r="B1052">
        <v>384.2</v>
      </c>
      <c r="C1052">
        <v>395.1</v>
      </c>
      <c r="D1052">
        <v>384.2</v>
      </c>
      <c r="E1052">
        <v>391.32</v>
      </c>
      <c r="F1052">
        <v>187060000</v>
      </c>
      <c r="G1052">
        <v>391.32</v>
      </c>
    </row>
    <row r="1053" spans="1:7" x14ac:dyDescent="0.25">
      <c r="A1053" s="5">
        <v>33532</v>
      </c>
      <c r="B1053">
        <v>392.49</v>
      </c>
      <c r="C1053">
        <v>392.49</v>
      </c>
      <c r="D1053">
        <v>382.97</v>
      </c>
      <c r="E1053">
        <v>384.2</v>
      </c>
      <c r="F1053">
        <v>176008000</v>
      </c>
      <c r="G1053">
        <v>384.2</v>
      </c>
    </row>
    <row r="1054" spans="1:7" x14ac:dyDescent="0.25">
      <c r="A1054" s="5">
        <v>33525</v>
      </c>
      <c r="B1054">
        <v>381.45</v>
      </c>
      <c r="C1054">
        <v>393.81</v>
      </c>
      <c r="D1054">
        <v>381.45</v>
      </c>
      <c r="E1054">
        <v>392.5</v>
      </c>
      <c r="F1054">
        <v>195832000</v>
      </c>
      <c r="G1054">
        <v>392.5</v>
      </c>
    </row>
    <row r="1055" spans="1:7" x14ac:dyDescent="0.25">
      <c r="A1055" s="5">
        <v>33518</v>
      </c>
      <c r="B1055">
        <v>381.22</v>
      </c>
      <c r="C1055">
        <v>381.46</v>
      </c>
      <c r="D1055">
        <v>376.11</v>
      </c>
      <c r="E1055">
        <v>381.45</v>
      </c>
      <c r="F1055">
        <v>165070000</v>
      </c>
      <c r="G1055">
        <v>381.45</v>
      </c>
    </row>
    <row r="1056" spans="1:7" x14ac:dyDescent="0.25">
      <c r="A1056" s="5">
        <v>33511</v>
      </c>
      <c r="B1056">
        <v>385.91</v>
      </c>
      <c r="C1056">
        <v>390.03</v>
      </c>
      <c r="D1056">
        <v>381.24</v>
      </c>
      <c r="E1056">
        <v>381.25</v>
      </c>
      <c r="F1056">
        <v>163018000</v>
      </c>
      <c r="G1056">
        <v>381.25</v>
      </c>
    </row>
    <row r="1057" spans="1:7" x14ac:dyDescent="0.25">
      <c r="A1057" s="5">
        <v>33504</v>
      </c>
      <c r="B1057">
        <v>387.9</v>
      </c>
      <c r="C1057">
        <v>389.09</v>
      </c>
      <c r="D1057">
        <v>384.46</v>
      </c>
      <c r="E1057">
        <v>385.9</v>
      </c>
      <c r="F1057">
        <v>157968000</v>
      </c>
      <c r="G1057">
        <v>385.9</v>
      </c>
    </row>
    <row r="1058" spans="1:7" x14ac:dyDescent="0.25">
      <c r="A1058" s="5">
        <v>33497</v>
      </c>
      <c r="B1058">
        <v>383.59</v>
      </c>
      <c r="C1058">
        <v>389.42</v>
      </c>
      <c r="D1058">
        <v>382.77</v>
      </c>
      <c r="E1058">
        <v>387.92</v>
      </c>
      <c r="F1058">
        <v>189554000</v>
      </c>
      <c r="G1058">
        <v>387.92</v>
      </c>
    </row>
    <row r="1059" spans="1:7" x14ac:dyDescent="0.25">
      <c r="A1059" s="5">
        <v>33490</v>
      </c>
      <c r="B1059">
        <v>389.11</v>
      </c>
      <c r="C1059">
        <v>389.34</v>
      </c>
      <c r="D1059">
        <v>382.85</v>
      </c>
      <c r="E1059">
        <v>383.59</v>
      </c>
      <c r="F1059">
        <v>147308000</v>
      </c>
      <c r="G1059">
        <v>383.59</v>
      </c>
    </row>
    <row r="1060" spans="1:7" x14ac:dyDescent="0.25">
      <c r="A1060" s="5">
        <v>33484</v>
      </c>
      <c r="B1060">
        <v>395.43</v>
      </c>
      <c r="C1060">
        <v>397.62</v>
      </c>
      <c r="D1060">
        <v>387.36</v>
      </c>
      <c r="E1060">
        <v>389.1</v>
      </c>
      <c r="F1060">
        <v>160015000</v>
      </c>
      <c r="G1060">
        <v>389.1</v>
      </c>
    </row>
    <row r="1061" spans="1:7" x14ac:dyDescent="0.25">
      <c r="A1061" s="5">
        <v>33476</v>
      </c>
      <c r="B1061">
        <v>394.17</v>
      </c>
      <c r="C1061">
        <v>396.82</v>
      </c>
      <c r="D1061">
        <v>391.77</v>
      </c>
      <c r="E1061">
        <v>395.43</v>
      </c>
      <c r="F1061">
        <v>148544000</v>
      </c>
      <c r="G1061">
        <v>395.43</v>
      </c>
    </row>
    <row r="1062" spans="1:7" x14ac:dyDescent="0.25">
      <c r="A1062" s="5">
        <v>33469</v>
      </c>
      <c r="B1062">
        <v>385.58</v>
      </c>
      <c r="C1062">
        <v>395.34</v>
      </c>
      <c r="D1062">
        <v>374.09</v>
      </c>
      <c r="E1062">
        <v>394.17</v>
      </c>
      <c r="F1062">
        <v>201852000</v>
      </c>
      <c r="G1062">
        <v>394.17</v>
      </c>
    </row>
    <row r="1063" spans="1:7" x14ac:dyDescent="0.25">
      <c r="A1063" s="5">
        <v>33462</v>
      </c>
      <c r="B1063">
        <v>387.11</v>
      </c>
      <c r="C1063">
        <v>392.12</v>
      </c>
      <c r="D1063">
        <v>383.16</v>
      </c>
      <c r="E1063">
        <v>385.58</v>
      </c>
      <c r="F1063">
        <v>169320000</v>
      </c>
      <c r="G1063">
        <v>385.58</v>
      </c>
    </row>
    <row r="1064" spans="1:7" x14ac:dyDescent="0.25">
      <c r="A1064" s="5">
        <v>33455</v>
      </c>
      <c r="B1064">
        <v>387.17</v>
      </c>
      <c r="C1064">
        <v>391.8</v>
      </c>
      <c r="D1064">
        <v>384.29</v>
      </c>
      <c r="E1064">
        <v>387.12</v>
      </c>
      <c r="F1064">
        <v>156472000</v>
      </c>
      <c r="G1064">
        <v>387.12</v>
      </c>
    </row>
    <row r="1065" spans="1:7" x14ac:dyDescent="0.25">
      <c r="A1065" s="5">
        <v>33448</v>
      </c>
      <c r="B1065">
        <v>380.93</v>
      </c>
      <c r="C1065">
        <v>389.56</v>
      </c>
      <c r="D1065">
        <v>380.45</v>
      </c>
      <c r="E1065">
        <v>387.18</v>
      </c>
      <c r="F1065">
        <v>160944000</v>
      </c>
      <c r="G1065">
        <v>387.18</v>
      </c>
    </row>
    <row r="1066" spans="1:7" x14ac:dyDescent="0.25">
      <c r="A1066" s="5">
        <v>33441</v>
      </c>
      <c r="B1066">
        <v>384.21</v>
      </c>
      <c r="C1066">
        <v>384.86</v>
      </c>
      <c r="D1066">
        <v>378.15</v>
      </c>
      <c r="E1066">
        <v>380.93</v>
      </c>
      <c r="F1066">
        <v>148300000</v>
      </c>
      <c r="G1066">
        <v>380.93</v>
      </c>
    </row>
    <row r="1067" spans="1:7" x14ac:dyDescent="0.25">
      <c r="A1067" s="5">
        <v>33434</v>
      </c>
      <c r="B1067">
        <v>380.28</v>
      </c>
      <c r="C1067">
        <v>385.83</v>
      </c>
      <c r="D1067">
        <v>380.24</v>
      </c>
      <c r="E1067">
        <v>384.22</v>
      </c>
      <c r="F1067">
        <v>186366000</v>
      </c>
      <c r="G1067">
        <v>384.22</v>
      </c>
    </row>
    <row r="1068" spans="1:7" x14ac:dyDescent="0.25">
      <c r="A1068" s="5">
        <v>33427</v>
      </c>
      <c r="B1068">
        <v>374.09</v>
      </c>
      <c r="C1068">
        <v>381.41</v>
      </c>
      <c r="D1068">
        <v>370.92</v>
      </c>
      <c r="E1068">
        <v>380.25</v>
      </c>
      <c r="F1068">
        <v>160228000</v>
      </c>
      <c r="G1068">
        <v>380.25</v>
      </c>
    </row>
    <row r="1069" spans="1:7" x14ac:dyDescent="0.25">
      <c r="A1069" s="5">
        <v>33420</v>
      </c>
      <c r="B1069">
        <v>371.18</v>
      </c>
      <c r="C1069">
        <v>377.93</v>
      </c>
      <c r="D1069">
        <v>371.18</v>
      </c>
      <c r="E1069">
        <v>374.08</v>
      </c>
      <c r="F1069">
        <v>133815000</v>
      </c>
      <c r="G1069">
        <v>374.08</v>
      </c>
    </row>
    <row r="1070" spans="1:7" x14ac:dyDescent="0.25">
      <c r="A1070" s="5">
        <v>33413</v>
      </c>
      <c r="B1070">
        <v>377.74</v>
      </c>
      <c r="C1070">
        <v>377.74</v>
      </c>
      <c r="D1070">
        <v>367.98</v>
      </c>
      <c r="E1070">
        <v>371.16</v>
      </c>
      <c r="F1070">
        <v>161534000</v>
      </c>
      <c r="G1070">
        <v>371.16</v>
      </c>
    </row>
    <row r="1071" spans="1:7" x14ac:dyDescent="0.25">
      <c r="A1071" s="5">
        <v>33406</v>
      </c>
      <c r="B1071">
        <v>382.3</v>
      </c>
      <c r="C1071">
        <v>382.31</v>
      </c>
      <c r="D1071">
        <v>373.87</v>
      </c>
      <c r="E1071">
        <v>377.75</v>
      </c>
      <c r="F1071">
        <v>160632000</v>
      </c>
      <c r="G1071">
        <v>377.75</v>
      </c>
    </row>
    <row r="1072" spans="1:7" x14ac:dyDescent="0.25">
      <c r="A1072" s="5">
        <v>33399</v>
      </c>
      <c r="B1072">
        <v>379.43</v>
      </c>
      <c r="C1072">
        <v>382.3</v>
      </c>
      <c r="D1072">
        <v>374.46</v>
      </c>
      <c r="E1072">
        <v>382.29</v>
      </c>
      <c r="F1072">
        <v>153814000</v>
      </c>
      <c r="G1072">
        <v>382.29</v>
      </c>
    </row>
    <row r="1073" spans="1:7" x14ac:dyDescent="0.25">
      <c r="A1073" s="5">
        <v>33392</v>
      </c>
      <c r="B1073">
        <v>389.81</v>
      </c>
      <c r="C1073">
        <v>389.81</v>
      </c>
      <c r="D1073">
        <v>378.76</v>
      </c>
      <c r="E1073">
        <v>379.43</v>
      </c>
      <c r="F1073">
        <v>175766000</v>
      </c>
      <c r="G1073">
        <v>379.43</v>
      </c>
    </row>
    <row r="1074" spans="1:7" x14ac:dyDescent="0.25">
      <c r="A1074" s="5">
        <v>33386</v>
      </c>
      <c r="B1074">
        <v>377.49</v>
      </c>
      <c r="C1074">
        <v>389.85</v>
      </c>
      <c r="D1074">
        <v>377.12</v>
      </c>
      <c r="E1074">
        <v>389.83</v>
      </c>
      <c r="F1074">
        <v>204320000</v>
      </c>
      <c r="G1074">
        <v>389.83</v>
      </c>
    </row>
    <row r="1075" spans="1:7" x14ac:dyDescent="0.25">
      <c r="A1075" s="5">
        <v>33378</v>
      </c>
      <c r="B1075">
        <v>372.39</v>
      </c>
      <c r="C1075">
        <v>378.08</v>
      </c>
      <c r="D1075">
        <v>371.26</v>
      </c>
      <c r="E1075">
        <v>377.49</v>
      </c>
      <c r="F1075">
        <v>148632000</v>
      </c>
      <c r="G1075">
        <v>377.49</v>
      </c>
    </row>
    <row r="1076" spans="1:7" x14ac:dyDescent="0.25">
      <c r="A1076" s="5">
        <v>33371</v>
      </c>
      <c r="B1076">
        <v>375.74</v>
      </c>
      <c r="C1076">
        <v>377.02</v>
      </c>
      <c r="D1076">
        <v>365.83</v>
      </c>
      <c r="E1076">
        <v>372.39</v>
      </c>
      <c r="F1076">
        <v>171858000</v>
      </c>
      <c r="G1076">
        <v>372.39</v>
      </c>
    </row>
    <row r="1077" spans="1:7" x14ac:dyDescent="0.25">
      <c r="A1077" s="5">
        <v>33364</v>
      </c>
      <c r="B1077">
        <v>380.78</v>
      </c>
      <c r="C1077">
        <v>383.91</v>
      </c>
      <c r="D1077">
        <v>375.61</v>
      </c>
      <c r="E1077">
        <v>375.74</v>
      </c>
      <c r="F1077">
        <v>158566000</v>
      </c>
      <c r="G1077">
        <v>375.74</v>
      </c>
    </row>
    <row r="1078" spans="1:7" x14ac:dyDescent="0.25">
      <c r="A1078" s="5">
        <v>33357</v>
      </c>
      <c r="B1078">
        <v>379.01</v>
      </c>
      <c r="C1078">
        <v>382.14</v>
      </c>
      <c r="D1078">
        <v>373.01</v>
      </c>
      <c r="E1078">
        <v>380.8</v>
      </c>
      <c r="F1078">
        <v>176646000</v>
      </c>
      <c r="G1078">
        <v>380.8</v>
      </c>
    </row>
    <row r="1079" spans="1:7" x14ac:dyDescent="0.25">
      <c r="A1079" s="5">
        <v>33350</v>
      </c>
      <c r="B1079">
        <v>384.19</v>
      </c>
      <c r="C1079">
        <v>384.19</v>
      </c>
      <c r="D1079">
        <v>376.77</v>
      </c>
      <c r="E1079">
        <v>379.02</v>
      </c>
      <c r="F1079">
        <v>164108000</v>
      </c>
      <c r="G1079">
        <v>379.02</v>
      </c>
    </row>
    <row r="1080" spans="1:7" x14ac:dyDescent="0.25">
      <c r="A1080" s="5">
        <v>33343</v>
      </c>
      <c r="B1080">
        <v>380.4</v>
      </c>
      <c r="C1080">
        <v>391.26</v>
      </c>
      <c r="D1080">
        <v>378.78</v>
      </c>
      <c r="E1080">
        <v>384.2</v>
      </c>
      <c r="F1080">
        <v>207228000</v>
      </c>
      <c r="G1080">
        <v>384.2</v>
      </c>
    </row>
    <row r="1081" spans="1:7" x14ac:dyDescent="0.25">
      <c r="A1081" s="5">
        <v>33336</v>
      </c>
      <c r="B1081">
        <v>375.35</v>
      </c>
      <c r="C1081">
        <v>381.07</v>
      </c>
      <c r="D1081">
        <v>371.21</v>
      </c>
      <c r="E1081">
        <v>380.4</v>
      </c>
      <c r="F1081">
        <v>174328000</v>
      </c>
      <c r="G1081">
        <v>380.4</v>
      </c>
    </row>
    <row r="1082" spans="1:7" x14ac:dyDescent="0.25">
      <c r="A1082" s="5">
        <v>33329</v>
      </c>
      <c r="B1082">
        <v>375.22</v>
      </c>
      <c r="C1082">
        <v>381.88</v>
      </c>
      <c r="D1082">
        <v>370.27</v>
      </c>
      <c r="E1082">
        <v>375.36</v>
      </c>
      <c r="F1082">
        <v>186558000</v>
      </c>
      <c r="G1082">
        <v>375.36</v>
      </c>
    </row>
    <row r="1083" spans="1:7" x14ac:dyDescent="0.25">
      <c r="A1083" s="5">
        <v>33322</v>
      </c>
      <c r="B1083">
        <v>367.48</v>
      </c>
      <c r="C1083">
        <v>378.48</v>
      </c>
      <c r="D1083">
        <v>367.46</v>
      </c>
      <c r="E1083">
        <v>375.22</v>
      </c>
      <c r="F1083">
        <v>176305000</v>
      </c>
      <c r="G1083">
        <v>375.22</v>
      </c>
    </row>
    <row r="1084" spans="1:7" x14ac:dyDescent="0.25">
      <c r="A1084" s="5">
        <v>33315</v>
      </c>
      <c r="B1084">
        <v>373.59</v>
      </c>
      <c r="C1084">
        <v>374.09</v>
      </c>
      <c r="D1084">
        <v>365.58</v>
      </c>
      <c r="E1084">
        <v>367.48</v>
      </c>
      <c r="F1084">
        <v>179540000</v>
      </c>
      <c r="G1084">
        <v>367.48</v>
      </c>
    </row>
    <row r="1085" spans="1:7" x14ac:dyDescent="0.25">
      <c r="A1085" s="5">
        <v>33308</v>
      </c>
      <c r="B1085">
        <v>374.94</v>
      </c>
      <c r="C1085">
        <v>378.28</v>
      </c>
      <c r="D1085">
        <v>369.55</v>
      </c>
      <c r="E1085">
        <v>373.59</v>
      </c>
      <c r="F1085">
        <v>196752000</v>
      </c>
      <c r="G1085">
        <v>373.59</v>
      </c>
    </row>
    <row r="1086" spans="1:7" x14ac:dyDescent="0.25">
      <c r="A1086" s="5">
        <v>33301</v>
      </c>
      <c r="B1086">
        <v>370.47</v>
      </c>
      <c r="C1086">
        <v>379.66</v>
      </c>
      <c r="D1086">
        <v>369.07</v>
      </c>
      <c r="E1086">
        <v>374.95</v>
      </c>
      <c r="F1086">
        <v>223946000</v>
      </c>
      <c r="G1086">
        <v>374.95</v>
      </c>
    </row>
    <row r="1087" spans="1:7" x14ac:dyDescent="0.25">
      <c r="A1087" s="5">
        <v>33294</v>
      </c>
      <c r="B1087">
        <v>365.65</v>
      </c>
      <c r="C1087">
        <v>370.47</v>
      </c>
      <c r="D1087">
        <v>362.19</v>
      </c>
      <c r="E1087">
        <v>370.47</v>
      </c>
      <c r="F1087">
        <v>202784000</v>
      </c>
      <c r="G1087">
        <v>370.47</v>
      </c>
    </row>
    <row r="1088" spans="1:7" x14ac:dyDescent="0.25">
      <c r="A1088" s="5">
        <v>33288</v>
      </c>
      <c r="B1088">
        <v>369.06</v>
      </c>
      <c r="C1088">
        <v>370.96</v>
      </c>
      <c r="D1088">
        <v>364.23</v>
      </c>
      <c r="E1088">
        <v>365.65</v>
      </c>
      <c r="F1088">
        <v>193777500</v>
      </c>
      <c r="G1088">
        <v>365.65</v>
      </c>
    </row>
    <row r="1089" spans="1:7" x14ac:dyDescent="0.25">
      <c r="A1089" s="5">
        <v>33280</v>
      </c>
      <c r="B1089">
        <v>359.36</v>
      </c>
      <c r="C1089">
        <v>370.54</v>
      </c>
      <c r="D1089">
        <v>359.32</v>
      </c>
      <c r="E1089">
        <v>369.06</v>
      </c>
      <c r="F1089">
        <v>238140000</v>
      </c>
      <c r="G1089">
        <v>369.06</v>
      </c>
    </row>
    <row r="1090" spans="1:7" x14ac:dyDescent="0.25">
      <c r="A1090" s="5">
        <v>33273</v>
      </c>
      <c r="B1090">
        <v>343.05</v>
      </c>
      <c r="C1090">
        <v>363.43</v>
      </c>
      <c r="D1090">
        <v>342.96</v>
      </c>
      <c r="E1090">
        <v>359.35</v>
      </c>
      <c r="F1090">
        <v>259656000</v>
      </c>
      <c r="G1090">
        <v>359.35</v>
      </c>
    </row>
    <row r="1091" spans="1:7" x14ac:dyDescent="0.25">
      <c r="A1091" s="5">
        <v>33266</v>
      </c>
      <c r="B1091">
        <v>336.06</v>
      </c>
      <c r="C1091">
        <v>344.9</v>
      </c>
      <c r="D1091">
        <v>334.26</v>
      </c>
      <c r="E1091">
        <v>343.05</v>
      </c>
      <c r="F1091">
        <v>194998000</v>
      </c>
      <c r="G1091">
        <v>343.05</v>
      </c>
    </row>
    <row r="1092" spans="1:7" x14ac:dyDescent="0.25">
      <c r="A1092" s="5">
        <v>33259</v>
      </c>
      <c r="B1092">
        <v>332.23</v>
      </c>
      <c r="C1092">
        <v>336.92</v>
      </c>
      <c r="D1092">
        <v>327.83</v>
      </c>
      <c r="E1092">
        <v>336.07</v>
      </c>
      <c r="F1092">
        <v>179894000</v>
      </c>
      <c r="G1092">
        <v>336.07</v>
      </c>
    </row>
    <row r="1093" spans="1:7" x14ac:dyDescent="0.25">
      <c r="A1093" s="5">
        <v>33252</v>
      </c>
      <c r="B1093">
        <v>315.23</v>
      </c>
      <c r="C1093">
        <v>332.23</v>
      </c>
      <c r="D1093">
        <v>309.35000000000002</v>
      </c>
      <c r="E1093">
        <v>332.23</v>
      </c>
      <c r="F1093">
        <v>182248000</v>
      </c>
      <c r="G1093">
        <v>332.23</v>
      </c>
    </row>
    <row r="1094" spans="1:7" x14ac:dyDescent="0.25">
      <c r="A1094" s="5">
        <v>33245</v>
      </c>
      <c r="B1094">
        <v>320.97000000000003</v>
      </c>
      <c r="C1094">
        <v>320.97000000000003</v>
      </c>
      <c r="D1094">
        <v>310.93</v>
      </c>
      <c r="E1094">
        <v>315.23</v>
      </c>
      <c r="F1094">
        <v>142532000</v>
      </c>
      <c r="G1094">
        <v>315.23</v>
      </c>
    </row>
    <row r="1095" spans="1:7" x14ac:dyDescent="0.25">
      <c r="A1095" s="5">
        <v>33238</v>
      </c>
      <c r="B1095">
        <v>328.71</v>
      </c>
      <c r="C1095">
        <v>330.75</v>
      </c>
      <c r="D1095">
        <v>318.87</v>
      </c>
      <c r="E1095">
        <v>321</v>
      </c>
      <c r="F1095">
        <v>130670000</v>
      </c>
      <c r="G1095">
        <v>321</v>
      </c>
    </row>
    <row r="1096" spans="1:7" x14ac:dyDescent="0.25">
      <c r="A1096" s="5">
        <v>33231</v>
      </c>
      <c r="B1096">
        <v>331.74</v>
      </c>
      <c r="C1096">
        <v>331.74</v>
      </c>
      <c r="D1096">
        <v>327.24</v>
      </c>
      <c r="E1096">
        <v>328.72</v>
      </c>
      <c r="F1096">
        <v>87465000</v>
      </c>
      <c r="G1096">
        <v>328.72</v>
      </c>
    </row>
    <row r="1097" spans="1:7" x14ac:dyDescent="0.25">
      <c r="A1097" s="5">
        <v>33224</v>
      </c>
      <c r="B1097">
        <v>326.82</v>
      </c>
      <c r="C1097">
        <v>332.47</v>
      </c>
      <c r="D1097">
        <v>324.45999999999998</v>
      </c>
      <c r="E1097">
        <v>331.75</v>
      </c>
      <c r="F1097">
        <v>176700000</v>
      </c>
      <c r="G1097">
        <v>331.75</v>
      </c>
    </row>
    <row r="1098" spans="1:7" x14ac:dyDescent="0.25">
      <c r="A1098" s="5">
        <v>33217</v>
      </c>
      <c r="B1098">
        <v>327.75</v>
      </c>
      <c r="C1098">
        <v>330.58</v>
      </c>
      <c r="D1098">
        <v>325.16000000000003</v>
      </c>
      <c r="E1098">
        <v>326.82</v>
      </c>
      <c r="F1098">
        <v>155874000</v>
      </c>
      <c r="G1098">
        <v>326.82</v>
      </c>
    </row>
    <row r="1099" spans="1:7" x14ac:dyDescent="0.25">
      <c r="A1099" s="5">
        <v>33210</v>
      </c>
      <c r="B1099">
        <v>322.23</v>
      </c>
      <c r="C1099">
        <v>333.98</v>
      </c>
      <c r="D1099">
        <v>321.97000000000003</v>
      </c>
      <c r="E1099">
        <v>327.75</v>
      </c>
      <c r="F1099">
        <v>197994000</v>
      </c>
      <c r="G1099">
        <v>327.75</v>
      </c>
    </row>
    <row r="1100" spans="1:7" x14ac:dyDescent="0.25">
      <c r="A1100" s="5">
        <v>33203</v>
      </c>
      <c r="B1100">
        <v>315.08</v>
      </c>
      <c r="C1100">
        <v>323.02</v>
      </c>
      <c r="D1100">
        <v>311.48</v>
      </c>
      <c r="E1100">
        <v>322.22000000000003</v>
      </c>
      <c r="F1100">
        <v>151578000</v>
      </c>
      <c r="G1100">
        <v>322.22000000000003</v>
      </c>
    </row>
    <row r="1101" spans="1:7" x14ac:dyDescent="0.25">
      <c r="A1101" s="5">
        <v>33196</v>
      </c>
      <c r="B1101">
        <v>317.14999999999998</v>
      </c>
      <c r="C1101">
        <v>319.39</v>
      </c>
      <c r="D1101">
        <v>312.42</v>
      </c>
      <c r="E1101">
        <v>315.10000000000002</v>
      </c>
      <c r="F1101">
        <v>126532500</v>
      </c>
      <c r="G1101">
        <v>315.10000000000002</v>
      </c>
    </row>
    <row r="1102" spans="1:7" x14ac:dyDescent="0.25">
      <c r="A1102" s="5">
        <v>33189</v>
      </c>
      <c r="B1102">
        <v>313.74</v>
      </c>
      <c r="C1102">
        <v>321.7</v>
      </c>
      <c r="D1102">
        <v>313.73</v>
      </c>
      <c r="E1102">
        <v>317.12</v>
      </c>
      <c r="F1102">
        <v>163550000</v>
      </c>
      <c r="G1102">
        <v>317.12</v>
      </c>
    </row>
    <row r="1103" spans="1:7" x14ac:dyDescent="0.25">
      <c r="A1103" s="5">
        <v>33182</v>
      </c>
      <c r="B1103">
        <v>311.85000000000002</v>
      </c>
      <c r="C1103">
        <v>314.76</v>
      </c>
      <c r="D1103">
        <v>305.02999999999997</v>
      </c>
      <c r="E1103">
        <v>313.74</v>
      </c>
      <c r="F1103">
        <v>148006000</v>
      </c>
      <c r="G1103">
        <v>313.74</v>
      </c>
    </row>
    <row r="1104" spans="1:7" x14ac:dyDescent="0.25">
      <c r="A1104" s="5">
        <v>33175</v>
      </c>
      <c r="B1104">
        <v>304.74</v>
      </c>
      <c r="C1104">
        <v>311.94</v>
      </c>
      <c r="D1104">
        <v>299.44</v>
      </c>
      <c r="E1104">
        <v>311.85000000000002</v>
      </c>
      <c r="F1104">
        <v>154292000</v>
      </c>
      <c r="G1104">
        <v>311.85000000000002</v>
      </c>
    </row>
    <row r="1105" spans="1:7" x14ac:dyDescent="0.25">
      <c r="A1105" s="5">
        <v>33168</v>
      </c>
      <c r="B1105">
        <v>312.48</v>
      </c>
      <c r="C1105">
        <v>315.83</v>
      </c>
      <c r="D1105">
        <v>304.70999999999998</v>
      </c>
      <c r="E1105">
        <v>304.70999999999998</v>
      </c>
      <c r="F1105">
        <v>143978000</v>
      </c>
      <c r="G1105">
        <v>304.70999999999998</v>
      </c>
    </row>
    <row r="1106" spans="1:7" x14ac:dyDescent="0.25">
      <c r="A1106" s="5">
        <v>33161</v>
      </c>
      <c r="B1106">
        <v>300.02999999999997</v>
      </c>
      <c r="C1106">
        <v>312.48</v>
      </c>
      <c r="D1106">
        <v>296.41000000000003</v>
      </c>
      <c r="E1106">
        <v>312.48</v>
      </c>
      <c r="F1106">
        <v>180280000</v>
      </c>
      <c r="G1106">
        <v>312.48</v>
      </c>
    </row>
    <row r="1107" spans="1:7" x14ac:dyDescent="0.25">
      <c r="A1107" s="5">
        <v>33154</v>
      </c>
      <c r="B1107">
        <v>311.5</v>
      </c>
      <c r="C1107">
        <v>315.02999999999997</v>
      </c>
      <c r="D1107">
        <v>294.51</v>
      </c>
      <c r="E1107">
        <v>300.02999999999997</v>
      </c>
      <c r="F1107">
        <v>156454000</v>
      </c>
      <c r="G1107">
        <v>300.02999999999997</v>
      </c>
    </row>
    <row r="1108" spans="1:7" x14ac:dyDescent="0.25">
      <c r="A1108" s="5">
        <v>33147</v>
      </c>
      <c r="B1108">
        <v>306.10000000000002</v>
      </c>
      <c r="C1108">
        <v>319.69</v>
      </c>
      <c r="D1108">
        <v>305.76</v>
      </c>
      <c r="E1108">
        <v>311.5</v>
      </c>
      <c r="F1108">
        <v>164970000</v>
      </c>
      <c r="G1108">
        <v>311.5</v>
      </c>
    </row>
    <row r="1109" spans="1:7" x14ac:dyDescent="0.25">
      <c r="A1109" s="5">
        <v>33140</v>
      </c>
      <c r="B1109">
        <v>311.3</v>
      </c>
      <c r="C1109">
        <v>311.3</v>
      </c>
      <c r="D1109">
        <v>295.98</v>
      </c>
      <c r="E1109">
        <v>306.05</v>
      </c>
      <c r="F1109">
        <v>171856000</v>
      </c>
      <c r="G1109">
        <v>306.05</v>
      </c>
    </row>
    <row r="1110" spans="1:7" x14ac:dyDescent="0.25">
      <c r="A1110" s="5">
        <v>33133</v>
      </c>
      <c r="B1110">
        <v>316.83</v>
      </c>
      <c r="C1110">
        <v>319.35000000000002</v>
      </c>
      <c r="D1110">
        <v>307.98</v>
      </c>
      <c r="E1110">
        <v>311.32</v>
      </c>
      <c r="F1110">
        <v>149082000</v>
      </c>
      <c r="G1110">
        <v>311.32</v>
      </c>
    </row>
    <row r="1111" spans="1:7" x14ac:dyDescent="0.25">
      <c r="A1111" s="5">
        <v>33126</v>
      </c>
      <c r="B1111">
        <v>323.42</v>
      </c>
      <c r="C1111">
        <v>326.52999999999997</v>
      </c>
      <c r="D1111">
        <v>314.76</v>
      </c>
      <c r="E1111">
        <v>316.83</v>
      </c>
      <c r="F1111">
        <v>123924000</v>
      </c>
      <c r="G1111">
        <v>316.83</v>
      </c>
    </row>
    <row r="1112" spans="1:7" x14ac:dyDescent="0.25">
      <c r="A1112" s="5">
        <v>33120</v>
      </c>
      <c r="B1112">
        <v>322.56</v>
      </c>
      <c r="C1112">
        <v>324.52</v>
      </c>
      <c r="D1112">
        <v>319.11</v>
      </c>
      <c r="E1112">
        <v>323.39999999999998</v>
      </c>
      <c r="F1112">
        <v>115742500</v>
      </c>
      <c r="G1112">
        <v>323.39999999999998</v>
      </c>
    </row>
    <row r="1113" spans="1:7" x14ac:dyDescent="0.25">
      <c r="A1113" s="5">
        <v>33112</v>
      </c>
      <c r="B1113">
        <v>311.55</v>
      </c>
      <c r="C1113">
        <v>325.83</v>
      </c>
      <c r="D1113">
        <v>311.55</v>
      </c>
      <c r="E1113">
        <v>322.56</v>
      </c>
      <c r="F1113">
        <v>127884000</v>
      </c>
      <c r="G1113">
        <v>322.56</v>
      </c>
    </row>
    <row r="1114" spans="1:7" x14ac:dyDescent="0.25">
      <c r="A1114" s="5">
        <v>33105</v>
      </c>
      <c r="B1114">
        <v>327.83</v>
      </c>
      <c r="C1114">
        <v>329.9</v>
      </c>
      <c r="D1114">
        <v>306.18</v>
      </c>
      <c r="E1114">
        <v>311.51</v>
      </c>
      <c r="F1114">
        <v>189858000</v>
      </c>
      <c r="G1114">
        <v>311.51</v>
      </c>
    </row>
    <row r="1115" spans="1:7" x14ac:dyDescent="0.25">
      <c r="A1115" s="5">
        <v>33098</v>
      </c>
      <c r="B1115">
        <v>335.39</v>
      </c>
      <c r="C1115">
        <v>341.92</v>
      </c>
      <c r="D1115">
        <v>324.63</v>
      </c>
      <c r="E1115">
        <v>327.83</v>
      </c>
      <c r="F1115">
        <v>148252000</v>
      </c>
      <c r="G1115">
        <v>327.83</v>
      </c>
    </row>
    <row r="1116" spans="1:7" x14ac:dyDescent="0.25">
      <c r="A1116" s="5">
        <v>33091</v>
      </c>
      <c r="B1116">
        <v>344.86</v>
      </c>
      <c r="C1116">
        <v>344.86</v>
      </c>
      <c r="D1116">
        <v>332.22</v>
      </c>
      <c r="E1116">
        <v>335.52</v>
      </c>
      <c r="F1116">
        <v>192706000</v>
      </c>
      <c r="G1116">
        <v>335.52</v>
      </c>
    </row>
    <row r="1117" spans="1:7" x14ac:dyDescent="0.25">
      <c r="A1117" s="5">
        <v>33084</v>
      </c>
      <c r="B1117">
        <v>353.44</v>
      </c>
      <c r="C1117">
        <v>357.54</v>
      </c>
      <c r="D1117">
        <v>338.2</v>
      </c>
      <c r="E1117">
        <v>344.86</v>
      </c>
      <c r="F1117">
        <v>209816000</v>
      </c>
      <c r="G1117">
        <v>344.86</v>
      </c>
    </row>
    <row r="1118" spans="1:7" x14ac:dyDescent="0.25">
      <c r="A1118" s="5">
        <v>33077</v>
      </c>
      <c r="B1118">
        <v>361.61</v>
      </c>
      <c r="C1118">
        <v>361.61</v>
      </c>
      <c r="D1118">
        <v>350.09</v>
      </c>
      <c r="E1118">
        <v>353.44</v>
      </c>
      <c r="F1118">
        <v>171718000</v>
      </c>
      <c r="G1118">
        <v>353.44</v>
      </c>
    </row>
    <row r="1119" spans="1:7" x14ac:dyDescent="0.25">
      <c r="A1119" s="5">
        <v>33070</v>
      </c>
      <c r="B1119">
        <v>367.31</v>
      </c>
      <c r="C1119">
        <v>369.78</v>
      </c>
      <c r="D1119">
        <v>361.29</v>
      </c>
      <c r="E1119">
        <v>361.61</v>
      </c>
      <c r="F1119">
        <v>166956000</v>
      </c>
      <c r="G1119">
        <v>361.61</v>
      </c>
    </row>
    <row r="1120" spans="1:7" x14ac:dyDescent="0.25">
      <c r="A1120" s="5">
        <v>33063</v>
      </c>
      <c r="B1120">
        <v>358.42</v>
      </c>
      <c r="C1120">
        <v>369.68</v>
      </c>
      <c r="D1120">
        <v>356.41</v>
      </c>
      <c r="E1120">
        <v>367.31</v>
      </c>
      <c r="F1120">
        <v>171604000</v>
      </c>
      <c r="G1120">
        <v>367.31</v>
      </c>
    </row>
    <row r="1121" spans="1:7" x14ac:dyDescent="0.25">
      <c r="A1121" s="5">
        <v>33056</v>
      </c>
      <c r="B1121">
        <v>358.02</v>
      </c>
      <c r="C1121">
        <v>360.73</v>
      </c>
      <c r="D1121">
        <v>354.64</v>
      </c>
      <c r="E1121">
        <v>358.42</v>
      </c>
      <c r="F1121">
        <v>125075000</v>
      </c>
      <c r="G1121">
        <v>358.42</v>
      </c>
    </row>
    <row r="1122" spans="1:7" x14ac:dyDescent="0.25">
      <c r="A1122" s="5">
        <v>33049</v>
      </c>
      <c r="B1122">
        <v>355.42</v>
      </c>
      <c r="C1122">
        <v>359.09</v>
      </c>
      <c r="D1122">
        <v>351.23</v>
      </c>
      <c r="E1122">
        <v>358.02</v>
      </c>
      <c r="F1122">
        <v>140554000</v>
      </c>
      <c r="G1122">
        <v>358.02</v>
      </c>
    </row>
    <row r="1123" spans="1:7" x14ac:dyDescent="0.25">
      <c r="A1123" s="5">
        <v>33042</v>
      </c>
      <c r="B1123">
        <v>362.91</v>
      </c>
      <c r="C1123">
        <v>363.2</v>
      </c>
      <c r="D1123">
        <v>355.31</v>
      </c>
      <c r="E1123">
        <v>355.43</v>
      </c>
      <c r="F1123">
        <v>143392000</v>
      </c>
      <c r="G1123">
        <v>355.43</v>
      </c>
    </row>
    <row r="1124" spans="1:7" x14ac:dyDescent="0.25">
      <c r="A1124" s="5">
        <v>33035</v>
      </c>
      <c r="B1124">
        <v>358.71</v>
      </c>
      <c r="C1124">
        <v>367.27</v>
      </c>
      <c r="D1124">
        <v>357.7</v>
      </c>
      <c r="E1124">
        <v>362.91</v>
      </c>
      <c r="F1124">
        <v>155292000</v>
      </c>
      <c r="G1124">
        <v>362.91</v>
      </c>
    </row>
    <row r="1125" spans="1:7" x14ac:dyDescent="0.25">
      <c r="A1125" s="5">
        <v>33028</v>
      </c>
      <c r="B1125">
        <v>363.16</v>
      </c>
      <c r="C1125">
        <v>368.78</v>
      </c>
      <c r="D1125">
        <v>357.68</v>
      </c>
      <c r="E1125">
        <v>358.71</v>
      </c>
      <c r="F1125">
        <v>168446000</v>
      </c>
      <c r="G1125">
        <v>358.71</v>
      </c>
    </row>
    <row r="1126" spans="1:7" x14ac:dyDescent="0.25">
      <c r="A1126" s="5">
        <v>33022</v>
      </c>
      <c r="B1126">
        <v>354.58</v>
      </c>
      <c r="C1126">
        <v>363.52</v>
      </c>
      <c r="D1126">
        <v>354.55</v>
      </c>
      <c r="E1126">
        <v>363.16</v>
      </c>
      <c r="F1126">
        <v>172625000</v>
      </c>
      <c r="G1126">
        <v>363.16</v>
      </c>
    </row>
    <row r="1127" spans="1:7" x14ac:dyDescent="0.25">
      <c r="A1127" s="5">
        <v>33014</v>
      </c>
      <c r="B1127">
        <v>354.64</v>
      </c>
      <c r="C1127">
        <v>360.5</v>
      </c>
      <c r="D1127">
        <v>353.78</v>
      </c>
      <c r="E1127">
        <v>354.58</v>
      </c>
      <c r="F1127">
        <v>163470000</v>
      </c>
      <c r="G1127">
        <v>354.58</v>
      </c>
    </row>
    <row r="1128" spans="1:7" x14ac:dyDescent="0.25">
      <c r="A1128" s="5">
        <v>33007</v>
      </c>
      <c r="B1128">
        <v>352</v>
      </c>
      <c r="C1128">
        <v>358.41</v>
      </c>
      <c r="D1128">
        <v>351.95</v>
      </c>
      <c r="E1128">
        <v>354.64</v>
      </c>
      <c r="F1128">
        <v>175648000</v>
      </c>
      <c r="G1128">
        <v>354.64</v>
      </c>
    </row>
    <row r="1129" spans="1:7" x14ac:dyDescent="0.25">
      <c r="A1129" s="5">
        <v>33000</v>
      </c>
      <c r="B1129">
        <v>338.39</v>
      </c>
      <c r="C1129">
        <v>352.31</v>
      </c>
      <c r="D1129">
        <v>338.11</v>
      </c>
      <c r="E1129">
        <v>352</v>
      </c>
      <c r="F1129">
        <v>164342000</v>
      </c>
      <c r="G1129">
        <v>352</v>
      </c>
    </row>
    <row r="1130" spans="1:7" x14ac:dyDescent="0.25">
      <c r="A1130" s="5">
        <v>32993</v>
      </c>
      <c r="B1130">
        <v>329.11</v>
      </c>
      <c r="C1130">
        <v>338.46</v>
      </c>
      <c r="D1130">
        <v>327.76</v>
      </c>
      <c r="E1130">
        <v>338.39</v>
      </c>
      <c r="F1130">
        <v>139898000</v>
      </c>
      <c r="G1130">
        <v>338.39</v>
      </c>
    </row>
    <row r="1131" spans="1:7" x14ac:dyDescent="0.25">
      <c r="A1131" s="5">
        <v>32986</v>
      </c>
      <c r="B1131">
        <v>335.12</v>
      </c>
      <c r="C1131">
        <v>335.12</v>
      </c>
      <c r="D1131">
        <v>328.71</v>
      </c>
      <c r="E1131">
        <v>329.11</v>
      </c>
      <c r="F1131">
        <v>135790000</v>
      </c>
      <c r="G1131">
        <v>329.11</v>
      </c>
    </row>
    <row r="1132" spans="1:7" x14ac:dyDescent="0.25">
      <c r="A1132" s="5">
        <v>32979</v>
      </c>
      <c r="B1132">
        <v>344.34</v>
      </c>
      <c r="C1132">
        <v>347.3</v>
      </c>
      <c r="D1132">
        <v>333.41</v>
      </c>
      <c r="E1132">
        <v>335.12</v>
      </c>
      <c r="F1132">
        <v>149024000</v>
      </c>
      <c r="G1132">
        <v>335.12</v>
      </c>
    </row>
    <row r="1133" spans="1:7" x14ac:dyDescent="0.25">
      <c r="A1133" s="5">
        <v>32972</v>
      </c>
      <c r="B1133">
        <v>340.08</v>
      </c>
      <c r="C1133">
        <v>344.79</v>
      </c>
      <c r="D1133">
        <v>339.88</v>
      </c>
      <c r="E1133">
        <v>344.34</v>
      </c>
      <c r="F1133">
        <v>133635000</v>
      </c>
      <c r="G1133">
        <v>344.34</v>
      </c>
    </row>
    <row r="1134" spans="1:7" x14ac:dyDescent="0.25">
      <c r="A1134" s="5">
        <v>32965</v>
      </c>
      <c r="B1134">
        <v>339.94</v>
      </c>
      <c r="C1134">
        <v>344.12</v>
      </c>
      <c r="D1134">
        <v>336.33</v>
      </c>
      <c r="E1134">
        <v>340.08</v>
      </c>
      <c r="F1134">
        <v>143972000</v>
      </c>
      <c r="G1134">
        <v>340.08</v>
      </c>
    </row>
    <row r="1135" spans="1:7" x14ac:dyDescent="0.25">
      <c r="A1135" s="5">
        <v>32958</v>
      </c>
      <c r="B1135">
        <v>337.22</v>
      </c>
      <c r="C1135">
        <v>342.58</v>
      </c>
      <c r="D1135">
        <v>337.03</v>
      </c>
      <c r="E1135">
        <v>339.94</v>
      </c>
      <c r="F1135">
        <v>132310000</v>
      </c>
      <c r="G1135">
        <v>339.94</v>
      </c>
    </row>
    <row r="1136" spans="1:7" x14ac:dyDescent="0.25">
      <c r="A1136" s="5">
        <v>32951</v>
      </c>
      <c r="B1136">
        <v>341.91</v>
      </c>
      <c r="C1136">
        <v>344.49</v>
      </c>
      <c r="D1136">
        <v>333.62</v>
      </c>
      <c r="E1136">
        <v>337.22</v>
      </c>
      <c r="F1136">
        <v>151722000</v>
      </c>
      <c r="G1136">
        <v>337.22</v>
      </c>
    </row>
    <row r="1137" spans="1:7" x14ac:dyDescent="0.25">
      <c r="A1137" s="5">
        <v>32944</v>
      </c>
      <c r="B1137">
        <v>337.93</v>
      </c>
      <c r="C1137">
        <v>341.91</v>
      </c>
      <c r="D1137">
        <v>334.93</v>
      </c>
      <c r="E1137">
        <v>341.91</v>
      </c>
      <c r="F1137">
        <v>154444000</v>
      </c>
      <c r="G1137">
        <v>341.91</v>
      </c>
    </row>
    <row r="1138" spans="1:7" x14ac:dyDescent="0.25">
      <c r="A1138" s="5">
        <v>32937</v>
      </c>
      <c r="B1138">
        <v>335.54</v>
      </c>
      <c r="C1138">
        <v>340.66</v>
      </c>
      <c r="D1138">
        <v>333.49</v>
      </c>
      <c r="E1138">
        <v>337.93</v>
      </c>
      <c r="F1138">
        <v>153728000</v>
      </c>
      <c r="G1138">
        <v>337.93</v>
      </c>
    </row>
    <row r="1139" spans="1:7" x14ac:dyDescent="0.25">
      <c r="A1139" s="5">
        <v>32930</v>
      </c>
      <c r="B1139">
        <v>324.16000000000003</v>
      </c>
      <c r="C1139">
        <v>335.54</v>
      </c>
      <c r="D1139">
        <v>323.98</v>
      </c>
      <c r="E1139">
        <v>335.54</v>
      </c>
      <c r="F1139">
        <v>161630000</v>
      </c>
      <c r="G1139">
        <v>335.54</v>
      </c>
    </row>
    <row r="1140" spans="1:7" x14ac:dyDescent="0.25">
      <c r="A1140" s="5">
        <v>32924</v>
      </c>
      <c r="B1140">
        <v>332.72</v>
      </c>
      <c r="C1140">
        <v>332.72</v>
      </c>
      <c r="D1140">
        <v>322.10000000000002</v>
      </c>
      <c r="E1140">
        <v>324.14999999999998</v>
      </c>
      <c r="F1140">
        <v>159837500</v>
      </c>
      <c r="G1140">
        <v>324.14999999999998</v>
      </c>
    </row>
    <row r="1141" spans="1:7" x14ac:dyDescent="0.25">
      <c r="A1141" s="5">
        <v>32916</v>
      </c>
      <c r="B1141">
        <v>333.62</v>
      </c>
      <c r="C1141">
        <v>335.64</v>
      </c>
      <c r="D1141">
        <v>327.92</v>
      </c>
      <c r="E1141">
        <v>332.72</v>
      </c>
      <c r="F1141">
        <v>148574000</v>
      </c>
      <c r="G1141">
        <v>332.72</v>
      </c>
    </row>
    <row r="1142" spans="1:7" x14ac:dyDescent="0.25">
      <c r="A1142" s="5">
        <v>32909</v>
      </c>
      <c r="B1142">
        <v>330.92</v>
      </c>
      <c r="C1142">
        <v>336.09</v>
      </c>
      <c r="D1142">
        <v>326.55</v>
      </c>
      <c r="E1142">
        <v>333.62</v>
      </c>
      <c r="F1142">
        <v>154976000</v>
      </c>
      <c r="G1142">
        <v>333.62</v>
      </c>
    </row>
    <row r="1143" spans="1:7" x14ac:dyDescent="0.25">
      <c r="A1143" s="5">
        <v>32902</v>
      </c>
      <c r="B1143">
        <v>325.8</v>
      </c>
      <c r="C1143">
        <v>332.1</v>
      </c>
      <c r="D1143">
        <v>319.83</v>
      </c>
      <c r="E1143">
        <v>330.92</v>
      </c>
      <c r="F1143">
        <v>169088000</v>
      </c>
      <c r="G1143">
        <v>330.92</v>
      </c>
    </row>
    <row r="1144" spans="1:7" x14ac:dyDescent="0.25">
      <c r="A1144" s="5">
        <v>32895</v>
      </c>
      <c r="B1144">
        <v>339.14</v>
      </c>
      <c r="C1144">
        <v>339.96</v>
      </c>
      <c r="D1144">
        <v>321.44</v>
      </c>
      <c r="E1144">
        <v>325.8</v>
      </c>
      <c r="F1144">
        <v>181194000</v>
      </c>
      <c r="G1144">
        <v>325.8</v>
      </c>
    </row>
    <row r="1145" spans="1:7" x14ac:dyDescent="0.25">
      <c r="A1145" s="5">
        <v>32888</v>
      </c>
      <c r="B1145">
        <v>339.93</v>
      </c>
      <c r="C1145">
        <v>342.01</v>
      </c>
      <c r="D1145">
        <v>333.37</v>
      </c>
      <c r="E1145">
        <v>339.15</v>
      </c>
      <c r="F1145">
        <v>172262000</v>
      </c>
      <c r="G1145">
        <v>339.15</v>
      </c>
    </row>
    <row r="1146" spans="1:7" x14ac:dyDescent="0.25">
      <c r="A1146" s="5">
        <v>32881</v>
      </c>
      <c r="B1146">
        <v>352.2</v>
      </c>
      <c r="C1146">
        <v>354.24</v>
      </c>
      <c r="D1146">
        <v>339.49</v>
      </c>
      <c r="E1146">
        <v>339.93</v>
      </c>
      <c r="F1146">
        <v>161916000</v>
      </c>
      <c r="G1146">
        <v>339.93</v>
      </c>
    </row>
    <row r="1147" spans="1:7" x14ac:dyDescent="0.25">
      <c r="A1147" s="5">
        <v>32875</v>
      </c>
      <c r="B1147">
        <v>353.4</v>
      </c>
      <c r="C1147">
        <v>360.59</v>
      </c>
      <c r="D1147">
        <v>351.35</v>
      </c>
      <c r="E1147">
        <v>352.2</v>
      </c>
      <c r="F1147">
        <v>172482500</v>
      </c>
      <c r="G1147">
        <v>352.2</v>
      </c>
    </row>
    <row r="1148" spans="1:7" x14ac:dyDescent="0.25">
      <c r="A1148" s="5">
        <v>32868</v>
      </c>
      <c r="B1148">
        <v>347.42</v>
      </c>
      <c r="C1148">
        <v>353.41</v>
      </c>
      <c r="D1148">
        <v>346.53</v>
      </c>
      <c r="E1148">
        <v>353.4</v>
      </c>
      <c r="F1148">
        <v>121330000</v>
      </c>
      <c r="G1148">
        <v>353.4</v>
      </c>
    </row>
    <row r="1149" spans="1:7" x14ac:dyDescent="0.25">
      <c r="A1149" s="5">
        <v>32860</v>
      </c>
      <c r="B1149">
        <v>350.14</v>
      </c>
      <c r="C1149">
        <v>350.88</v>
      </c>
      <c r="D1149">
        <v>339.63</v>
      </c>
      <c r="E1149">
        <v>347.42</v>
      </c>
      <c r="F1149">
        <v>168692000</v>
      </c>
      <c r="G1149">
        <v>347.42</v>
      </c>
    </row>
    <row r="1150" spans="1:7" x14ac:dyDescent="0.25">
      <c r="A1150" s="5">
        <v>32853</v>
      </c>
      <c r="B1150">
        <v>348.68</v>
      </c>
      <c r="C1150">
        <v>354.1</v>
      </c>
      <c r="D1150">
        <v>346.08</v>
      </c>
      <c r="E1150">
        <v>350.14</v>
      </c>
      <c r="F1150">
        <v>185540000</v>
      </c>
      <c r="G1150">
        <v>350.14</v>
      </c>
    </row>
    <row r="1151" spans="1:7" x14ac:dyDescent="0.25">
      <c r="A1151" s="5">
        <v>32846</v>
      </c>
      <c r="B1151">
        <v>350.63</v>
      </c>
      <c r="C1151">
        <v>352.24</v>
      </c>
      <c r="D1151">
        <v>346</v>
      </c>
      <c r="E1151">
        <v>348.69</v>
      </c>
      <c r="F1151">
        <v>151548000</v>
      </c>
      <c r="G1151">
        <v>348.69</v>
      </c>
    </row>
    <row r="1152" spans="1:7" x14ac:dyDescent="0.25">
      <c r="A1152" s="5">
        <v>32839</v>
      </c>
      <c r="B1152">
        <v>343.98</v>
      </c>
      <c r="C1152">
        <v>351.88</v>
      </c>
      <c r="D1152">
        <v>343.36</v>
      </c>
      <c r="E1152">
        <v>350.63</v>
      </c>
      <c r="F1152">
        <v>160566000</v>
      </c>
      <c r="G1152">
        <v>350.63</v>
      </c>
    </row>
    <row r="1153" spans="1:7" x14ac:dyDescent="0.25">
      <c r="A1153" s="5">
        <v>32832</v>
      </c>
      <c r="B1153">
        <v>341.61</v>
      </c>
      <c r="C1153">
        <v>344.24</v>
      </c>
      <c r="D1153">
        <v>337.53</v>
      </c>
      <c r="E1153">
        <v>343.97</v>
      </c>
      <c r="F1153">
        <v>127022500</v>
      </c>
      <c r="G1153">
        <v>343.97</v>
      </c>
    </row>
    <row r="1154" spans="1:7" x14ac:dyDescent="0.25">
      <c r="A1154" s="5">
        <v>32825</v>
      </c>
      <c r="B1154">
        <v>339.08</v>
      </c>
      <c r="C1154">
        <v>342.24</v>
      </c>
      <c r="D1154">
        <v>337.06</v>
      </c>
      <c r="E1154">
        <v>341.61</v>
      </c>
      <c r="F1154">
        <v>147688000</v>
      </c>
      <c r="G1154">
        <v>341.61</v>
      </c>
    </row>
    <row r="1155" spans="1:7" x14ac:dyDescent="0.25">
      <c r="A1155" s="5">
        <v>32818</v>
      </c>
      <c r="B1155">
        <v>337.61</v>
      </c>
      <c r="C1155">
        <v>339.41</v>
      </c>
      <c r="D1155">
        <v>330.91</v>
      </c>
      <c r="E1155">
        <v>339.1</v>
      </c>
      <c r="F1155">
        <v>148764000</v>
      </c>
      <c r="G1155">
        <v>339.1</v>
      </c>
    </row>
    <row r="1156" spans="1:7" x14ac:dyDescent="0.25">
      <c r="A1156" s="5">
        <v>32811</v>
      </c>
      <c r="B1156">
        <v>335.06</v>
      </c>
      <c r="C1156">
        <v>341.74</v>
      </c>
      <c r="D1156">
        <v>334.48</v>
      </c>
      <c r="E1156">
        <v>337.62</v>
      </c>
      <c r="F1156">
        <v>148182000</v>
      </c>
      <c r="G1156">
        <v>337.62</v>
      </c>
    </row>
    <row r="1157" spans="1:7" x14ac:dyDescent="0.25">
      <c r="A1157" s="5">
        <v>32804</v>
      </c>
      <c r="B1157">
        <v>347.11</v>
      </c>
      <c r="C1157">
        <v>348.19</v>
      </c>
      <c r="D1157">
        <v>333.26</v>
      </c>
      <c r="E1157">
        <v>335.06</v>
      </c>
      <c r="F1157">
        <v>175008000</v>
      </c>
      <c r="G1157">
        <v>335.06</v>
      </c>
    </row>
    <row r="1158" spans="1:7" x14ac:dyDescent="0.25">
      <c r="A1158" s="5">
        <v>32797</v>
      </c>
      <c r="B1158">
        <v>333.65</v>
      </c>
      <c r="C1158">
        <v>348.82</v>
      </c>
      <c r="D1158">
        <v>327.12</v>
      </c>
      <c r="E1158">
        <v>347.16</v>
      </c>
      <c r="F1158">
        <v>234042000</v>
      </c>
      <c r="G1158">
        <v>347.16</v>
      </c>
    </row>
    <row r="1159" spans="1:7" x14ac:dyDescent="0.25">
      <c r="A1159" s="5">
        <v>32790</v>
      </c>
      <c r="B1159">
        <v>358.76</v>
      </c>
      <c r="C1159">
        <v>360.44</v>
      </c>
      <c r="D1159">
        <v>332.81</v>
      </c>
      <c r="E1159">
        <v>333.65</v>
      </c>
      <c r="F1159">
        <v>161946000</v>
      </c>
      <c r="G1159">
        <v>333.65</v>
      </c>
    </row>
    <row r="1160" spans="1:7" x14ac:dyDescent="0.25">
      <c r="A1160" s="5">
        <v>32783</v>
      </c>
      <c r="B1160">
        <v>349.15</v>
      </c>
      <c r="C1160">
        <v>359.05</v>
      </c>
      <c r="D1160">
        <v>348.35</v>
      </c>
      <c r="E1160">
        <v>358.78</v>
      </c>
      <c r="F1160">
        <v>170992000</v>
      </c>
      <c r="G1160">
        <v>358.78</v>
      </c>
    </row>
    <row r="1161" spans="1:7" x14ac:dyDescent="0.25">
      <c r="A1161" s="5">
        <v>32776</v>
      </c>
      <c r="B1161">
        <v>347.05</v>
      </c>
      <c r="C1161">
        <v>350.31</v>
      </c>
      <c r="D1161">
        <v>342.85</v>
      </c>
      <c r="E1161">
        <v>349.15</v>
      </c>
      <c r="F1161">
        <v>151484000</v>
      </c>
      <c r="G1161">
        <v>349.15</v>
      </c>
    </row>
    <row r="1162" spans="1:7" x14ac:dyDescent="0.25">
      <c r="A1162" s="5">
        <v>32769</v>
      </c>
      <c r="B1162">
        <v>345.06</v>
      </c>
      <c r="C1162">
        <v>348.46</v>
      </c>
      <c r="D1162">
        <v>344.6</v>
      </c>
      <c r="E1162">
        <v>347.05</v>
      </c>
      <c r="F1162">
        <v>139094000</v>
      </c>
      <c r="G1162">
        <v>347.05</v>
      </c>
    </row>
    <row r="1163" spans="1:7" x14ac:dyDescent="0.25">
      <c r="A1163" s="5">
        <v>32762</v>
      </c>
      <c r="B1163">
        <v>348.76</v>
      </c>
      <c r="C1163">
        <v>350.1</v>
      </c>
      <c r="D1163">
        <v>341.37</v>
      </c>
      <c r="E1163">
        <v>345.06</v>
      </c>
      <c r="F1163">
        <v>165520000</v>
      </c>
      <c r="G1163">
        <v>345.06</v>
      </c>
    </row>
    <row r="1164" spans="1:7" x14ac:dyDescent="0.25">
      <c r="A1164" s="5">
        <v>32756</v>
      </c>
      <c r="B1164">
        <v>353.73</v>
      </c>
      <c r="C1164">
        <v>354.13</v>
      </c>
      <c r="D1164">
        <v>345.74</v>
      </c>
      <c r="E1164">
        <v>348.76</v>
      </c>
      <c r="F1164">
        <v>155307500</v>
      </c>
      <c r="G1164">
        <v>348.76</v>
      </c>
    </row>
    <row r="1165" spans="1:7" x14ac:dyDescent="0.25">
      <c r="A1165" s="5">
        <v>32748</v>
      </c>
      <c r="B1165">
        <v>350.52</v>
      </c>
      <c r="C1165">
        <v>353.9</v>
      </c>
      <c r="D1165">
        <v>348.66</v>
      </c>
      <c r="E1165">
        <v>353.73</v>
      </c>
      <c r="F1165">
        <v>151772000</v>
      </c>
      <c r="G1165">
        <v>353.73</v>
      </c>
    </row>
    <row r="1166" spans="1:7" x14ac:dyDescent="0.25">
      <c r="A1166" s="5">
        <v>32741</v>
      </c>
      <c r="B1166">
        <v>346.03</v>
      </c>
      <c r="C1166">
        <v>352.73</v>
      </c>
      <c r="D1166">
        <v>339</v>
      </c>
      <c r="E1166">
        <v>350.52</v>
      </c>
      <c r="F1166">
        <v>165964000</v>
      </c>
      <c r="G1166">
        <v>350.52</v>
      </c>
    </row>
    <row r="1167" spans="1:7" x14ac:dyDescent="0.25">
      <c r="A1167" s="5">
        <v>32734</v>
      </c>
      <c r="B1167">
        <v>344.71</v>
      </c>
      <c r="C1167">
        <v>346.39</v>
      </c>
      <c r="D1167">
        <v>341.96</v>
      </c>
      <c r="E1167">
        <v>346.03</v>
      </c>
      <c r="F1167">
        <v>148842000</v>
      </c>
      <c r="G1167">
        <v>346.03</v>
      </c>
    </row>
    <row r="1168" spans="1:7" x14ac:dyDescent="0.25">
      <c r="A1168" s="5">
        <v>32727</v>
      </c>
      <c r="B1168">
        <v>343.92</v>
      </c>
      <c r="C1168">
        <v>351.18</v>
      </c>
      <c r="D1168">
        <v>343.91</v>
      </c>
      <c r="E1168">
        <v>344.74</v>
      </c>
      <c r="F1168">
        <v>200806000</v>
      </c>
      <c r="G1168">
        <v>344.74</v>
      </c>
    </row>
    <row r="1169" spans="1:7" x14ac:dyDescent="0.25">
      <c r="A1169" s="5">
        <v>32720</v>
      </c>
      <c r="B1169">
        <v>342.13</v>
      </c>
      <c r="C1169">
        <v>347.99</v>
      </c>
      <c r="D1169">
        <v>342.02</v>
      </c>
      <c r="E1169">
        <v>343.92</v>
      </c>
      <c r="F1169">
        <v>182426000</v>
      </c>
      <c r="G1169">
        <v>343.92</v>
      </c>
    </row>
    <row r="1170" spans="1:7" x14ac:dyDescent="0.25">
      <c r="A1170" s="5">
        <v>32713</v>
      </c>
      <c r="B1170">
        <v>335.9</v>
      </c>
      <c r="C1170">
        <v>342.96</v>
      </c>
      <c r="D1170">
        <v>332.6</v>
      </c>
      <c r="E1170">
        <v>342.15</v>
      </c>
      <c r="F1170">
        <v>179618000</v>
      </c>
      <c r="G1170">
        <v>342.15</v>
      </c>
    </row>
    <row r="1171" spans="1:7" x14ac:dyDescent="0.25">
      <c r="A1171" s="5">
        <v>32706</v>
      </c>
      <c r="B1171">
        <v>331.78</v>
      </c>
      <c r="C1171">
        <v>337.4</v>
      </c>
      <c r="D1171">
        <v>330.75</v>
      </c>
      <c r="E1171">
        <v>335.9</v>
      </c>
      <c r="F1171">
        <v>175904000</v>
      </c>
      <c r="G1171">
        <v>335.9</v>
      </c>
    </row>
    <row r="1172" spans="1:7" x14ac:dyDescent="0.25">
      <c r="A1172" s="5">
        <v>32699</v>
      </c>
      <c r="B1172">
        <v>324.93</v>
      </c>
      <c r="C1172">
        <v>331.89</v>
      </c>
      <c r="D1172">
        <v>324.91000000000003</v>
      </c>
      <c r="E1172">
        <v>331.84</v>
      </c>
      <c r="F1172">
        <v>160262000</v>
      </c>
      <c r="G1172">
        <v>331.84</v>
      </c>
    </row>
    <row r="1173" spans="1:7" x14ac:dyDescent="0.25">
      <c r="A1173" s="5">
        <v>32692</v>
      </c>
      <c r="B1173">
        <v>317.98</v>
      </c>
      <c r="C1173">
        <v>325.87</v>
      </c>
      <c r="D1173">
        <v>317.26</v>
      </c>
      <c r="E1173">
        <v>324.91000000000003</v>
      </c>
      <c r="F1173">
        <v>125865000</v>
      </c>
      <c r="G1173">
        <v>324.91000000000003</v>
      </c>
    </row>
    <row r="1174" spans="1:7" x14ac:dyDescent="0.25">
      <c r="A1174" s="5">
        <v>32685</v>
      </c>
      <c r="B1174">
        <v>328</v>
      </c>
      <c r="C1174">
        <v>329.19</v>
      </c>
      <c r="D1174">
        <v>314.38</v>
      </c>
      <c r="E1174">
        <v>317.98</v>
      </c>
      <c r="F1174">
        <v>162150000</v>
      </c>
      <c r="G1174">
        <v>317.98</v>
      </c>
    </row>
    <row r="1175" spans="1:7" x14ac:dyDescent="0.25">
      <c r="A1175" s="5">
        <v>32678</v>
      </c>
      <c r="B1175">
        <v>321.35000000000002</v>
      </c>
      <c r="C1175">
        <v>328</v>
      </c>
      <c r="D1175">
        <v>319.25</v>
      </c>
      <c r="E1175">
        <v>328</v>
      </c>
      <c r="F1175">
        <v>168486000</v>
      </c>
      <c r="G1175">
        <v>328</v>
      </c>
    </row>
    <row r="1176" spans="1:7" x14ac:dyDescent="0.25">
      <c r="A1176" s="5">
        <v>32671</v>
      </c>
      <c r="B1176">
        <v>326.69</v>
      </c>
      <c r="C1176">
        <v>326.69</v>
      </c>
      <c r="D1176">
        <v>318.69</v>
      </c>
      <c r="E1176">
        <v>321.35000000000002</v>
      </c>
      <c r="F1176">
        <v>182172000</v>
      </c>
      <c r="G1176">
        <v>321.35000000000002</v>
      </c>
    </row>
    <row r="1177" spans="1:7" x14ac:dyDescent="0.25">
      <c r="A1177" s="5">
        <v>32664</v>
      </c>
      <c r="B1177">
        <v>325.52</v>
      </c>
      <c r="C1177">
        <v>327.39</v>
      </c>
      <c r="D1177">
        <v>321.27</v>
      </c>
      <c r="E1177">
        <v>326.69</v>
      </c>
      <c r="F1177">
        <v>190050000</v>
      </c>
      <c r="G1177">
        <v>326.69</v>
      </c>
    </row>
    <row r="1178" spans="1:7" x14ac:dyDescent="0.25">
      <c r="A1178" s="5">
        <v>32658</v>
      </c>
      <c r="B1178">
        <v>321.58999999999997</v>
      </c>
      <c r="C1178">
        <v>325.63</v>
      </c>
      <c r="D1178">
        <v>317.83</v>
      </c>
      <c r="E1178">
        <v>325.52</v>
      </c>
      <c r="F1178">
        <v>191652500</v>
      </c>
      <c r="G1178">
        <v>325.52</v>
      </c>
    </row>
    <row r="1179" spans="1:7" x14ac:dyDescent="0.25">
      <c r="A1179" s="5">
        <v>32650</v>
      </c>
      <c r="B1179">
        <v>321.24</v>
      </c>
      <c r="C1179">
        <v>323.06</v>
      </c>
      <c r="D1179">
        <v>317.58</v>
      </c>
      <c r="E1179">
        <v>321.58999999999997</v>
      </c>
      <c r="F1179">
        <v>169778000</v>
      </c>
      <c r="G1179">
        <v>321.58999999999997</v>
      </c>
    </row>
    <row r="1180" spans="1:7" x14ac:dyDescent="0.25">
      <c r="A1180" s="5">
        <v>32643</v>
      </c>
      <c r="B1180">
        <v>313.83999999999997</v>
      </c>
      <c r="C1180">
        <v>321.38</v>
      </c>
      <c r="D1180">
        <v>313.83999999999997</v>
      </c>
      <c r="E1180">
        <v>321.24</v>
      </c>
      <c r="F1180">
        <v>192710000</v>
      </c>
      <c r="G1180">
        <v>321.24</v>
      </c>
    </row>
    <row r="1181" spans="1:7" x14ac:dyDescent="0.25">
      <c r="A1181" s="5">
        <v>32636</v>
      </c>
      <c r="B1181">
        <v>307.61</v>
      </c>
      <c r="C1181">
        <v>313.83999999999997</v>
      </c>
      <c r="D1181">
        <v>304.06</v>
      </c>
      <c r="E1181">
        <v>313.83999999999997</v>
      </c>
      <c r="F1181">
        <v>160866000</v>
      </c>
      <c r="G1181">
        <v>313.83999999999997</v>
      </c>
    </row>
    <row r="1182" spans="1:7" x14ac:dyDescent="0.25">
      <c r="A1182" s="5">
        <v>32629</v>
      </c>
      <c r="B1182">
        <v>309.64</v>
      </c>
      <c r="C1182">
        <v>310.69</v>
      </c>
      <c r="D1182">
        <v>306.98</v>
      </c>
      <c r="E1182">
        <v>307.61</v>
      </c>
      <c r="F1182">
        <v>163248000</v>
      </c>
      <c r="G1182">
        <v>307.61</v>
      </c>
    </row>
    <row r="1183" spans="1:7" x14ac:dyDescent="0.25">
      <c r="A1183" s="5">
        <v>32622</v>
      </c>
      <c r="B1183">
        <v>309.61</v>
      </c>
      <c r="C1183">
        <v>310.45</v>
      </c>
      <c r="D1183">
        <v>306.07</v>
      </c>
      <c r="E1183">
        <v>309.64</v>
      </c>
      <c r="F1183">
        <v>160636000</v>
      </c>
      <c r="G1183">
        <v>309.64</v>
      </c>
    </row>
    <row r="1184" spans="1:7" x14ac:dyDescent="0.25">
      <c r="A1184" s="5">
        <v>32615</v>
      </c>
      <c r="B1184">
        <v>301.36</v>
      </c>
      <c r="C1184">
        <v>309.61</v>
      </c>
      <c r="D1184">
        <v>300.70999999999998</v>
      </c>
      <c r="E1184">
        <v>309.61</v>
      </c>
      <c r="F1184">
        <v>178396000</v>
      </c>
      <c r="G1184">
        <v>309.61</v>
      </c>
    </row>
    <row r="1185" spans="1:7" x14ac:dyDescent="0.25">
      <c r="A1185" s="5">
        <v>32608</v>
      </c>
      <c r="B1185">
        <v>297.16000000000003</v>
      </c>
      <c r="C1185">
        <v>301.38</v>
      </c>
      <c r="D1185">
        <v>296.27</v>
      </c>
      <c r="E1185">
        <v>301.36</v>
      </c>
      <c r="F1185">
        <v>149478000</v>
      </c>
      <c r="G1185">
        <v>301.36</v>
      </c>
    </row>
    <row r="1186" spans="1:7" x14ac:dyDescent="0.25">
      <c r="A1186" s="5">
        <v>32601</v>
      </c>
      <c r="B1186">
        <v>294.87</v>
      </c>
      <c r="C1186">
        <v>297.62</v>
      </c>
      <c r="D1186">
        <v>294.35000000000002</v>
      </c>
      <c r="E1186">
        <v>297.16000000000003</v>
      </c>
      <c r="F1186">
        <v>158940000</v>
      </c>
      <c r="G1186">
        <v>297.16000000000003</v>
      </c>
    </row>
    <row r="1187" spans="1:7" x14ac:dyDescent="0.25">
      <c r="A1187" s="5">
        <v>32594</v>
      </c>
      <c r="B1187">
        <v>288.98</v>
      </c>
      <c r="C1187">
        <v>294.95999999999998</v>
      </c>
      <c r="D1187">
        <v>288.07</v>
      </c>
      <c r="E1187">
        <v>294.87</v>
      </c>
      <c r="F1187">
        <v>146906000</v>
      </c>
      <c r="G1187">
        <v>294.87</v>
      </c>
    </row>
    <row r="1188" spans="1:7" x14ac:dyDescent="0.25">
      <c r="A1188" s="5">
        <v>32587</v>
      </c>
      <c r="B1188">
        <v>292.69</v>
      </c>
      <c r="C1188">
        <v>292.69</v>
      </c>
      <c r="D1188">
        <v>288.56</v>
      </c>
      <c r="E1188">
        <v>288.98</v>
      </c>
      <c r="F1188">
        <v>148397500</v>
      </c>
      <c r="G1188">
        <v>288.98</v>
      </c>
    </row>
    <row r="1189" spans="1:7" x14ac:dyDescent="0.25">
      <c r="A1189" s="5">
        <v>32580</v>
      </c>
      <c r="B1189">
        <v>292.88</v>
      </c>
      <c r="C1189">
        <v>299.99</v>
      </c>
      <c r="D1189">
        <v>291.08</v>
      </c>
      <c r="E1189">
        <v>292.69</v>
      </c>
      <c r="F1189">
        <v>177288000</v>
      </c>
      <c r="G1189">
        <v>292.69</v>
      </c>
    </row>
    <row r="1190" spans="1:7" x14ac:dyDescent="0.25">
      <c r="A1190" s="5">
        <v>32573</v>
      </c>
      <c r="B1190">
        <v>291.2</v>
      </c>
      <c r="C1190">
        <v>295.62</v>
      </c>
      <c r="D1190">
        <v>291.18</v>
      </c>
      <c r="E1190">
        <v>292.88</v>
      </c>
      <c r="F1190">
        <v>159798000</v>
      </c>
      <c r="G1190">
        <v>292.88</v>
      </c>
    </row>
    <row r="1191" spans="1:7" x14ac:dyDescent="0.25">
      <c r="A1191" s="5">
        <v>32566</v>
      </c>
      <c r="B1191">
        <v>287.13</v>
      </c>
      <c r="C1191">
        <v>291.18</v>
      </c>
      <c r="D1191">
        <v>286.26</v>
      </c>
      <c r="E1191">
        <v>291.18</v>
      </c>
      <c r="F1191">
        <v>155662000</v>
      </c>
      <c r="G1191">
        <v>291.18</v>
      </c>
    </row>
    <row r="1192" spans="1:7" x14ac:dyDescent="0.25">
      <c r="A1192" s="5">
        <v>32560</v>
      </c>
      <c r="B1192">
        <v>296.76</v>
      </c>
      <c r="C1192">
        <v>297.04000000000002</v>
      </c>
      <c r="D1192">
        <v>287.13</v>
      </c>
      <c r="E1192">
        <v>287.13</v>
      </c>
      <c r="F1192">
        <v>154035000</v>
      </c>
      <c r="G1192">
        <v>287.13</v>
      </c>
    </row>
    <row r="1193" spans="1:7" x14ac:dyDescent="0.25">
      <c r="A1193" s="5">
        <v>32552</v>
      </c>
      <c r="B1193">
        <v>292.02</v>
      </c>
      <c r="C1193">
        <v>297.12</v>
      </c>
      <c r="D1193">
        <v>290.88</v>
      </c>
      <c r="E1193">
        <v>296.76</v>
      </c>
      <c r="F1193">
        <v>157064000</v>
      </c>
      <c r="G1193">
        <v>296.76</v>
      </c>
    </row>
    <row r="1194" spans="1:7" x14ac:dyDescent="0.25">
      <c r="A1194" s="5">
        <v>32545</v>
      </c>
      <c r="B1194">
        <v>296.97000000000003</v>
      </c>
      <c r="C1194">
        <v>300.57</v>
      </c>
      <c r="D1194">
        <v>291.95999999999998</v>
      </c>
      <c r="E1194">
        <v>292.02</v>
      </c>
      <c r="F1194">
        <v>191088000</v>
      </c>
      <c r="G1194">
        <v>292.02</v>
      </c>
    </row>
    <row r="1195" spans="1:7" x14ac:dyDescent="0.25">
      <c r="A1195" s="5">
        <v>32538</v>
      </c>
      <c r="B1195">
        <v>293.82</v>
      </c>
      <c r="C1195">
        <v>298.33</v>
      </c>
      <c r="D1195">
        <v>293.54000000000002</v>
      </c>
      <c r="E1195">
        <v>296.97000000000003</v>
      </c>
      <c r="F1195">
        <v>186786000</v>
      </c>
      <c r="G1195">
        <v>296.97000000000003</v>
      </c>
    </row>
    <row r="1196" spans="1:7" x14ac:dyDescent="0.25">
      <c r="A1196" s="5">
        <v>32531</v>
      </c>
      <c r="B1196">
        <v>287.85000000000002</v>
      </c>
      <c r="C1196">
        <v>296.08</v>
      </c>
      <c r="D1196">
        <v>284.5</v>
      </c>
      <c r="E1196">
        <v>293.82</v>
      </c>
      <c r="F1196">
        <v>196398000</v>
      </c>
      <c r="G1196">
        <v>293.82</v>
      </c>
    </row>
    <row r="1197" spans="1:7" x14ac:dyDescent="0.25">
      <c r="A1197" s="5">
        <v>32524</v>
      </c>
      <c r="B1197">
        <v>283.87</v>
      </c>
      <c r="C1197">
        <v>287.89999999999998</v>
      </c>
      <c r="D1197">
        <v>282.64999999999998</v>
      </c>
      <c r="E1197">
        <v>286.63</v>
      </c>
      <c r="F1197">
        <v>161382000</v>
      </c>
      <c r="G1197">
        <v>286.63</v>
      </c>
    </row>
    <row r="1198" spans="1:7" x14ac:dyDescent="0.25">
      <c r="A1198" s="5">
        <v>32517</v>
      </c>
      <c r="B1198">
        <v>280.67</v>
      </c>
      <c r="C1198">
        <v>284.63</v>
      </c>
      <c r="D1198">
        <v>279.44</v>
      </c>
      <c r="E1198">
        <v>283.87</v>
      </c>
      <c r="F1198">
        <v>153574000</v>
      </c>
      <c r="G1198">
        <v>283.87</v>
      </c>
    </row>
    <row r="1199" spans="1:7" x14ac:dyDescent="0.25">
      <c r="A1199" s="5">
        <v>32511</v>
      </c>
      <c r="B1199">
        <v>277.72000000000003</v>
      </c>
      <c r="C1199">
        <v>282.06</v>
      </c>
      <c r="D1199">
        <v>273.81</v>
      </c>
      <c r="E1199">
        <v>280.67</v>
      </c>
      <c r="F1199">
        <v>153392500</v>
      </c>
      <c r="G1199">
        <v>280.67</v>
      </c>
    </row>
    <row r="1200" spans="1:7" x14ac:dyDescent="0.25">
      <c r="A1200" s="5">
        <v>32504</v>
      </c>
      <c r="B1200">
        <v>277.87</v>
      </c>
      <c r="C1200">
        <v>279.77999999999997</v>
      </c>
      <c r="D1200">
        <v>276.17</v>
      </c>
      <c r="E1200">
        <v>277.72000000000003</v>
      </c>
      <c r="F1200">
        <v>114155000</v>
      </c>
      <c r="G1200">
        <v>277.72000000000003</v>
      </c>
    </row>
    <row r="1201" spans="1:7" x14ac:dyDescent="0.25">
      <c r="A1201" s="5">
        <v>32496</v>
      </c>
      <c r="B1201">
        <v>276.29000000000002</v>
      </c>
      <c r="C1201">
        <v>280.45</v>
      </c>
      <c r="D1201">
        <v>275.61</v>
      </c>
      <c r="E1201">
        <v>277.87</v>
      </c>
      <c r="F1201">
        <v>140572000</v>
      </c>
      <c r="G1201">
        <v>277.87</v>
      </c>
    </row>
    <row r="1202" spans="1:7" x14ac:dyDescent="0.25">
      <c r="A1202" s="5">
        <v>32489</v>
      </c>
      <c r="B1202">
        <v>277.02999999999997</v>
      </c>
      <c r="C1202">
        <v>278.82</v>
      </c>
      <c r="D1202">
        <v>274.01</v>
      </c>
      <c r="E1202">
        <v>276.29000000000002</v>
      </c>
      <c r="F1202">
        <v>144430000</v>
      </c>
      <c r="G1202">
        <v>276.29000000000002</v>
      </c>
    </row>
    <row r="1203" spans="1:7" x14ac:dyDescent="0.25">
      <c r="A1203" s="5">
        <v>32482</v>
      </c>
      <c r="B1203">
        <v>274.93</v>
      </c>
      <c r="C1203">
        <v>279.01</v>
      </c>
      <c r="D1203">
        <v>271.81</v>
      </c>
      <c r="E1203">
        <v>277.02999999999997</v>
      </c>
      <c r="F1203">
        <v>141856000</v>
      </c>
      <c r="G1203">
        <v>277.02999999999997</v>
      </c>
    </row>
    <row r="1204" spans="1:7" x14ac:dyDescent="0.25">
      <c r="A1204" s="5">
        <v>32475</v>
      </c>
      <c r="B1204">
        <v>267.22000000000003</v>
      </c>
      <c r="C1204">
        <v>274.36</v>
      </c>
      <c r="D1204">
        <v>266.97000000000003</v>
      </c>
      <c r="E1204">
        <v>271.81</v>
      </c>
      <c r="F1204">
        <v>132540000</v>
      </c>
      <c r="G1204">
        <v>271.81</v>
      </c>
    </row>
    <row r="1205" spans="1:7" x14ac:dyDescent="0.25">
      <c r="A1205" s="5">
        <v>32468</v>
      </c>
      <c r="B1205">
        <v>266.35000000000002</v>
      </c>
      <c r="C1205">
        <v>269.56</v>
      </c>
      <c r="D1205">
        <v>263.41000000000003</v>
      </c>
      <c r="E1205">
        <v>267.23</v>
      </c>
      <c r="F1205">
        <v>107882500</v>
      </c>
      <c r="G1205">
        <v>267.23</v>
      </c>
    </row>
    <row r="1206" spans="1:7" x14ac:dyDescent="0.25">
      <c r="A1206" s="5">
        <v>32461</v>
      </c>
      <c r="B1206">
        <v>267.93</v>
      </c>
      <c r="C1206">
        <v>269.25</v>
      </c>
      <c r="D1206">
        <v>262.85000000000002</v>
      </c>
      <c r="E1206">
        <v>266.47000000000003</v>
      </c>
      <c r="F1206">
        <v>136076000</v>
      </c>
      <c r="G1206">
        <v>266.47000000000003</v>
      </c>
    </row>
    <row r="1207" spans="1:7" x14ac:dyDescent="0.25">
      <c r="A1207" s="5">
        <v>32454</v>
      </c>
      <c r="B1207">
        <v>276.3</v>
      </c>
      <c r="C1207">
        <v>276.31</v>
      </c>
      <c r="D1207">
        <v>267.92</v>
      </c>
      <c r="E1207">
        <v>267.92</v>
      </c>
      <c r="F1207">
        <v>138618000</v>
      </c>
      <c r="G1207">
        <v>267.92</v>
      </c>
    </row>
    <row r="1208" spans="1:7" x14ac:dyDescent="0.25">
      <c r="A1208" s="5">
        <v>32447</v>
      </c>
      <c r="B1208">
        <v>278.54000000000002</v>
      </c>
      <c r="C1208">
        <v>280.37</v>
      </c>
      <c r="D1208">
        <v>276.31</v>
      </c>
      <c r="E1208">
        <v>276.31</v>
      </c>
      <c r="F1208">
        <v>150514000</v>
      </c>
      <c r="G1208">
        <v>276.31</v>
      </c>
    </row>
    <row r="1209" spans="1:7" x14ac:dyDescent="0.25">
      <c r="A1209" s="5">
        <v>32440</v>
      </c>
      <c r="B1209">
        <v>283.63</v>
      </c>
      <c r="C1209">
        <v>283.95</v>
      </c>
      <c r="D1209">
        <v>276</v>
      </c>
      <c r="E1209">
        <v>278.52999999999997</v>
      </c>
      <c r="F1209">
        <v>170034000</v>
      </c>
      <c r="G1209">
        <v>278.52999999999997</v>
      </c>
    </row>
    <row r="1210" spans="1:7" x14ac:dyDescent="0.25">
      <c r="A1210" s="5">
        <v>32433</v>
      </c>
      <c r="B1210">
        <v>275.48</v>
      </c>
      <c r="C1210">
        <v>283.66000000000003</v>
      </c>
      <c r="D1210">
        <v>274.41000000000003</v>
      </c>
      <c r="E1210">
        <v>283.66000000000003</v>
      </c>
      <c r="F1210">
        <v>170626000</v>
      </c>
      <c r="G1210">
        <v>283.66000000000003</v>
      </c>
    </row>
    <row r="1211" spans="1:7" x14ac:dyDescent="0.25">
      <c r="A1211" s="5">
        <v>32426</v>
      </c>
      <c r="B1211">
        <v>278.06</v>
      </c>
      <c r="C1211">
        <v>278.69</v>
      </c>
      <c r="D1211">
        <v>273.05</v>
      </c>
      <c r="E1211">
        <v>275.5</v>
      </c>
      <c r="F1211">
        <v>147034000</v>
      </c>
      <c r="G1211">
        <v>275.5</v>
      </c>
    </row>
    <row r="1212" spans="1:7" x14ac:dyDescent="0.25">
      <c r="A1212" s="5">
        <v>32419</v>
      </c>
      <c r="B1212">
        <v>271.89</v>
      </c>
      <c r="C1212">
        <v>278.07</v>
      </c>
      <c r="D1212">
        <v>268.83999999999997</v>
      </c>
      <c r="E1212">
        <v>278.07</v>
      </c>
      <c r="F1212">
        <v>166646000</v>
      </c>
      <c r="G1212">
        <v>278.07</v>
      </c>
    </row>
    <row r="1213" spans="1:7" x14ac:dyDescent="0.25">
      <c r="A1213" s="5">
        <v>32412</v>
      </c>
      <c r="B1213">
        <v>269.77</v>
      </c>
      <c r="C1213">
        <v>274.87</v>
      </c>
      <c r="D1213">
        <v>267.77</v>
      </c>
      <c r="E1213">
        <v>271.91000000000003</v>
      </c>
      <c r="F1213">
        <v>134938000</v>
      </c>
      <c r="G1213">
        <v>271.91000000000003</v>
      </c>
    </row>
    <row r="1214" spans="1:7" x14ac:dyDescent="0.25">
      <c r="A1214" s="5">
        <v>32405</v>
      </c>
      <c r="B1214">
        <v>270.64</v>
      </c>
      <c r="C1214">
        <v>270.64999999999998</v>
      </c>
      <c r="D1214">
        <v>267.41000000000003</v>
      </c>
      <c r="E1214">
        <v>269.76</v>
      </c>
      <c r="F1214">
        <v>140232000</v>
      </c>
      <c r="G1214">
        <v>269.76</v>
      </c>
    </row>
    <row r="1215" spans="1:7" x14ac:dyDescent="0.25">
      <c r="A1215" s="5">
        <v>32398</v>
      </c>
      <c r="B1215">
        <v>266.85000000000002</v>
      </c>
      <c r="C1215">
        <v>270.81</v>
      </c>
      <c r="D1215">
        <v>265.22000000000003</v>
      </c>
      <c r="E1215">
        <v>270.64999999999998</v>
      </c>
      <c r="F1215">
        <v>165382000</v>
      </c>
      <c r="G1215">
        <v>270.64999999999998</v>
      </c>
    </row>
    <row r="1216" spans="1:7" x14ac:dyDescent="0.25">
      <c r="A1216" s="5">
        <v>32392</v>
      </c>
      <c r="B1216">
        <v>264.42</v>
      </c>
      <c r="C1216">
        <v>268.26</v>
      </c>
      <c r="D1216">
        <v>263.66000000000003</v>
      </c>
      <c r="E1216">
        <v>266.83999999999997</v>
      </c>
      <c r="F1216">
        <v>138190000</v>
      </c>
      <c r="G1216">
        <v>266.83999999999997</v>
      </c>
    </row>
    <row r="1217" spans="1:7" x14ac:dyDescent="0.25">
      <c r="A1217" s="5">
        <v>32384</v>
      </c>
      <c r="B1217">
        <v>259.68</v>
      </c>
      <c r="C1217">
        <v>264.89999999999998</v>
      </c>
      <c r="D1217">
        <v>256.98</v>
      </c>
      <c r="E1217">
        <v>264.48</v>
      </c>
      <c r="F1217">
        <v>128482000</v>
      </c>
      <c r="G1217">
        <v>264.48</v>
      </c>
    </row>
    <row r="1218" spans="1:7" x14ac:dyDescent="0.25">
      <c r="A1218" s="5">
        <v>32377</v>
      </c>
      <c r="B1218">
        <v>260.24</v>
      </c>
      <c r="C1218">
        <v>261.13</v>
      </c>
      <c r="D1218">
        <v>256.52999999999997</v>
      </c>
      <c r="E1218">
        <v>259.68</v>
      </c>
      <c r="F1218">
        <v>117294000</v>
      </c>
      <c r="G1218">
        <v>259.68</v>
      </c>
    </row>
    <row r="1219" spans="1:7" x14ac:dyDescent="0.25">
      <c r="A1219" s="5">
        <v>32370</v>
      </c>
      <c r="B1219">
        <v>262.49</v>
      </c>
      <c r="C1219">
        <v>262.76</v>
      </c>
      <c r="D1219">
        <v>257.5</v>
      </c>
      <c r="E1219">
        <v>260.24</v>
      </c>
      <c r="F1219">
        <v>144608000</v>
      </c>
      <c r="G1219">
        <v>260.24</v>
      </c>
    </row>
    <row r="1220" spans="1:7" x14ac:dyDescent="0.25">
      <c r="A1220" s="5">
        <v>32363</v>
      </c>
      <c r="B1220">
        <v>271.13</v>
      </c>
      <c r="C1220">
        <v>272.47000000000003</v>
      </c>
      <c r="D1220">
        <v>260.33999999999997</v>
      </c>
      <c r="E1220">
        <v>262.55</v>
      </c>
      <c r="F1220">
        <v>180084000</v>
      </c>
      <c r="G1220">
        <v>262.55</v>
      </c>
    </row>
    <row r="1221" spans="1:7" x14ac:dyDescent="0.25">
      <c r="A1221" s="5">
        <v>32356</v>
      </c>
      <c r="B1221">
        <v>272.02999999999997</v>
      </c>
      <c r="C1221">
        <v>274.2</v>
      </c>
      <c r="D1221">
        <v>270.08</v>
      </c>
      <c r="E1221">
        <v>271.14999999999998</v>
      </c>
      <c r="F1221">
        <v>155812000</v>
      </c>
      <c r="G1221">
        <v>271.14999999999998</v>
      </c>
    </row>
    <row r="1222" spans="1:7" x14ac:dyDescent="0.25">
      <c r="A1222" s="5">
        <v>32349</v>
      </c>
      <c r="B1222">
        <v>263.49</v>
      </c>
      <c r="C1222">
        <v>272.02</v>
      </c>
      <c r="D1222">
        <v>262.48</v>
      </c>
      <c r="E1222">
        <v>272.02</v>
      </c>
      <c r="F1222">
        <v>163980000</v>
      </c>
      <c r="G1222">
        <v>272.02</v>
      </c>
    </row>
    <row r="1223" spans="1:7" x14ac:dyDescent="0.25">
      <c r="A1223" s="5">
        <v>32342</v>
      </c>
      <c r="B1223">
        <v>271.99</v>
      </c>
      <c r="C1223">
        <v>272.05</v>
      </c>
      <c r="D1223">
        <v>263.29000000000002</v>
      </c>
      <c r="E1223">
        <v>263.5</v>
      </c>
      <c r="F1223">
        <v>150130000</v>
      </c>
      <c r="G1223">
        <v>263.5</v>
      </c>
    </row>
    <row r="1224" spans="1:7" x14ac:dyDescent="0.25">
      <c r="A1224" s="5">
        <v>32335</v>
      </c>
      <c r="B1224">
        <v>270.02999999999997</v>
      </c>
      <c r="C1224">
        <v>272.06</v>
      </c>
      <c r="D1224">
        <v>266.12</v>
      </c>
      <c r="E1224">
        <v>272.05</v>
      </c>
      <c r="F1224">
        <v>175200000</v>
      </c>
      <c r="G1224">
        <v>272.05</v>
      </c>
    </row>
    <row r="1225" spans="1:7" x14ac:dyDescent="0.25">
      <c r="A1225" s="5">
        <v>32329</v>
      </c>
      <c r="B1225">
        <v>271.77999999999997</v>
      </c>
      <c r="C1225">
        <v>276.36</v>
      </c>
      <c r="D1225">
        <v>269.31</v>
      </c>
      <c r="E1225">
        <v>270.02</v>
      </c>
      <c r="F1225">
        <v>163397500</v>
      </c>
      <c r="G1225">
        <v>270.02</v>
      </c>
    </row>
    <row r="1226" spans="1:7" x14ac:dyDescent="0.25">
      <c r="A1226" s="5">
        <v>32321</v>
      </c>
      <c r="B1226">
        <v>273.77999999999997</v>
      </c>
      <c r="C1226">
        <v>273.8</v>
      </c>
      <c r="D1226">
        <v>268.85000000000002</v>
      </c>
      <c r="E1226">
        <v>271.77999999999997</v>
      </c>
      <c r="F1226">
        <v>208422000</v>
      </c>
      <c r="G1226">
        <v>271.77999999999997</v>
      </c>
    </row>
    <row r="1227" spans="1:7" x14ac:dyDescent="0.25">
      <c r="A1227" s="5">
        <v>32314</v>
      </c>
      <c r="B1227">
        <v>270.67</v>
      </c>
      <c r="C1227">
        <v>276.88</v>
      </c>
      <c r="D1227">
        <v>267.52</v>
      </c>
      <c r="E1227">
        <v>273.77999999999997</v>
      </c>
      <c r="F1227">
        <v>170994000</v>
      </c>
      <c r="G1227">
        <v>273.77999999999997</v>
      </c>
    </row>
    <row r="1228" spans="1:7" x14ac:dyDescent="0.25">
      <c r="A1228" s="5">
        <v>32307</v>
      </c>
      <c r="B1228">
        <v>271.27999999999997</v>
      </c>
      <c r="C1228">
        <v>276.14</v>
      </c>
      <c r="D1228">
        <v>268.08999999999997</v>
      </c>
      <c r="E1228">
        <v>270.68</v>
      </c>
      <c r="F1228">
        <v>201638000</v>
      </c>
      <c r="G1228">
        <v>270.68</v>
      </c>
    </row>
    <row r="1229" spans="1:7" x14ac:dyDescent="0.25">
      <c r="A1229" s="5">
        <v>32300</v>
      </c>
      <c r="B1229">
        <v>266.45999999999998</v>
      </c>
      <c r="C1229">
        <v>273.20999999999998</v>
      </c>
      <c r="D1229">
        <v>264.5</v>
      </c>
      <c r="E1229">
        <v>271.26</v>
      </c>
      <c r="F1229">
        <v>204414000</v>
      </c>
      <c r="G1229">
        <v>271.26</v>
      </c>
    </row>
    <row r="1230" spans="1:7" x14ac:dyDescent="0.25">
      <c r="A1230" s="5">
        <v>32294</v>
      </c>
      <c r="B1230">
        <v>253.44</v>
      </c>
      <c r="C1230">
        <v>267.43</v>
      </c>
      <c r="D1230">
        <v>253.42</v>
      </c>
      <c r="E1230">
        <v>266.45</v>
      </c>
      <c r="F1230">
        <v>216327500</v>
      </c>
      <c r="G1230">
        <v>266.45</v>
      </c>
    </row>
    <row r="1231" spans="1:7" x14ac:dyDescent="0.25">
      <c r="A1231" s="5">
        <v>32286</v>
      </c>
      <c r="B1231">
        <v>253</v>
      </c>
      <c r="C1231">
        <v>255.34</v>
      </c>
      <c r="D1231">
        <v>249.82</v>
      </c>
      <c r="E1231">
        <v>253.42</v>
      </c>
      <c r="F1231">
        <v>135746000</v>
      </c>
      <c r="G1231">
        <v>253.42</v>
      </c>
    </row>
    <row r="1232" spans="1:7" x14ac:dyDescent="0.25">
      <c r="A1232" s="5">
        <v>32279</v>
      </c>
      <c r="B1232">
        <v>256.75</v>
      </c>
      <c r="C1232">
        <v>260.2</v>
      </c>
      <c r="D1232">
        <v>248.85</v>
      </c>
      <c r="E1232">
        <v>253.02</v>
      </c>
      <c r="F1232">
        <v>156808000</v>
      </c>
      <c r="G1232">
        <v>253.02</v>
      </c>
    </row>
    <row r="1233" spans="1:7" x14ac:dyDescent="0.25">
      <c r="A1233" s="5">
        <v>32272</v>
      </c>
      <c r="B1233">
        <v>257.47000000000003</v>
      </c>
      <c r="C1233">
        <v>258.3</v>
      </c>
      <c r="D1233">
        <v>252.32</v>
      </c>
      <c r="E1233">
        <v>256.77999999999997</v>
      </c>
      <c r="F1233">
        <v>153072000</v>
      </c>
      <c r="G1233">
        <v>256.77999999999997</v>
      </c>
    </row>
    <row r="1234" spans="1:7" x14ac:dyDescent="0.25">
      <c r="A1234" s="5">
        <v>32265</v>
      </c>
      <c r="B1234">
        <v>261.36</v>
      </c>
      <c r="C1234">
        <v>263.7</v>
      </c>
      <c r="D1234">
        <v>257.02999999999997</v>
      </c>
      <c r="E1234">
        <v>257.48</v>
      </c>
      <c r="F1234">
        <v>151126000</v>
      </c>
      <c r="G1234">
        <v>257.48</v>
      </c>
    </row>
    <row r="1235" spans="1:7" x14ac:dyDescent="0.25">
      <c r="A1235" s="5">
        <v>32258</v>
      </c>
      <c r="B1235">
        <v>260.14999999999998</v>
      </c>
      <c r="C1235">
        <v>265.08999999999997</v>
      </c>
      <c r="D1235">
        <v>259.97000000000003</v>
      </c>
      <c r="E1235">
        <v>261.33</v>
      </c>
      <c r="F1235">
        <v>141472000</v>
      </c>
      <c r="G1235">
        <v>261.33</v>
      </c>
    </row>
    <row r="1236" spans="1:7" x14ac:dyDescent="0.25">
      <c r="A1236" s="5">
        <v>32251</v>
      </c>
      <c r="B1236">
        <v>259.75</v>
      </c>
      <c r="C1236">
        <v>262.38</v>
      </c>
      <c r="D1236">
        <v>254.71</v>
      </c>
      <c r="E1236">
        <v>260.14</v>
      </c>
      <c r="F1236">
        <v>155022000</v>
      </c>
      <c r="G1236">
        <v>260.14</v>
      </c>
    </row>
    <row r="1237" spans="1:7" x14ac:dyDescent="0.25">
      <c r="A1237" s="5">
        <v>32244</v>
      </c>
      <c r="B1237">
        <v>269.43</v>
      </c>
      <c r="C1237">
        <v>272.05</v>
      </c>
      <c r="D1237">
        <v>255.97</v>
      </c>
      <c r="E1237">
        <v>259.77</v>
      </c>
      <c r="F1237">
        <v>184772000</v>
      </c>
      <c r="G1237">
        <v>259.77</v>
      </c>
    </row>
    <row r="1238" spans="1:7" x14ac:dyDescent="0.25">
      <c r="A1238" s="5">
        <v>32237</v>
      </c>
      <c r="B1238">
        <v>258.89</v>
      </c>
      <c r="C1238">
        <v>270.22000000000003</v>
      </c>
      <c r="D1238">
        <v>255.68</v>
      </c>
      <c r="E1238">
        <v>269.43</v>
      </c>
      <c r="F1238">
        <v>170886000</v>
      </c>
      <c r="G1238">
        <v>269.43</v>
      </c>
    </row>
    <row r="1239" spans="1:7" x14ac:dyDescent="0.25">
      <c r="A1239" s="5">
        <v>32230</v>
      </c>
      <c r="B1239">
        <v>258.5</v>
      </c>
      <c r="C1239">
        <v>261.58999999999997</v>
      </c>
      <c r="D1239">
        <v>256.07</v>
      </c>
      <c r="E1239">
        <v>258.89</v>
      </c>
      <c r="F1239">
        <v>146797500</v>
      </c>
      <c r="G1239">
        <v>258.89</v>
      </c>
    </row>
    <row r="1240" spans="1:7" x14ac:dyDescent="0.25">
      <c r="A1240" s="5">
        <v>32223</v>
      </c>
      <c r="B1240">
        <v>271.10000000000002</v>
      </c>
      <c r="C1240">
        <v>271.12</v>
      </c>
      <c r="D1240">
        <v>258.12</v>
      </c>
      <c r="E1240">
        <v>258.51</v>
      </c>
      <c r="F1240">
        <v>157256000</v>
      </c>
      <c r="G1240">
        <v>258.51</v>
      </c>
    </row>
    <row r="1241" spans="1:7" x14ac:dyDescent="0.25">
      <c r="A1241" s="5">
        <v>32216</v>
      </c>
      <c r="B1241">
        <v>264.93</v>
      </c>
      <c r="C1241">
        <v>272.64</v>
      </c>
      <c r="D1241">
        <v>264.52</v>
      </c>
      <c r="E1241">
        <v>271.12</v>
      </c>
      <c r="F1241">
        <v>175264000</v>
      </c>
      <c r="G1241">
        <v>271.12</v>
      </c>
    </row>
    <row r="1242" spans="1:7" x14ac:dyDescent="0.25">
      <c r="A1242" s="5">
        <v>32209</v>
      </c>
      <c r="B1242">
        <v>267.27999999999997</v>
      </c>
      <c r="C1242">
        <v>270.76</v>
      </c>
      <c r="D1242">
        <v>261.27</v>
      </c>
      <c r="E1242">
        <v>264.94</v>
      </c>
      <c r="F1242">
        <v>199768000</v>
      </c>
      <c r="G1242">
        <v>264.94</v>
      </c>
    </row>
    <row r="1243" spans="1:7" x14ac:dyDescent="0.25">
      <c r="A1243" s="5">
        <v>32202</v>
      </c>
      <c r="B1243">
        <v>262.45999999999998</v>
      </c>
      <c r="C1243">
        <v>268.75</v>
      </c>
      <c r="D1243">
        <v>262.45999999999998</v>
      </c>
      <c r="E1243">
        <v>267.3</v>
      </c>
      <c r="F1243">
        <v>208078000</v>
      </c>
      <c r="G1243">
        <v>267.3</v>
      </c>
    </row>
    <row r="1244" spans="1:7" x14ac:dyDescent="0.25">
      <c r="A1244" s="5">
        <v>32195</v>
      </c>
      <c r="B1244">
        <v>261.60000000000002</v>
      </c>
      <c r="C1244">
        <v>267.75</v>
      </c>
      <c r="D1244">
        <v>260.88</v>
      </c>
      <c r="E1244">
        <v>262.45999999999998</v>
      </c>
      <c r="F1244">
        <v>191094000</v>
      </c>
      <c r="G1244">
        <v>262.45999999999998</v>
      </c>
    </row>
    <row r="1245" spans="1:7" x14ac:dyDescent="0.25">
      <c r="A1245" s="5">
        <v>32189</v>
      </c>
      <c r="B1245">
        <v>257.61</v>
      </c>
      <c r="C1245">
        <v>261.61</v>
      </c>
      <c r="D1245">
        <v>256.57</v>
      </c>
      <c r="E1245">
        <v>261.61</v>
      </c>
      <c r="F1245">
        <v>160985000</v>
      </c>
      <c r="G1245">
        <v>261.61</v>
      </c>
    </row>
    <row r="1246" spans="1:7" x14ac:dyDescent="0.25">
      <c r="A1246" s="5">
        <v>32181</v>
      </c>
      <c r="B1246">
        <v>250.95</v>
      </c>
      <c r="C1246">
        <v>258.86</v>
      </c>
      <c r="D1246">
        <v>247.82</v>
      </c>
      <c r="E1246">
        <v>257.63</v>
      </c>
      <c r="F1246">
        <v>179426000</v>
      </c>
      <c r="G1246">
        <v>257.63</v>
      </c>
    </row>
    <row r="1247" spans="1:7" x14ac:dyDescent="0.25">
      <c r="A1247" s="5">
        <v>32174</v>
      </c>
      <c r="B1247">
        <v>257.05</v>
      </c>
      <c r="C1247">
        <v>258.27</v>
      </c>
      <c r="D1247">
        <v>250.34</v>
      </c>
      <c r="E1247">
        <v>250.96</v>
      </c>
      <c r="F1247">
        <v>192130000</v>
      </c>
      <c r="G1247">
        <v>250.96</v>
      </c>
    </row>
    <row r="1248" spans="1:7" x14ac:dyDescent="0.25">
      <c r="A1248" s="5">
        <v>32167</v>
      </c>
      <c r="B1248">
        <v>246.53</v>
      </c>
      <c r="C1248">
        <v>257.07</v>
      </c>
      <c r="D1248">
        <v>246.5</v>
      </c>
      <c r="E1248">
        <v>257.07</v>
      </c>
      <c r="F1248">
        <v>193660000</v>
      </c>
      <c r="G1248">
        <v>257.07</v>
      </c>
    </row>
    <row r="1249" spans="1:7" x14ac:dyDescent="0.25">
      <c r="A1249" s="5">
        <v>32160</v>
      </c>
      <c r="B1249">
        <v>252.05</v>
      </c>
      <c r="C1249">
        <v>253.33</v>
      </c>
      <c r="D1249">
        <v>240.17</v>
      </c>
      <c r="E1249">
        <v>246.5</v>
      </c>
      <c r="F1249">
        <v>155088000</v>
      </c>
      <c r="G1249">
        <v>246.5</v>
      </c>
    </row>
    <row r="1250" spans="1:7" x14ac:dyDescent="0.25">
      <c r="A1250" s="5">
        <v>32153</v>
      </c>
      <c r="B1250">
        <v>243.38</v>
      </c>
      <c r="C1250">
        <v>253.65</v>
      </c>
      <c r="D1250">
        <v>240.46</v>
      </c>
      <c r="E1250">
        <v>252.05</v>
      </c>
      <c r="F1250">
        <v>163448000</v>
      </c>
      <c r="G1250">
        <v>252.05</v>
      </c>
    </row>
    <row r="1251" spans="1:7" x14ac:dyDescent="0.25">
      <c r="A1251" s="5">
        <v>32146</v>
      </c>
      <c r="B1251">
        <v>247.1</v>
      </c>
      <c r="C1251">
        <v>261.77999999999997</v>
      </c>
      <c r="D1251">
        <v>242.95</v>
      </c>
      <c r="E1251">
        <v>243.4</v>
      </c>
      <c r="F1251">
        <v>186744000</v>
      </c>
      <c r="G1251">
        <v>243.4</v>
      </c>
    </row>
    <row r="1252" spans="1:7" x14ac:dyDescent="0.25">
      <c r="A1252" s="5">
        <v>32139</v>
      </c>
      <c r="B1252">
        <v>252.01</v>
      </c>
      <c r="C1252">
        <v>252.02</v>
      </c>
      <c r="D1252">
        <v>244.19</v>
      </c>
      <c r="E1252">
        <v>247.08</v>
      </c>
      <c r="F1252">
        <v>140542500</v>
      </c>
      <c r="G1252">
        <v>247.08</v>
      </c>
    </row>
    <row r="1253" spans="1:7" x14ac:dyDescent="0.25">
      <c r="A1253" s="5">
        <v>32132</v>
      </c>
      <c r="B1253">
        <v>249.14</v>
      </c>
      <c r="C1253">
        <v>253.35</v>
      </c>
      <c r="D1253">
        <v>247.01</v>
      </c>
      <c r="E1253">
        <v>252.03</v>
      </c>
      <c r="F1253">
        <v>166587500</v>
      </c>
      <c r="G1253">
        <v>252.03</v>
      </c>
    </row>
    <row r="1254" spans="1:7" x14ac:dyDescent="0.25">
      <c r="A1254" s="5">
        <v>32125</v>
      </c>
      <c r="B1254">
        <v>235.3</v>
      </c>
      <c r="C1254">
        <v>249.18</v>
      </c>
      <c r="D1254">
        <v>235.04</v>
      </c>
      <c r="E1254">
        <v>249.16</v>
      </c>
      <c r="F1254">
        <v>212894000</v>
      </c>
      <c r="G1254">
        <v>249.16</v>
      </c>
    </row>
    <row r="1255" spans="1:7" x14ac:dyDescent="0.25">
      <c r="A1255" s="5">
        <v>32118</v>
      </c>
      <c r="B1255">
        <v>223.98</v>
      </c>
      <c r="C1255">
        <v>240.09</v>
      </c>
      <c r="D1255">
        <v>223.92</v>
      </c>
      <c r="E1255">
        <v>235.32</v>
      </c>
      <c r="F1255">
        <v>189208000</v>
      </c>
      <c r="G1255">
        <v>235.32</v>
      </c>
    </row>
    <row r="1256" spans="1:7" x14ac:dyDescent="0.25">
      <c r="A1256" s="5">
        <v>32111</v>
      </c>
      <c r="B1256">
        <v>240.27</v>
      </c>
      <c r="C1256">
        <v>240.34</v>
      </c>
      <c r="D1256">
        <v>221.24</v>
      </c>
      <c r="E1256">
        <v>223.92</v>
      </c>
      <c r="F1256">
        <v>191326000</v>
      </c>
      <c r="G1256">
        <v>223.92</v>
      </c>
    </row>
    <row r="1257" spans="1:7" x14ac:dyDescent="0.25">
      <c r="A1257" s="5">
        <v>32104</v>
      </c>
      <c r="B1257">
        <v>242</v>
      </c>
      <c r="C1257">
        <v>247.9</v>
      </c>
      <c r="D1257">
        <v>240.34</v>
      </c>
      <c r="E1257">
        <v>240.34</v>
      </c>
      <c r="F1257">
        <v>142205000</v>
      </c>
      <c r="G1257">
        <v>240.34</v>
      </c>
    </row>
    <row r="1258" spans="1:7" x14ac:dyDescent="0.25">
      <c r="A1258" s="5">
        <v>32097</v>
      </c>
      <c r="B1258">
        <v>245.69</v>
      </c>
      <c r="C1258">
        <v>249.54</v>
      </c>
      <c r="D1258">
        <v>235.89</v>
      </c>
      <c r="E1258">
        <v>242</v>
      </c>
      <c r="F1258">
        <v>163432000</v>
      </c>
      <c r="G1258">
        <v>242</v>
      </c>
    </row>
    <row r="1259" spans="1:7" x14ac:dyDescent="0.25">
      <c r="A1259" s="5">
        <v>32090</v>
      </c>
      <c r="B1259">
        <v>250.41</v>
      </c>
      <c r="C1259">
        <v>250.41</v>
      </c>
      <c r="D1259">
        <v>237.64</v>
      </c>
      <c r="E1259">
        <v>245.64</v>
      </c>
      <c r="F1259">
        <v>174810000</v>
      </c>
      <c r="G1259">
        <v>245.64</v>
      </c>
    </row>
    <row r="1260" spans="1:7" x14ac:dyDescent="0.25">
      <c r="A1260" s="5">
        <v>32083</v>
      </c>
      <c r="B1260">
        <v>251.73</v>
      </c>
      <c r="C1260">
        <v>257.20999999999998</v>
      </c>
      <c r="D1260">
        <v>242.78</v>
      </c>
      <c r="E1260">
        <v>250.41</v>
      </c>
      <c r="F1260">
        <v>212118000</v>
      </c>
      <c r="G1260">
        <v>250.41</v>
      </c>
    </row>
    <row r="1261" spans="1:7" x14ac:dyDescent="0.25">
      <c r="A1261" s="5">
        <v>32076</v>
      </c>
      <c r="B1261">
        <v>248.2</v>
      </c>
      <c r="C1261">
        <v>254.04</v>
      </c>
      <c r="D1261">
        <v>226.26</v>
      </c>
      <c r="E1261">
        <v>251.79</v>
      </c>
      <c r="F1261">
        <v>281980000</v>
      </c>
      <c r="G1261">
        <v>251.79</v>
      </c>
    </row>
    <row r="1262" spans="1:7" x14ac:dyDescent="0.25">
      <c r="A1262" s="5">
        <v>32069</v>
      </c>
      <c r="B1262">
        <v>282.7</v>
      </c>
      <c r="C1262">
        <v>282.7</v>
      </c>
      <c r="D1262">
        <v>216.46</v>
      </c>
      <c r="E1262">
        <v>248.22</v>
      </c>
      <c r="F1262">
        <v>459960000</v>
      </c>
      <c r="G1262">
        <v>248.22</v>
      </c>
    </row>
    <row r="1263" spans="1:7" x14ac:dyDescent="0.25">
      <c r="A1263" s="5">
        <v>32062</v>
      </c>
      <c r="B1263">
        <v>311.07</v>
      </c>
      <c r="C1263">
        <v>314.52999999999997</v>
      </c>
      <c r="D1263">
        <v>281.52</v>
      </c>
      <c r="E1263">
        <v>282.7</v>
      </c>
      <c r="F1263">
        <v>224780000</v>
      </c>
      <c r="G1263">
        <v>282.7</v>
      </c>
    </row>
    <row r="1264" spans="1:7" x14ac:dyDescent="0.25">
      <c r="A1264" s="5">
        <v>32055</v>
      </c>
      <c r="B1264">
        <v>328.07</v>
      </c>
      <c r="C1264">
        <v>328.57</v>
      </c>
      <c r="D1264">
        <v>310.97000000000003</v>
      </c>
      <c r="E1264">
        <v>311.07</v>
      </c>
      <c r="F1264">
        <v>175720000</v>
      </c>
      <c r="G1264">
        <v>311.07</v>
      </c>
    </row>
    <row r="1265" spans="1:7" x14ac:dyDescent="0.25">
      <c r="A1265" s="5">
        <v>32048</v>
      </c>
      <c r="B1265">
        <v>320.16000000000003</v>
      </c>
      <c r="C1265">
        <v>328.94</v>
      </c>
      <c r="D1265">
        <v>320.16000000000003</v>
      </c>
      <c r="E1265">
        <v>328.07</v>
      </c>
      <c r="F1265">
        <v>185400000</v>
      </c>
      <c r="G1265">
        <v>328.07</v>
      </c>
    </row>
    <row r="1266" spans="1:7" x14ac:dyDescent="0.25">
      <c r="A1266" s="5">
        <v>32041</v>
      </c>
      <c r="B1266">
        <v>314.92</v>
      </c>
      <c r="C1266">
        <v>322.01</v>
      </c>
      <c r="D1266">
        <v>308.69</v>
      </c>
      <c r="E1266">
        <v>320.16000000000003</v>
      </c>
      <c r="F1266">
        <v>180020000</v>
      </c>
      <c r="G1266">
        <v>320.16000000000003</v>
      </c>
    </row>
    <row r="1267" spans="1:7" x14ac:dyDescent="0.25">
      <c r="A1267" s="5">
        <v>32034</v>
      </c>
      <c r="B1267">
        <v>322.02</v>
      </c>
      <c r="C1267">
        <v>323.81</v>
      </c>
      <c r="D1267">
        <v>313.45</v>
      </c>
      <c r="E1267">
        <v>314.86</v>
      </c>
      <c r="F1267">
        <v>165020000</v>
      </c>
      <c r="G1267">
        <v>314.86</v>
      </c>
    </row>
    <row r="1268" spans="1:7" x14ac:dyDescent="0.25">
      <c r="A1268" s="5">
        <v>32028</v>
      </c>
      <c r="B1268">
        <v>316.68</v>
      </c>
      <c r="C1268">
        <v>322.45</v>
      </c>
      <c r="D1268">
        <v>308.56</v>
      </c>
      <c r="E1268">
        <v>321.98</v>
      </c>
      <c r="F1268">
        <v>191400000</v>
      </c>
      <c r="G1268">
        <v>321.98</v>
      </c>
    </row>
    <row r="1269" spans="1:7" x14ac:dyDescent="0.25">
      <c r="A1269" s="5">
        <v>32020</v>
      </c>
      <c r="B1269">
        <v>327.02999999999997</v>
      </c>
      <c r="C1269">
        <v>332.18</v>
      </c>
      <c r="D1269">
        <v>316.52999999999997</v>
      </c>
      <c r="E1269">
        <v>316.7</v>
      </c>
      <c r="F1269">
        <v>170700000</v>
      </c>
      <c r="G1269">
        <v>316.7</v>
      </c>
    </row>
    <row r="1270" spans="1:7" x14ac:dyDescent="0.25">
      <c r="A1270" s="5">
        <v>32013</v>
      </c>
      <c r="B1270">
        <v>335.89</v>
      </c>
      <c r="C1270">
        <v>337.89</v>
      </c>
      <c r="D1270">
        <v>327.02999999999997</v>
      </c>
      <c r="E1270">
        <v>327.04000000000002</v>
      </c>
      <c r="F1270">
        <v>175800000</v>
      </c>
      <c r="G1270">
        <v>327.04000000000002</v>
      </c>
    </row>
    <row r="1271" spans="1:7" x14ac:dyDescent="0.25">
      <c r="A1271" s="5">
        <v>32006</v>
      </c>
      <c r="B1271">
        <v>333.98</v>
      </c>
      <c r="C1271">
        <v>336.37</v>
      </c>
      <c r="D1271">
        <v>326.43</v>
      </c>
      <c r="E1271">
        <v>335.9</v>
      </c>
      <c r="F1271">
        <v>186320000</v>
      </c>
      <c r="G1271">
        <v>335.9</v>
      </c>
    </row>
    <row r="1272" spans="1:7" x14ac:dyDescent="0.25">
      <c r="A1272" s="5">
        <v>31999</v>
      </c>
      <c r="B1272">
        <v>322.98</v>
      </c>
      <c r="C1272">
        <v>336.08</v>
      </c>
      <c r="D1272">
        <v>322.95</v>
      </c>
      <c r="E1272">
        <v>333.99</v>
      </c>
      <c r="F1272">
        <v>222860000</v>
      </c>
      <c r="G1272">
        <v>333.99</v>
      </c>
    </row>
    <row r="1273" spans="1:7" x14ac:dyDescent="0.25">
      <c r="A1273" s="5">
        <v>31992</v>
      </c>
      <c r="B1273">
        <v>318.62</v>
      </c>
      <c r="C1273">
        <v>324.14999999999998</v>
      </c>
      <c r="D1273">
        <v>314.51</v>
      </c>
      <c r="E1273">
        <v>323</v>
      </c>
      <c r="F1273">
        <v>194340000</v>
      </c>
      <c r="G1273">
        <v>323</v>
      </c>
    </row>
    <row r="1274" spans="1:7" x14ac:dyDescent="0.25">
      <c r="A1274" s="5">
        <v>31985</v>
      </c>
      <c r="B1274">
        <v>309.3</v>
      </c>
      <c r="C1274">
        <v>318.85000000000002</v>
      </c>
      <c r="D1274">
        <v>308.61</v>
      </c>
      <c r="E1274">
        <v>318.66000000000003</v>
      </c>
      <c r="F1274">
        <v>182140000</v>
      </c>
      <c r="G1274">
        <v>318.66000000000003</v>
      </c>
    </row>
    <row r="1275" spans="1:7" x14ac:dyDescent="0.25">
      <c r="A1275" s="5">
        <v>31978</v>
      </c>
      <c r="B1275">
        <v>314.56</v>
      </c>
      <c r="C1275">
        <v>314.58999999999997</v>
      </c>
      <c r="D1275">
        <v>306.10000000000002</v>
      </c>
      <c r="E1275">
        <v>309.27</v>
      </c>
      <c r="F1275">
        <v>170300000</v>
      </c>
      <c r="G1275">
        <v>309.27</v>
      </c>
    </row>
    <row r="1276" spans="1:7" x14ac:dyDescent="0.25">
      <c r="A1276" s="5">
        <v>31971</v>
      </c>
      <c r="B1276">
        <v>308.41000000000003</v>
      </c>
      <c r="C1276">
        <v>314.58999999999997</v>
      </c>
      <c r="D1276">
        <v>305.49</v>
      </c>
      <c r="E1276">
        <v>314.58999999999997</v>
      </c>
      <c r="F1276">
        <v>192320000</v>
      </c>
      <c r="G1276">
        <v>314.58999999999997</v>
      </c>
    </row>
    <row r="1277" spans="1:7" x14ac:dyDescent="0.25">
      <c r="A1277" s="5">
        <v>31964</v>
      </c>
      <c r="B1277">
        <v>305.64</v>
      </c>
      <c r="C1277">
        <v>309.56</v>
      </c>
      <c r="D1277">
        <v>304.23</v>
      </c>
      <c r="E1277">
        <v>308.37</v>
      </c>
      <c r="F1277">
        <v>186140000</v>
      </c>
      <c r="G1277">
        <v>308.37</v>
      </c>
    </row>
    <row r="1278" spans="1:7" x14ac:dyDescent="0.25">
      <c r="A1278" s="5">
        <v>31957</v>
      </c>
      <c r="B1278">
        <v>307.14999999999998</v>
      </c>
      <c r="C1278">
        <v>308.14999999999998</v>
      </c>
      <c r="D1278">
        <v>302.52999999999997</v>
      </c>
      <c r="E1278">
        <v>305.63</v>
      </c>
      <c r="F1278">
        <v>154975000</v>
      </c>
      <c r="G1278">
        <v>305.63</v>
      </c>
    </row>
    <row r="1279" spans="1:7" x14ac:dyDescent="0.25">
      <c r="A1279" s="5">
        <v>31950</v>
      </c>
      <c r="B1279">
        <v>306.98</v>
      </c>
      <c r="C1279">
        <v>310.27</v>
      </c>
      <c r="D1279">
        <v>306.32</v>
      </c>
      <c r="E1279">
        <v>307.16000000000003</v>
      </c>
      <c r="F1279">
        <v>170040000</v>
      </c>
      <c r="G1279">
        <v>307.16000000000003</v>
      </c>
    </row>
    <row r="1280" spans="1:7" x14ac:dyDescent="0.25">
      <c r="A1280" s="5">
        <v>31943</v>
      </c>
      <c r="B1280">
        <v>301.62</v>
      </c>
      <c r="C1280">
        <v>306.97000000000003</v>
      </c>
      <c r="D1280">
        <v>301.62</v>
      </c>
      <c r="E1280">
        <v>306.97000000000003</v>
      </c>
      <c r="F1280">
        <v>177700000</v>
      </c>
      <c r="G1280">
        <v>306.97000000000003</v>
      </c>
    </row>
    <row r="1281" spans="1:7" x14ac:dyDescent="0.25">
      <c r="A1281" s="5">
        <v>31936</v>
      </c>
      <c r="B1281">
        <v>293.45999999999998</v>
      </c>
      <c r="C1281">
        <v>302.26</v>
      </c>
      <c r="D1281">
        <v>291.55</v>
      </c>
      <c r="E1281">
        <v>301.62</v>
      </c>
      <c r="F1281">
        <v>162400000</v>
      </c>
      <c r="G1281">
        <v>301.62</v>
      </c>
    </row>
    <row r="1282" spans="1:7" x14ac:dyDescent="0.25">
      <c r="A1282" s="5">
        <v>31929</v>
      </c>
      <c r="B1282">
        <v>290.12</v>
      </c>
      <c r="C1282">
        <v>295.11</v>
      </c>
      <c r="D1282">
        <v>286.93</v>
      </c>
      <c r="E1282">
        <v>293.45</v>
      </c>
      <c r="F1282">
        <v>147260000</v>
      </c>
      <c r="G1282">
        <v>293.45</v>
      </c>
    </row>
    <row r="1283" spans="1:7" x14ac:dyDescent="0.25">
      <c r="A1283" s="5">
        <v>31923</v>
      </c>
      <c r="B1283">
        <v>282.16000000000003</v>
      </c>
      <c r="C1283">
        <v>292.87</v>
      </c>
      <c r="D1283">
        <v>282.16000000000003</v>
      </c>
      <c r="E1283">
        <v>290.10000000000002</v>
      </c>
      <c r="F1283">
        <v>157800000</v>
      </c>
      <c r="G1283">
        <v>290.10000000000002</v>
      </c>
    </row>
    <row r="1284" spans="1:7" x14ac:dyDescent="0.25">
      <c r="A1284" s="5">
        <v>31915</v>
      </c>
      <c r="B1284">
        <v>287.43</v>
      </c>
      <c r="C1284">
        <v>287.43</v>
      </c>
      <c r="D1284">
        <v>277.01</v>
      </c>
      <c r="E1284">
        <v>282.16000000000003</v>
      </c>
      <c r="F1284">
        <v>171400000</v>
      </c>
      <c r="G1284">
        <v>282.16000000000003</v>
      </c>
    </row>
    <row r="1285" spans="1:7" x14ac:dyDescent="0.25">
      <c r="A1285" s="5">
        <v>31908</v>
      </c>
      <c r="B1285">
        <v>293.37</v>
      </c>
      <c r="C1285">
        <v>298.69</v>
      </c>
      <c r="D1285">
        <v>287.11</v>
      </c>
      <c r="E1285">
        <v>287.43</v>
      </c>
      <c r="F1285">
        <v>172560000</v>
      </c>
      <c r="G1285">
        <v>287.43</v>
      </c>
    </row>
    <row r="1286" spans="1:7" x14ac:dyDescent="0.25">
      <c r="A1286" s="5">
        <v>31901</v>
      </c>
      <c r="B1286">
        <v>288.02</v>
      </c>
      <c r="C1286">
        <v>296.8</v>
      </c>
      <c r="D1286">
        <v>286.39</v>
      </c>
      <c r="E1286">
        <v>293.37</v>
      </c>
      <c r="F1286">
        <v>181320000</v>
      </c>
      <c r="G1286">
        <v>293.37</v>
      </c>
    </row>
    <row r="1287" spans="1:7" x14ac:dyDescent="0.25">
      <c r="A1287" s="5">
        <v>31894</v>
      </c>
      <c r="B1287">
        <v>281.52</v>
      </c>
      <c r="C1287">
        <v>290.08</v>
      </c>
      <c r="D1287">
        <v>276.22000000000003</v>
      </c>
      <c r="E1287">
        <v>288.02999999999997</v>
      </c>
      <c r="F1287">
        <v>183920000</v>
      </c>
      <c r="G1287">
        <v>288.02999999999997</v>
      </c>
    </row>
    <row r="1288" spans="1:7" x14ac:dyDescent="0.25">
      <c r="A1288" s="5">
        <v>31887</v>
      </c>
      <c r="B1288">
        <v>286.91000000000003</v>
      </c>
      <c r="C1288">
        <v>293.45999999999998</v>
      </c>
      <c r="D1288">
        <v>281.18</v>
      </c>
      <c r="E1288">
        <v>281.52</v>
      </c>
      <c r="F1288">
        <v>173640000</v>
      </c>
      <c r="G1288">
        <v>281.52</v>
      </c>
    </row>
    <row r="1289" spans="1:7" x14ac:dyDescent="0.25">
      <c r="A1289" s="5">
        <v>31880</v>
      </c>
      <c r="B1289">
        <v>292.48</v>
      </c>
      <c r="C1289">
        <v>293.36</v>
      </c>
      <c r="D1289">
        <v>275.67</v>
      </c>
      <c r="E1289">
        <v>286.91000000000003</v>
      </c>
      <c r="F1289">
        <v>208825000</v>
      </c>
      <c r="G1289">
        <v>286.91000000000003</v>
      </c>
    </row>
    <row r="1290" spans="1:7" x14ac:dyDescent="0.25">
      <c r="A1290" s="5">
        <v>31873</v>
      </c>
      <c r="B1290">
        <v>300.45999999999998</v>
      </c>
      <c r="C1290">
        <v>303.64999999999998</v>
      </c>
      <c r="D1290">
        <v>290.94</v>
      </c>
      <c r="E1290">
        <v>292.49</v>
      </c>
      <c r="F1290">
        <v>177940000</v>
      </c>
      <c r="G1290">
        <v>292.49</v>
      </c>
    </row>
    <row r="1291" spans="1:7" x14ac:dyDescent="0.25">
      <c r="A1291" s="5">
        <v>31866</v>
      </c>
      <c r="B1291">
        <v>296.10000000000002</v>
      </c>
      <c r="C1291">
        <v>301.3</v>
      </c>
      <c r="D1291">
        <v>286.69</v>
      </c>
      <c r="E1291">
        <v>300.41000000000003</v>
      </c>
      <c r="F1291">
        <v>191840000</v>
      </c>
      <c r="G1291">
        <v>300.41000000000003</v>
      </c>
    </row>
    <row r="1292" spans="1:7" x14ac:dyDescent="0.25">
      <c r="A1292" s="5">
        <v>31859</v>
      </c>
      <c r="B1292">
        <v>298.16000000000003</v>
      </c>
      <c r="C1292">
        <v>302.72000000000003</v>
      </c>
      <c r="D1292">
        <v>296.06</v>
      </c>
      <c r="E1292">
        <v>296.13</v>
      </c>
      <c r="F1292">
        <v>186140000</v>
      </c>
      <c r="G1292">
        <v>296.13</v>
      </c>
    </row>
    <row r="1293" spans="1:7" x14ac:dyDescent="0.25">
      <c r="A1293" s="5">
        <v>31852</v>
      </c>
      <c r="B1293">
        <v>289.88</v>
      </c>
      <c r="C1293">
        <v>298.17</v>
      </c>
      <c r="D1293">
        <v>286.64</v>
      </c>
      <c r="E1293">
        <v>298.17</v>
      </c>
      <c r="F1293">
        <v>182080000</v>
      </c>
      <c r="G1293">
        <v>298.17</v>
      </c>
    </row>
    <row r="1294" spans="1:7" x14ac:dyDescent="0.25">
      <c r="A1294" s="5">
        <v>31845</v>
      </c>
      <c r="B1294">
        <v>290.66000000000003</v>
      </c>
      <c r="C1294">
        <v>292.51</v>
      </c>
      <c r="D1294">
        <v>287.12</v>
      </c>
      <c r="E1294">
        <v>289.89</v>
      </c>
      <c r="F1294">
        <v>170500000</v>
      </c>
      <c r="G1294">
        <v>289.89</v>
      </c>
    </row>
    <row r="1295" spans="1:7" x14ac:dyDescent="0.25">
      <c r="A1295" s="5">
        <v>31838</v>
      </c>
      <c r="B1295">
        <v>284.17</v>
      </c>
      <c r="C1295">
        <v>291.24</v>
      </c>
      <c r="D1295">
        <v>282.3</v>
      </c>
      <c r="E1295">
        <v>290.66000000000003</v>
      </c>
      <c r="F1295">
        <v>178260000</v>
      </c>
      <c r="G1295">
        <v>290.66000000000003</v>
      </c>
    </row>
    <row r="1296" spans="1:7" x14ac:dyDescent="0.25">
      <c r="A1296" s="5">
        <v>31831</v>
      </c>
      <c r="B1296">
        <v>285.48</v>
      </c>
      <c r="C1296">
        <v>285.5</v>
      </c>
      <c r="D1296">
        <v>279.37</v>
      </c>
      <c r="E1296">
        <v>284.2</v>
      </c>
      <c r="F1296">
        <v>162900000</v>
      </c>
      <c r="G1296">
        <v>284.2</v>
      </c>
    </row>
    <row r="1297" spans="1:7" x14ac:dyDescent="0.25">
      <c r="A1297" s="5">
        <v>31825</v>
      </c>
      <c r="B1297">
        <v>279.7</v>
      </c>
      <c r="C1297">
        <v>287.55</v>
      </c>
      <c r="D1297">
        <v>279.7</v>
      </c>
      <c r="E1297">
        <v>285.48</v>
      </c>
      <c r="F1297">
        <v>190825000</v>
      </c>
      <c r="G1297">
        <v>285.48</v>
      </c>
    </row>
    <row r="1298" spans="1:7" x14ac:dyDescent="0.25">
      <c r="A1298" s="5">
        <v>31817</v>
      </c>
      <c r="B1298">
        <v>280.04000000000002</v>
      </c>
      <c r="C1298">
        <v>280.91000000000003</v>
      </c>
      <c r="D1298">
        <v>273.49</v>
      </c>
      <c r="E1298">
        <v>279.7</v>
      </c>
      <c r="F1298">
        <v>173760000</v>
      </c>
      <c r="G1298">
        <v>279.7</v>
      </c>
    </row>
    <row r="1299" spans="1:7" x14ac:dyDescent="0.25">
      <c r="A1299" s="5">
        <v>31810</v>
      </c>
      <c r="B1299">
        <v>274.08</v>
      </c>
      <c r="C1299">
        <v>282.26</v>
      </c>
      <c r="D1299">
        <v>273.16000000000003</v>
      </c>
      <c r="E1299">
        <v>280.04000000000002</v>
      </c>
      <c r="F1299">
        <v>207740000</v>
      </c>
      <c r="G1299">
        <v>280.04000000000002</v>
      </c>
    </row>
    <row r="1300" spans="1:7" x14ac:dyDescent="0.25">
      <c r="A1300" s="5">
        <v>31803</v>
      </c>
      <c r="B1300">
        <v>270.10000000000002</v>
      </c>
      <c r="C1300">
        <v>276.85000000000002</v>
      </c>
      <c r="D1300">
        <v>267.73</v>
      </c>
      <c r="E1300">
        <v>274.08</v>
      </c>
      <c r="F1300">
        <v>179140000</v>
      </c>
      <c r="G1300">
        <v>274.08</v>
      </c>
    </row>
    <row r="1301" spans="1:7" x14ac:dyDescent="0.25">
      <c r="A1301" s="5">
        <v>31796</v>
      </c>
      <c r="B1301">
        <v>266.26</v>
      </c>
      <c r="C1301">
        <v>280.95999999999998</v>
      </c>
      <c r="D1301">
        <v>264</v>
      </c>
      <c r="E1301">
        <v>270.10000000000002</v>
      </c>
      <c r="F1301">
        <v>212580000</v>
      </c>
      <c r="G1301">
        <v>270.10000000000002</v>
      </c>
    </row>
    <row r="1302" spans="1:7" x14ac:dyDescent="0.25">
      <c r="A1302" s="5">
        <v>31789</v>
      </c>
      <c r="B1302">
        <v>258.72000000000003</v>
      </c>
      <c r="C1302">
        <v>267.24</v>
      </c>
      <c r="D1302">
        <v>257.92</v>
      </c>
      <c r="E1302">
        <v>266.27999999999997</v>
      </c>
      <c r="F1302">
        <v>208160000</v>
      </c>
      <c r="G1302">
        <v>266.27999999999997</v>
      </c>
    </row>
    <row r="1303" spans="1:7" x14ac:dyDescent="0.25">
      <c r="A1303" s="5">
        <v>31782</v>
      </c>
      <c r="B1303">
        <v>246.45</v>
      </c>
      <c r="C1303">
        <v>259.2</v>
      </c>
      <c r="D1303">
        <v>246.45</v>
      </c>
      <c r="E1303">
        <v>258.73</v>
      </c>
      <c r="F1303">
        <v>189920000</v>
      </c>
      <c r="G1303">
        <v>258.73</v>
      </c>
    </row>
    <row r="1304" spans="1:7" x14ac:dyDescent="0.25">
      <c r="A1304" s="5">
        <v>31775</v>
      </c>
      <c r="B1304">
        <v>246.9</v>
      </c>
      <c r="C1304">
        <v>246.92</v>
      </c>
      <c r="D1304">
        <v>241.28</v>
      </c>
      <c r="E1304">
        <v>246.45</v>
      </c>
      <c r="F1304">
        <v>114270000</v>
      </c>
      <c r="G1304">
        <v>246.45</v>
      </c>
    </row>
    <row r="1305" spans="1:7" x14ac:dyDescent="0.25">
      <c r="A1305" s="5">
        <v>31768</v>
      </c>
      <c r="B1305">
        <v>249.73</v>
      </c>
      <c r="C1305">
        <v>249.73</v>
      </c>
      <c r="D1305">
        <v>245.85</v>
      </c>
      <c r="E1305">
        <v>246.92</v>
      </c>
      <c r="F1305">
        <v>122642500</v>
      </c>
      <c r="G1305">
        <v>246.92</v>
      </c>
    </row>
    <row r="1306" spans="1:7" x14ac:dyDescent="0.25">
      <c r="A1306" s="5">
        <v>31761</v>
      </c>
      <c r="B1306">
        <v>247.31</v>
      </c>
      <c r="C1306">
        <v>250.04</v>
      </c>
      <c r="D1306">
        <v>244.92</v>
      </c>
      <c r="E1306">
        <v>249.73</v>
      </c>
      <c r="F1306">
        <v>170820000</v>
      </c>
      <c r="G1306">
        <v>249.73</v>
      </c>
    </row>
    <row r="1307" spans="1:7" x14ac:dyDescent="0.25">
      <c r="A1307" s="5">
        <v>31754</v>
      </c>
      <c r="B1307">
        <v>251.16</v>
      </c>
      <c r="C1307">
        <v>252.36</v>
      </c>
      <c r="D1307">
        <v>247.02</v>
      </c>
      <c r="E1307">
        <v>247.35</v>
      </c>
      <c r="F1307">
        <v>138000000</v>
      </c>
      <c r="G1307">
        <v>247.35</v>
      </c>
    </row>
    <row r="1308" spans="1:7" x14ac:dyDescent="0.25">
      <c r="A1308" s="5">
        <v>31747</v>
      </c>
      <c r="B1308">
        <v>249.22</v>
      </c>
      <c r="C1308">
        <v>254.87</v>
      </c>
      <c r="D1308">
        <v>245.72</v>
      </c>
      <c r="E1308">
        <v>251.17</v>
      </c>
      <c r="F1308">
        <v>172200000</v>
      </c>
      <c r="G1308">
        <v>251.17</v>
      </c>
    </row>
    <row r="1309" spans="1:7" x14ac:dyDescent="0.25">
      <c r="A1309" s="5">
        <v>31740</v>
      </c>
      <c r="B1309">
        <v>245.86</v>
      </c>
      <c r="C1309">
        <v>249.22</v>
      </c>
      <c r="D1309">
        <v>245.21</v>
      </c>
      <c r="E1309">
        <v>249.22</v>
      </c>
      <c r="F1309">
        <v>137732500</v>
      </c>
      <c r="G1309">
        <v>249.22</v>
      </c>
    </row>
    <row r="1310" spans="1:7" x14ac:dyDescent="0.25">
      <c r="A1310" s="5">
        <v>31733</v>
      </c>
      <c r="B1310">
        <v>244.5</v>
      </c>
      <c r="C1310">
        <v>246.38</v>
      </c>
      <c r="D1310">
        <v>235.51</v>
      </c>
      <c r="E1310">
        <v>245.86</v>
      </c>
      <c r="F1310">
        <v>172140000</v>
      </c>
      <c r="G1310">
        <v>245.86</v>
      </c>
    </row>
    <row r="1311" spans="1:7" x14ac:dyDescent="0.25">
      <c r="A1311" s="5">
        <v>31726</v>
      </c>
      <c r="B1311">
        <v>245.75</v>
      </c>
      <c r="C1311">
        <v>247.67</v>
      </c>
      <c r="D1311">
        <v>241.96</v>
      </c>
      <c r="E1311">
        <v>244.5</v>
      </c>
      <c r="F1311">
        <v>147400000</v>
      </c>
      <c r="G1311">
        <v>244.5</v>
      </c>
    </row>
    <row r="1312" spans="1:7" x14ac:dyDescent="0.25">
      <c r="A1312" s="5">
        <v>31719</v>
      </c>
      <c r="B1312">
        <v>243.97</v>
      </c>
      <c r="C1312">
        <v>247.05</v>
      </c>
      <c r="D1312">
        <v>243.93</v>
      </c>
      <c r="E1312">
        <v>245.77</v>
      </c>
      <c r="F1312">
        <v>158440000</v>
      </c>
      <c r="G1312">
        <v>245.77</v>
      </c>
    </row>
    <row r="1313" spans="1:7" x14ac:dyDescent="0.25">
      <c r="A1313" s="5">
        <v>31712</v>
      </c>
      <c r="B1313">
        <v>238.22</v>
      </c>
      <c r="C1313">
        <v>244.51</v>
      </c>
      <c r="D1313">
        <v>236.72</v>
      </c>
      <c r="E1313">
        <v>243.98</v>
      </c>
      <c r="F1313">
        <v>156980000</v>
      </c>
      <c r="G1313">
        <v>243.98</v>
      </c>
    </row>
    <row r="1314" spans="1:7" x14ac:dyDescent="0.25">
      <c r="A1314" s="5">
        <v>31705</v>
      </c>
      <c r="B1314">
        <v>238.84</v>
      </c>
      <c r="C1314">
        <v>239.76</v>
      </c>
      <c r="D1314">
        <v>234.78</v>
      </c>
      <c r="E1314">
        <v>238.26</v>
      </c>
      <c r="F1314">
        <v>124280000</v>
      </c>
      <c r="G1314">
        <v>238.26</v>
      </c>
    </row>
    <row r="1315" spans="1:7" x14ac:dyDescent="0.25">
      <c r="A1315" s="5">
        <v>31698</v>
      </c>
      <c r="B1315">
        <v>235.52</v>
      </c>
      <c r="C1315">
        <v>240.18</v>
      </c>
      <c r="D1315">
        <v>234.37</v>
      </c>
      <c r="E1315">
        <v>238.84</v>
      </c>
      <c r="F1315">
        <v>119418000</v>
      </c>
      <c r="G1315">
        <v>238.84</v>
      </c>
    </row>
    <row r="1316" spans="1:7" x14ac:dyDescent="0.25">
      <c r="A1316" s="5">
        <v>31691</v>
      </c>
      <c r="B1316">
        <v>233.71</v>
      </c>
      <c r="C1316">
        <v>238.2</v>
      </c>
      <c r="D1316">
        <v>233.17</v>
      </c>
      <c r="E1316">
        <v>235.48</v>
      </c>
      <c r="F1316">
        <v>122710000</v>
      </c>
      <c r="G1316">
        <v>235.48</v>
      </c>
    </row>
    <row r="1317" spans="1:7" x14ac:dyDescent="0.25">
      <c r="A1317" s="5">
        <v>31684</v>
      </c>
      <c r="B1317">
        <v>232.23</v>
      </c>
      <c r="C1317">
        <v>236.16</v>
      </c>
      <c r="D1317">
        <v>228.08</v>
      </c>
      <c r="E1317">
        <v>233.71</v>
      </c>
      <c r="F1317">
        <v>128060000</v>
      </c>
      <c r="G1317">
        <v>233.71</v>
      </c>
    </row>
    <row r="1318" spans="1:7" x14ac:dyDescent="0.25">
      <c r="A1318" s="5">
        <v>31677</v>
      </c>
      <c r="B1318">
        <v>232.2</v>
      </c>
      <c r="C1318">
        <v>237.06</v>
      </c>
      <c r="D1318">
        <v>230.64</v>
      </c>
      <c r="E1318">
        <v>232.23</v>
      </c>
      <c r="F1318">
        <v>128580000</v>
      </c>
      <c r="G1318">
        <v>232.23</v>
      </c>
    </row>
    <row r="1319" spans="1:7" x14ac:dyDescent="0.25">
      <c r="A1319" s="5">
        <v>31670</v>
      </c>
      <c r="B1319">
        <v>230.67</v>
      </c>
      <c r="C1319">
        <v>233.81</v>
      </c>
      <c r="D1319">
        <v>228.32</v>
      </c>
      <c r="E1319">
        <v>232.21</v>
      </c>
      <c r="F1319">
        <v>142780000</v>
      </c>
      <c r="G1319">
        <v>232.21</v>
      </c>
    </row>
    <row r="1320" spans="1:7" x14ac:dyDescent="0.25">
      <c r="A1320" s="5">
        <v>31663</v>
      </c>
      <c r="B1320">
        <v>250.47</v>
      </c>
      <c r="C1320">
        <v>250.47</v>
      </c>
      <c r="D1320">
        <v>228.74</v>
      </c>
      <c r="E1320">
        <v>230.67</v>
      </c>
      <c r="F1320">
        <v>181840000</v>
      </c>
      <c r="G1320">
        <v>230.67</v>
      </c>
    </row>
    <row r="1321" spans="1:7" x14ac:dyDescent="0.25">
      <c r="A1321" s="5">
        <v>31657</v>
      </c>
      <c r="B1321">
        <v>252.93</v>
      </c>
      <c r="C1321">
        <v>254.13</v>
      </c>
      <c r="D1321">
        <v>247.59</v>
      </c>
      <c r="E1321">
        <v>250.47</v>
      </c>
      <c r="F1321">
        <v>164950000</v>
      </c>
      <c r="G1321">
        <v>250.47</v>
      </c>
    </row>
    <row r="1322" spans="1:7" x14ac:dyDescent="0.25">
      <c r="A1322" s="5">
        <v>31649</v>
      </c>
      <c r="B1322">
        <v>250.19</v>
      </c>
      <c r="C1322">
        <v>254.24</v>
      </c>
      <c r="D1322">
        <v>247.76</v>
      </c>
      <c r="E1322">
        <v>252.93</v>
      </c>
      <c r="F1322">
        <v>130940000</v>
      </c>
      <c r="G1322">
        <v>252.93</v>
      </c>
    </row>
    <row r="1323" spans="1:7" x14ac:dyDescent="0.25">
      <c r="A1323" s="5">
        <v>31642</v>
      </c>
      <c r="B1323">
        <v>247.15</v>
      </c>
      <c r="C1323">
        <v>250.61</v>
      </c>
      <c r="D1323">
        <v>245.48</v>
      </c>
      <c r="E1323">
        <v>250.19</v>
      </c>
      <c r="F1323">
        <v>126400000</v>
      </c>
      <c r="G1323">
        <v>250.19</v>
      </c>
    </row>
    <row r="1324" spans="1:7" x14ac:dyDescent="0.25">
      <c r="A1324" s="5">
        <v>31635</v>
      </c>
      <c r="B1324">
        <v>236.88</v>
      </c>
      <c r="C1324">
        <v>247.15</v>
      </c>
      <c r="D1324">
        <v>236.87</v>
      </c>
      <c r="E1324">
        <v>247.15</v>
      </c>
      <c r="F1324">
        <v>132200000</v>
      </c>
      <c r="G1324">
        <v>247.15</v>
      </c>
    </row>
    <row r="1325" spans="1:7" x14ac:dyDescent="0.25">
      <c r="A1325" s="5">
        <v>31628</v>
      </c>
      <c r="B1325">
        <v>234.91</v>
      </c>
      <c r="C1325">
        <v>238.31</v>
      </c>
      <c r="D1325">
        <v>231.92</v>
      </c>
      <c r="E1325">
        <v>236.88</v>
      </c>
      <c r="F1325">
        <v>127860000</v>
      </c>
      <c r="G1325">
        <v>236.88</v>
      </c>
    </row>
    <row r="1326" spans="1:7" x14ac:dyDescent="0.25">
      <c r="A1326" s="5">
        <v>31621</v>
      </c>
      <c r="B1326">
        <v>240.2</v>
      </c>
      <c r="C1326">
        <v>240.25</v>
      </c>
      <c r="D1326">
        <v>233.07</v>
      </c>
      <c r="E1326">
        <v>234.91</v>
      </c>
      <c r="F1326">
        <v>123600000</v>
      </c>
      <c r="G1326">
        <v>234.91</v>
      </c>
    </row>
    <row r="1327" spans="1:7" x14ac:dyDescent="0.25">
      <c r="A1327" s="5">
        <v>31614</v>
      </c>
      <c r="B1327">
        <v>236.36</v>
      </c>
      <c r="C1327">
        <v>240.36</v>
      </c>
      <c r="D1327">
        <v>235.53</v>
      </c>
      <c r="E1327">
        <v>240.22</v>
      </c>
      <c r="F1327">
        <v>128960000</v>
      </c>
      <c r="G1327">
        <v>240.22</v>
      </c>
    </row>
    <row r="1328" spans="1:7" x14ac:dyDescent="0.25">
      <c r="A1328" s="5">
        <v>31607</v>
      </c>
      <c r="B1328">
        <v>242.22</v>
      </c>
      <c r="C1328">
        <v>242.22</v>
      </c>
      <c r="D1328">
        <v>233.6</v>
      </c>
      <c r="E1328">
        <v>236.36</v>
      </c>
      <c r="F1328">
        <v>150020000</v>
      </c>
      <c r="G1328">
        <v>236.36</v>
      </c>
    </row>
    <row r="1329" spans="1:7" x14ac:dyDescent="0.25">
      <c r="A1329" s="5">
        <v>31600</v>
      </c>
      <c r="B1329">
        <v>251.79</v>
      </c>
      <c r="C1329">
        <v>251.81</v>
      </c>
      <c r="D1329">
        <v>239.07</v>
      </c>
      <c r="E1329">
        <v>242.22</v>
      </c>
      <c r="F1329">
        <v>145180000</v>
      </c>
      <c r="G1329">
        <v>242.22</v>
      </c>
    </row>
    <row r="1330" spans="1:7" x14ac:dyDescent="0.25">
      <c r="A1330" s="5">
        <v>31593</v>
      </c>
      <c r="B1330">
        <v>249.6</v>
      </c>
      <c r="C1330">
        <v>253.2</v>
      </c>
      <c r="D1330">
        <v>249.6</v>
      </c>
      <c r="E1330">
        <v>251.79</v>
      </c>
      <c r="F1330">
        <v>135275000</v>
      </c>
      <c r="G1330">
        <v>251.79</v>
      </c>
    </row>
    <row r="1331" spans="1:7" x14ac:dyDescent="0.25">
      <c r="A1331" s="5">
        <v>31586</v>
      </c>
      <c r="B1331">
        <v>247.58</v>
      </c>
      <c r="C1331">
        <v>250.13</v>
      </c>
      <c r="D1331">
        <v>244.45</v>
      </c>
      <c r="E1331">
        <v>249.6</v>
      </c>
      <c r="F1331">
        <v>136820000</v>
      </c>
      <c r="G1331">
        <v>249.6</v>
      </c>
    </row>
    <row r="1332" spans="1:7" x14ac:dyDescent="0.25">
      <c r="A1332" s="5">
        <v>31579</v>
      </c>
      <c r="B1332">
        <v>245.73</v>
      </c>
      <c r="C1332">
        <v>247.6</v>
      </c>
      <c r="D1332">
        <v>242.57</v>
      </c>
      <c r="E1332">
        <v>247.58</v>
      </c>
      <c r="F1332">
        <v>126060000</v>
      </c>
      <c r="G1332">
        <v>247.58</v>
      </c>
    </row>
    <row r="1333" spans="1:7" x14ac:dyDescent="0.25">
      <c r="A1333" s="5">
        <v>31572</v>
      </c>
      <c r="B1333">
        <v>245.67</v>
      </c>
      <c r="C1333">
        <v>245.91</v>
      </c>
      <c r="D1333">
        <v>238.23</v>
      </c>
      <c r="E1333">
        <v>245.73</v>
      </c>
      <c r="F1333">
        <v>125200000</v>
      </c>
      <c r="G1333">
        <v>245.73</v>
      </c>
    </row>
    <row r="1334" spans="1:7" x14ac:dyDescent="0.25">
      <c r="A1334" s="5">
        <v>31565</v>
      </c>
      <c r="B1334">
        <v>246.04</v>
      </c>
      <c r="C1334">
        <v>247.74</v>
      </c>
      <c r="D1334">
        <v>242.59</v>
      </c>
      <c r="E1334">
        <v>245.67</v>
      </c>
      <c r="F1334">
        <v>114820000</v>
      </c>
      <c r="G1334">
        <v>245.67</v>
      </c>
    </row>
    <row r="1335" spans="1:7" x14ac:dyDescent="0.25">
      <c r="A1335" s="5">
        <v>31559</v>
      </c>
      <c r="B1335">
        <v>241.35</v>
      </c>
      <c r="C1335">
        <v>249.19</v>
      </c>
      <c r="D1335">
        <v>241.35</v>
      </c>
      <c r="E1335">
        <v>247.35</v>
      </c>
      <c r="F1335">
        <v>141925000</v>
      </c>
      <c r="G1335">
        <v>247.35</v>
      </c>
    </row>
    <row r="1336" spans="1:7" x14ac:dyDescent="0.25">
      <c r="A1336" s="5">
        <v>31551</v>
      </c>
      <c r="B1336">
        <v>232.76</v>
      </c>
      <c r="C1336">
        <v>242.16</v>
      </c>
      <c r="D1336">
        <v>232.41</v>
      </c>
      <c r="E1336">
        <v>241.35</v>
      </c>
      <c r="F1336">
        <v>118208000</v>
      </c>
      <c r="G1336">
        <v>241.35</v>
      </c>
    </row>
    <row r="1337" spans="1:7" x14ac:dyDescent="0.25">
      <c r="A1337" s="5">
        <v>31544</v>
      </c>
      <c r="B1337">
        <v>237.85</v>
      </c>
      <c r="C1337">
        <v>238.53</v>
      </c>
      <c r="D1337">
        <v>232.26</v>
      </c>
      <c r="E1337">
        <v>232.76</v>
      </c>
      <c r="F1337">
        <v>124360000</v>
      </c>
      <c r="G1337">
        <v>232.76</v>
      </c>
    </row>
    <row r="1338" spans="1:7" x14ac:dyDescent="0.25">
      <c r="A1338" s="5">
        <v>31537</v>
      </c>
      <c r="B1338">
        <v>234.79</v>
      </c>
      <c r="C1338">
        <v>238.28</v>
      </c>
      <c r="D1338">
        <v>233.98</v>
      </c>
      <c r="E1338">
        <v>237.85</v>
      </c>
      <c r="F1338">
        <v>125380000</v>
      </c>
      <c r="G1338">
        <v>237.85</v>
      </c>
    </row>
    <row r="1339" spans="1:7" x14ac:dyDescent="0.25">
      <c r="A1339" s="5">
        <v>31530</v>
      </c>
      <c r="B1339">
        <v>242.29</v>
      </c>
      <c r="C1339">
        <v>243.57</v>
      </c>
      <c r="D1339">
        <v>234.15</v>
      </c>
      <c r="E1339">
        <v>234.79</v>
      </c>
      <c r="F1339">
        <v>138600000</v>
      </c>
      <c r="G1339">
        <v>234.79</v>
      </c>
    </row>
    <row r="1340" spans="1:7" x14ac:dyDescent="0.25">
      <c r="A1340" s="5">
        <v>31523</v>
      </c>
      <c r="B1340">
        <v>242.38</v>
      </c>
      <c r="C1340">
        <v>245.47</v>
      </c>
      <c r="D1340">
        <v>240.08</v>
      </c>
      <c r="E1340">
        <v>242.29</v>
      </c>
      <c r="F1340">
        <v>147240000</v>
      </c>
      <c r="G1340">
        <v>242.29</v>
      </c>
    </row>
    <row r="1341" spans="1:7" x14ac:dyDescent="0.25">
      <c r="A1341" s="5">
        <v>31516</v>
      </c>
      <c r="B1341">
        <v>235.97</v>
      </c>
      <c r="C1341">
        <v>243.47</v>
      </c>
      <c r="D1341">
        <v>235.43</v>
      </c>
      <c r="E1341">
        <v>242.38</v>
      </c>
      <c r="F1341">
        <v>143840000</v>
      </c>
      <c r="G1341">
        <v>242.38</v>
      </c>
    </row>
    <row r="1342" spans="1:7" x14ac:dyDescent="0.25">
      <c r="A1342" s="5">
        <v>31509</v>
      </c>
      <c r="B1342">
        <v>228.69</v>
      </c>
      <c r="C1342">
        <v>237.85</v>
      </c>
      <c r="D1342">
        <v>226.3</v>
      </c>
      <c r="E1342">
        <v>235.97</v>
      </c>
      <c r="F1342">
        <v>151320000</v>
      </c>
      <c r="G1342">
        <v>235.97</v>
      </c>
    </row>
    <row r="1343" spans="1:7" x14ac:dyDescent="0.25">
      <c r="A1343" s="5">
        <v>31502</v>
      </c>
      <c r="B1343">
        <v>238.97</v>
      </c>
      <c r="C1343">
        <v>239.86</v>
      </c>
      <c r="D1343">
        <v>228.32</v>
      </c>
      <c r="E1343">
        <v>228.69</v>
      </c>
      <c r="F1343">
        <v>148520000</v>
      </c>
      <c r="G1343">
        <v>228.69</v>
      </c>
    </row>
    <row r="1344" spans="1:7" x14ac:dyDescent="0.25">
      <c r="A1344" s="5">
        <v>31495</v>
      </c>
      <c r="B1344">
        <v>233.34</v>
      </c>
      <c r="C1344">
        <v>240.11</v>
      </c>
      <c r="D1344">
        <v>232.92</v>
      </c>
      <c r="E1344">
        <v>238.97</v>
      </c>
      <c r="F1344">
        <v>155675000</v>
      </c>
      <c r="G1344">
        <v>238.97</v>
      </c>
    </row>
    <row r="1345" spans="1:7" x14ac:dyDescent="0.25">
      <c r="A1345" s="5">
        <v>31488</v>
      </c>
      <c r="B1345">
        <v>236.55</v>
      </c>
      <c r="C1345">
        <v>237.35</v>
      </c>
      <c r="D1345">
        <v>233.29</v>
      </c>
      <c r="E1345">
        <v>233.34</v>
      </c>
      <c r="F1345">
        <v>156520000</v>
      </c>
      <c r="G1345">
        <v>233.34</v>
      </c>
    </row>
    <row r="1346" spans="1:7" x14ac:dyDescent="0.25">
      <c r="A1346" s="5">
        <v>31481</v>
      </c>
      <c r="B1346">
        <v>225.57</v>
      </c>
      <c r="C1346">
        <v>236.55</v>
      </c>
      <c r="D1346">
        <v>225.36</v>
      </c>
      <c r="E1346">
        <v>236.55</v>
      </c>
      <c r="F1346">
        <v>176180000</v>
      </c>
      <c r="G1346">
        <v>236.55</v>
      </c>
    </row>
    <row r="1347" spans="1:7" x14ac:dyDescent="0.25">
      <c r="A1347" s="5">
        <v>31474</v>
      </c>
      <c r="B1347">
        <v>226.92</v>
      </c>
      <c r="C1347">
        <v>227.33</v>
      </c>
      <c r="D1347">
        <v>222.18</v>
      </c>
      <c r="E1347">
        <v>225.57</v>
      </c>
      <c r="F1347">
        <v>158800000</v>
      </c>
      <c r="G1347">
        <v>225.57</v>
      </c>
    </row>
    <row r="1348" spans="1:7" x14ac:dyDescent="0.25">
      <c r="A1348" s="5">
        <v>31467</v>
      </c>
      <c r="B1348">
        <v>224.58</v>
      </c>
      <c r="C1348">
        <v>227.92</v>
      </c>
      <c r="D1348">
        <v>222.63</v>
      </c>
      <c r="E1348">
        <v>226.92</v>
      </c>
      <c r="F1348">
        <v>164820000</v>
      </c>
      <c r="G1348">
        <v>226.92</v>
      </c>
    </row>
    <row r="1349" spans="1:7" x14ac:dyDescent="0.25">
      <c r="A1349" s="5">
        <v>31461</v>
      </c>
      <c r="B1349">
        <v>219.76</v>
      </c>
      <c r="C1349">
        <v>224.62</v>
      </c>
      <c r="D1349">
        <v>219.22</v>
      </c>
      <c r="E1349">
        <v>224.62</v>
      </c>
      <c r="F1349">
        <v>157375000</v>
      </c>
      <c r="G1349">
        <v>224.62</v>
      </c>
    </row>
    <row r="1350" spans="1:7" x14ac:dyDescent="0.25">
      <c r="A1350" s="5">
        <v>31453</v>
      </c>
      <c r="B1350">
        <v>214.56</v>
      </c>
      <c r="C1350">
        <v>219.76</v>
      </c>
      <c r="D1350">
        <v>214.47</v>
      </c>
      <c r="E1350">
        <v>219.76</v>
      </c>
      <c r="F1350">
        <v>139940000</v>
      </c>
      <c r="G1350">
        <v>219.76</v>
      </c>
    </row>
    <row r="1351" spans="1:7" x14ac:dyDescent="0.25">
      <c r="A1351" s="5">
        <v>31446</v>
      </c>
      <c r="B1351">
        <v>211.78</v>
      </c>
      <c r="C1351">
        <v>215.27</v>
      </c>
      <c r="D1351">
        <v>210.82</v>
      </c>
      <c r="E1351">
        <v>214.56</v>
      </c>
      <c r="F1351">
        <v>149160000</v>
      </c>
      <c r="G1351">
        <v>214.56</v>
      </c>
    </row>
    <row r="1352" spans="1:7" x14ac:dyDescent="0.25">
      <c r="A1352" s="5">
        <v>31439</v>
      </c>
      <c r="B1352">
        <v>206.43</v>
      </c>
      <c r="C1352">
        <v>212.42</v>
      </c>
      <c r="D1352">
        <v>206.43</v>
      </c>
      <c r="E1352">
        <v>211.78</v>
      </c>
      <c r="F1352">
        <v>146240000</v>
      </c>
      <c r="G1352">
        <v>211.78</v>
      </c>
    </row>
    <row r="1353" spans="1:7" x14ac:dyDescent="0.25">
      <c r="A1353" s="5">
        <v>31432</v>
      </c>
      <c r="B1353">
        <v>208.43</v>
      </c>
      <c r="C1353">
        <v>208.43</v>
      </c>
      <c r="D1353">
        <v>202.6</v>
      </c>
      <c r="E1353">
        <v>206.43</v>
      </c>
      <c r="F1353">
        <v>120808000</v>
      </c>
      <c r="G1353">
        <v>206.43</v>
      </c>
    </row>
    <row r="1354" spans="1:7" x14ac:dyDescent="0.25">
      <c r="A1354" s="5">
        <v>31425</v>
      </c>
      <c r="B1354">
        <v>205.96</v>
      </c>
      <c r="C1354">
        <v>209.4</v>
      </c>
      <c r="D1354">
        <v>205.52</v>
      </c>
      <c r="E1354">
        <v>208.43</v>
      </c>
      <c r="F1354">
        <v>121520000</v>
      </c>
      <c r="G1354">
        <v>208.43</v>
      </c>
    </row>
    <row r="1355" spans="1:7" x14ac:dyDescent="0.25">
      <c r="A1355" s="5">
        <v>31418</v>
      </c>
      <c r="B1355">
        <v>210.88</v>
      </c>
      <c r="C1355">
        <v>214.57</v>
      </c>
      <c r="D1355">
        <v>204.51</v>
      </c>
      <c r="E1355">
        <v>205.96</v>
      </c>
      <c r="F1355">
        <v>146442000</v>
      </c>
      <c r="G1355">
        <v>205.96</v>
      </c>
    </row>
    <row r="1356" spans="1:7" x14ac:dyDescent="0.25">
      <c r="A1356" s="5">
        <v>31411</v>
      </c>
      <c r="B1356">
        <v>209.61</v>
      </c>
      <c r="C1356">
        <v>211.61</v>
      </c>
      <c r="D1356">
        <v>208.93</v>
      </c>
      <c r="E1356">
        <v>210.88</v>
      </c>
      <c r="F1356">
        <v>102157500</v>
      </c>
      <c r="G1356">
        <v>210.88</v>
      </c>
    </row>
    <row r="1357" spans="1:7" x14ac:dyDescent="0.25">
      <c r="A1357" s="5">
        <v>31404</v>
      </c>
      <c r="B1357">
        <v>210.57</v>
      </c>
      <c r="C1357">
        <v>210.94</v>
      </c>
      <c r="D1357">
        <v>206.44</v>
      </c>
      <c r="E1357">
        <v>209.61</v>
      </c>
      <c r="F1357">
        <v>82452500</v>
      </c>
      <c r="G1357">
        <v>209.61</v>
      </c>
    </row>
    <row r="1358" spans="1:7" x14ac:dyDescent="0.25">
      <c r="A1358" s="5">
        <v>31397</v>
      </c>
      <c r="B1358">
        <v>209.94</v>
      </c>
      <c r="C1358">
        <v>213.08</v>
      </c>
      <c r="D1358">
        <v>209.24</v>
      </c>
      <c r="E1358">
        <v>210.94</v>
      </c>
      <c r="F1358">
        <v>153920000</v>
      </c>
      <c r="G1358">
        <v>210.94</v>
      </c>
    </row>
    <row r="1359" spans="1:7" x14ac:dyDescent="0.25">
      <c r="A1359" s="5">
        <v>31390</v>
      </c>
      <c r="B1359">
        <v>202.99</v>
      </c>
      <c r="C1359">
        <v>210.31</v>
      </c>
      <c r="D1359">
        <v>202.98</v>
      </c>
      <c r="E1359">
        <v>209.94</v>
      </c>
      <c r="F1359">
        <v>165480000</v>
      </c>
      <c r="G1359">
        <v>209.94</v>
      </c>
    </row>
    <row r="1360" spans="1:7" x14ac:dyDescent="0.25">
      <c r="A1360" s="5">
        <v>31383</v>
      </c>
      <c r="B1360">
        <v>202.17</v>
      </c>
      <c r="C1360">
        <v>205.86</v>
      </c>
      <c r="D1360">
        <v>200.1</v>
      </c>
      <c r="E1360">
        <v>202.99</v>
      </c>
      <c r="F1360">
        <v>134580000</v>
      </c>
      <c r="G1360">
        <v>202.99</v>
      </c>
    </row>
    <row r="1361" spans="1:7" x14ac:dyDescent="0.25">
      <c r="A1361" s="5">
        <v>31376</v>
      </c>
      <c r="B1361">
        <v>201.52</v>
      </c>
      <c r="C1361">
        <v>203.4</v>
      </c>
      <c r="D1361">
        <v>200.08</v>
      </c>
      <c r="E1361">
        <v>202.17</v>
      </c>
      <c r="F1361">
        <v>110642500</v>
      </c>
      <c r="G1361">
        <v>202.17</v>
      </c>
    </row>
    <row r="1362" spans="1:7" x14ac:dyDescent="0.25">
      <c r="A1362" s="5">
        <v>31369</v>
      </c>
      <c r="B1362">
        <v>198.11</v>
      </c>
      <c r="C1362">
        <v>202.01</v>
      </c>
      <c r="D1362">
        <v>197.51</v>
      </c>
      <c r="E1362">
        <v>201.52</v>
      </c>
      <c r="F1362">
        <v>124740000</v>
      </c>
      <c r="G1362">
        <v>201.52</v>
      </c>
    </row>
    <row r="1363" spans="1:7" x14ac:dyDescent="0.25">
      <c r="A1363" s="5">
        <v>31362</v>
      </c>
      <c r="B1363">
        <v>193.72</v>
      </c>
      <c r="C1363">
        <v>199.58</v>
      </c>
      <c r="D1363">
        <v>193.7</v>
      </c>
      <c r="E1363">
        <v>198.11</v>
      </c>
      <c r="F1363">
        <v>132420000</v>
      </c>
      <c r="G1363">
        <v>198.11</v>
      </c>
    </row>
    <row r="1364" spans="1:7" x14ac:dyDescent="0.25">
      <c r="A1364" s="5">
        <v>31355</v>
      </c>
      <c r="B1364">
        <v>191.45</v>
      </c>
      <c r="C1364">
        <v>193.97</v>
      </c>
      <c r="D1364">
        <v>190.66</v>
      </c>
      <c r="E1364">
        <v>193.72</v>
      </c>
      <c r="F1364">
        <v>117520000</v>
      </c>
      <c r="G1364">
        <v>193.72</v>
      </c>
    </row>
    <row r="1365" spans="1:7" x14ac:dyDescent="0.25">
      <c r="A1365" s="5">
        <v>31348</v>
      </c>
      <c r="B1365">
        <v>187.52</v>
      </c>
      <c r="C1365">
        <v>191.53</v>
      </c>
      <c r="D1365">
        <v>186.93</v>
      </c>
      <c r="E1365">
        <v>191.53</v>
      </c>
      <c r="F1365">
        <v>115956000</v>
      </c>
      <c r="G1365">
        <v>191.53</v>
      </c>
    </row>
    <row r="1366" spans="1:7" x14ac:dyDescent="0.25">
      <c r="A1366" s="5">
        <v>31341</v>
      </c>
      <c r="B1366">
        <v>187.04</v>
      </c>
      <c r="C1366">
        <v>189.45</v>
      </c>
      <c r="D1366">
        <v>186.79</v>
      </c>
      <c r="E1366">
        <v>187.52</v>
      </c>
      <c r="F1366">
        <v>110716000</v>
      </c>
      <c r="G1366">
        <v>187.52</v>
      </c>
    </row>
    <row r="1367" spans="1:7" x14ac:dyDescent="0.25">
      <c r="A1367" s="5">
        <v>31334</v>
      </c>
      <c r="B1367">
        <v>184.31</v>
      </c>
      <c r="C1367">
        <v>188.52</v>
      </c>
      <c r="D1367">
        <v>184.28</v>
      </c>
      <c r="E1367">
        <v>187.04</v>
      </c>
      <c r="F1367">
        <v>110788000</v>
      </c>
      <c r="G1367">
        <v>187.04</v>
      </c>
    </row>
    <row r="1368" spans="1:7" x14ac:dyDescent="0.25">
      <c r="A1368" s="5">
        <v>31327</v>
      </c>
      <c r="B1368">
        <v>183.22</v>
      </c>
      <c r="C1368">
        <v>184.28</v>
      </c>
      <c r="D1368">
        <v>181.16</v>
      </c>
      <c r="E1368">
        <v>184.28</v>
      </c>
      <c r="F1368">
        <v>95828000</v>
      </c>
      <c r="G1368">
        <v>184.28</v>
      </c>
    </row>
    <row r="1369" spans="1:7" x14ac:dyDescent="0.25">
      <c r="A1369" s="5">
        <v>31320</v>
      </c>
      <c r="B1369">
        <v>181.3</v>
      </c>
      <c r="C1369">
        <v>185.94</v>
      </c>
      <c r="D1369">
        <v>181.22</v>
      </c>
      <c r="E1369">
        <v>183.22</v>
      </c>
      <c r="F1369">
        <v>121960000</v>
      </c>
      <c r="G1369">
        <v>183.22</v>
      </c>
    </row>
    <row r="1370" spans="1:7" x14ac:dyDescent="0.25">
      <c r="A1370" s="5">
        <v>31313</v>
      </c>
      <c r="B1370">
        <v>182.05</v>
      </c>
      <c r="C1370">
        <v>184.65</v>
      </c>
      <c r="D1370">
        <v>179.45</v>
      </c>
      <c r="E1370">
        <v>181.29</v>
      </c>
      <c r="F1370">
        <v>100222500</v>
      </c>
      <c r="G1370">
        <v>181.29</v>
      </c>
    </row>
    <row r="1371" spans="1:7" x14ac:dyDescent="0.25">
      <c r="A1371" s="5">
        <v>31306</v>
      </c>
      <c r="B1371">
        <v>182.91</v>
      </c>
      <c r="C1371">
        <v>183.99</v>
      </c>
      <c r="D1371">
        <v>180.78</v>
      </c>
      <c r="E1371">
        <v>182.05</v>
      </c>
      <c r="F1371">
        <v>97200000</v>
      </c>
      <c r="G1371">
        <v>182.05</v>
      </c>
    </row>
    <row r="1372" spans="1:7" x14ac:dyDescent="0.25">
      <c r="A1372" s="5">
        <v>31299</v>
      </c>
      <c r="B1372">
        <v>188.24</v>
      </c>
      <c r="C1372">
        <v>188.8</v>
      </c>
      <c r="D1372">
        <v>182.05</v>
      </c>
      <c r="E1372">
        <v>182.91</v>
      </c>
      <c r="F1372">
        <v>102690000</v>
      </c>
      <c r="G1372">
        <v>182.91</v>
      </c>
    </row>
    <row r="1373" spans="1:7" x14ac:dyDescent="0.25">
      <c r="A1373" s="5">
        <v>31293</v>
      </c>
      <c r="B1373">
        <v>188.63</v>
      </c>
      <c r="C1373">
        <v>188.63</v>
      </c>
      <c r="D1373">
        <v>186.89</v>
      </c>
      <c r="E1373">
        <v>188.24</v>
      </c>
      <c r="F1373">
        <v>89055000</v>
      </c>
      <c r="G1373">
        <v>188.24</v>
      </c>
    </row>
    <row r="1374" spans="1:7" x14ac:dyDescent="0.25">
      <c r="A1374" s="5">
        <v>31285</v>
      </c>
      <c r="B1374">
        <v>187.17</v>
      </c>
      <c r="C1374">
        <v>189.13</v>
      </c>
      <c r="D1374">
        <v>186.46</v>
      </c>
      <c r="E1374">
        <v>188.63</v>
      </c>
      <c r="F1374">
        <v>81648000</v>
      </c>
      <c r="G1374">
        <v>188.63</v>
      </c>
    </row>
    <row r="1375" spans="1:7" x14ac:dyDescent="0.25">
      <c r="A1375" s="5">
        <v>31278</v>
      </c>
      <c r="B1375">
        <v>186.1</v>
      </c>
      <c r="C1375">
        <v>189.23</v>
      </c>
      <c r="D1375">
        <v>186.1</v>
      </c>
      <c r="E1375">
        <v>187.17</v>
      </c>
      <c r="F1375">
        <v>83982000</v>
      </c>
      <c r="G1375">
        <v>187.17</v>
      </c>
    </row>
    <row r="1376" spans="1:7" x14ac:dyDescent="0.25">
      <c r="A1376" s="5">
        <v>31271</v>
      </c>
      <c r="B1376">
        <v>188.32</v>
      </c>
      <c r="C1376">
        <v>188.32</v>
      </c>
      <c r="D1376">
        <v>186.1</v>
      </c>
      <c r="E1376">
        <v>186.1</v>
      </c>
      <c r="F1376">
        <v>83486000</v>
      </c>
      <c r="G1376">
        <v>186.1</v>
      </c>
    </row>
    <row r="1377" spans="1:7" x14ac:dyDescent="0.25">
      <c r="A1377" s="5">
        <v>31264</v>
      </c>
      <c r="B1377">
        <v>191.48</v>
      </c>
      <c r="C1377">
        <v>191.48</v>
      </c>
      <c r="D1377">
        <v>187.39</v>
      </c>
      <c r="E1377">
        <v>188.32</v>
      </c>
      <c r="F1377">
        <v>93652000</v>
      </c>
      <c r="G1377">
        <v>188.32</v>
      </c>
    </row>
    <row r="1378" spans="1:7" x14ac:dyDescent="0.25">
      <c r="A1378" s="5">
        <v>31257</v>
      </c>
      <c r="B1378">
        <v>192.4</v>
      </c>
      <c r="C1378">
        <v>192.42</v>
      </c>
      <c r="D1378">
        <v>189.3</v>
      </c>
      <c r="E1378">
        <v>191.48</v>
      </c>
      <c r="F1378">
        <v>106364000</v>
      </c>
      <c r="G1378">
        <v>191.48</v>
      </c>
    </row>
    <row r="1379" spans="1:7" x14ac:dyDescent="0.25">
      <c r="A1379" s="5">
        <v>31250</v>
      </c>
      <c r="B1379">
        <v>195.13</v>
      </c>
      <c r="C1379">
        <v>195.13</v>
      </c>
      <c r="D1379">
        <v>190.66</v>
      </c>
      <c r="E1379">
        <v>192.4</v>
      </c>
      <c r="F1379">
        <v>119208000</v>
      </c>
      <c r="G1379">
        <v>192.4</v>
      </c>
    </row>
    <row r="1380" spans="1:7" x14ac:dyDescent="0.25">
      <c r="A1380" s="5">
        <v>31243</v>
      </c>
      <c r="B1380">
        <v>193.29</v>
      </c>
      <c r="C1380">
        <v>196.07</v>
      </c>
      <c r="D1380">
        <v>192.55</v>
      </c>
      <c r="E1380">
        <v>195.13</v>
      </c>
      <c r="F1380">
        <v>128500000</v>
      </c>
      <c r="G1380">
        <v>195.13</v>
      </c>
    </row>
    <row r="1381" spans="1:7" x14ac:dyDescent="0.25">
      <c r="A1381" s="5">
        <v>31236</v>
      </c>
      <c r="B1381">
        <v>192.47</v>
      </c>
      <c r="C1381">
        <v>193.32</v>
      </c>
      <c r="D1381">
        <v>190.81</v>
      </c>
      <c r="E1381">
        <v>193.29</v>
      </c>
      <c r="F1381">
        <v>106806000</v>
      </c>
      <c r="G1381">
        <v>193.29</v>
      </c>
    </row>
    <row r="1382" spans="1:7" x14ac:dyDescent="0.25">
      <c r="A1382" s="5">
        <v>31229</v>
      </c>
      <c r="B1382">
        <v>191.85</v>
      </c>
      <c r="C1382">
        <v>192.67</v>
      </c>
      <c r="D1382">
        <v>191.17</v>
      </c>
      <c r="E1382">
        <v>192.52</v>
      </c>
      <c r="F1382">
        <v>92010000</v>
      </c>
      <c r="G1382">
        <v>192.52</v>
      </c>
    </row>
    <row r="1383" spans="1:7" x14ac:dyDescent="0.25">
      <c r="A1383" s="5">
        <v>31222</v>
      </c>
      <c r="B1383">
        <v>188.77</v>
      </c>
      <c r="C1383">
        <v>191.85</v>
      </c>
      <c r="D1383">
        <v>187.84</v>
      </c>
      <c r="E1383">
        <v>191.85</v>
      </c>
      <c r="F1383">
        <v>103554000</v>
      </c>
      <c r="G1383">
        <v>191.85</v>
      </c>
    </row>
    <row r="1384" spans="1:7" x14ac:dyDescent="0.25">
      <c r="A1384" s="5">
        <v>31215</v>
      </c>
      <c r="B1384">
        <v>187.1</v>
      </c>
      <c r="C1384">
        <v>189.66</v>
      </c>
      <c r="D1384">
        <v>185.97</v>
      </c>
      <c r="E1384">
        <v>189.61</v>
      </c>
      <c r="F1384">
        <v>102054000</v>
      </c>
      <c r="G1384">
        <v>189.61</v>
      </c>
    </row>
    <row r="1385" spans="1:7" x14ac:dyDescent="0.25">
      <c r="A1385" s="5">
        <v>31208</v>
      </c>
      <c r="B1385">
        <v>189.68</v>
      </c>
      <c r="C1385">
        <v>189.68</v>
      </c>
      <c r="D1385">
        <v>185.03</v>
      </c>
      <c r="E1385">
        <v>187.1</v>
      </c>
      <c r="F1385">
        <v>97566000</v>
      </c>
      <c r="G1385">
        <v>187.1</v>
      </c>
    </row>
    <row r="1386" spans="1:7" x14ac:dyDescent="0.25">
      <c r="A1386" s="5">
        <v>31201</v>
      </c>
      <c r="B1386">
        <v>189.55</v>
      </c>
      <c r="C1386">
        <v>191.29</v>
      </c>
      <c r="D1386">
        <v>188.88</v>
      </c>
      <c r="E1386">
        <v>189.68</v>
      </c>
      <c r="F1386">
        <v>120226000</v>
      </c>
      <c r="G1386">
        <v>189.68</v>
      </c>
    </row>
    <row r="1387" spans="1:7" x14ac:dyDescent="0.25">
      <c r="A1387" s="5">
        <v>31195</v>
      </c>
      <c r="B1387">
        <v>188.29</v>
      </c>
      <c r="C1387">
        <v>189.59</v>
      </c>
      <c r="D1387">
        <v>187.09</v>
      </c>
      <c r="E1387">
        <v>189.55</v>
      </c>
      <c r="F1387">
        <v>107385000</v>
      </c>
      <c r="G1387">
        <v>189.55</v>
      </c>
    </row>
    <row r="1388" spans="1:7" x14ac:dyDescent="0.25">
      <c r="A1388" s="5">
        <v>31187</v>
      </c>
      <c r="B1388">
        <v>187.42</v>
      </c>
      <c r="C1388">
        <v>189.98</v>
      </c>
      <c r="D1388">
        <v>187.29</v>
      </c>
      <c r="E1388">
        <v>188.29</v>
      </c>
      <c r="F1388">
        <v>112974000</v>
      </c>
      <c r="G1388">
        <v>188.29</v>
      </c>
    </row>
    <row r="1389" spans="1:7" x14ac:dyDescent="0.25">
      <c r="A1389" s="5">
        <v>31180</v>
      </c>
      <c r="B1389">
        <v>184.28</v>
      </c>
      <c r="C1389">
        <v>187.94</v>
      </c>
      <c r="D1389">
        <v>183.65</v>
      </c>
      <c r="E1389">
        <v>187.42</v>
      </c>
      <c r="F1389">
        <v>102662000</v>
      </c>
      <c r="G1389">
        <v>187.42</v>
      </c>
    </row>
    <row r="1390" spans="1:7" x14ac:dyDescent="0.25">
      <c r="A1390" s="5">
        <v>31173</v>
      </c>
      <c r="B1390">
        <v>180.08</v>
      </c>
      <c r="C1390">
        <v>184.74</v>
      </c>
      <c r="D1390">
        <v>179.82</v>
      </c>
      <c r="E1390">
        <v>184.28</v>
      </c>
      <c r="F1390">
        <v>107690000</v>
      </c>
      <c r="G1390">
        <v>184.28</v>
      </c>
    </row>
    <row r="1391" spans="1:7" x14ac:dyDescent="0.25">
      <c r="A1391" s="5">
        <v>31166</v>
      </c>
      <c r="B1391">
        <v>182.18</v>
      </c>
      <c r="C1391">
        <v>182.34</v>
      </c>
      <c r="D1391">
        <v>178.35</v>
      </c>
      <c r="E1391">
        <v>180.08</v>
      </c>
      <c r="F1391">
        <v>100966000</v>
      </c>
      <c r="G1391">
        <v>180.08</v>
      </c>
    </row>
    <row r="1392" spans="1:7" x14ac:dyDescent="0.25">
      <c r="A1392" s="5">
        <v>31159</v>
      </c>
      <c r="B1392">
        <v>181.11</v>
      </c>
      <c r="C1392">
        <v>183.61</v>
      </c>
      <c r="D1392">
        <v>180.25</v>
      </c>
      <c r="E1392">
        <v>182.18</v>
      </c>
      <c r="F1392">
        <v>96720000</v>
      </c>
      <c r="G1392">
        <v>182.18</v>
      </c>
    </row>
    <row r="1393" spans="1:7" x14ac:dyDescent="0.25">
      <c r="A1393" s="5">
        <v>31152</v>
      </c>
      <c r="B1393">
        <v>180.54</v>
      </c>
      <c r="C1393">
        <v>182.56</v>
      </c>
      <c r="D1393">
        <v>180.19</v>
      </c>
      <c r="E1393">
        <v>181.11</v>
      </c>
      <c r="F1393">
        <v>91374000</v>
      </c>
      <c r="G1393">
        <v>181.11</v>
      </c>
    </row>
    <row r="1394" spans="1:7" x14ac:dyDescent="0.25">
      <c r="A1394" s="5">
        <v>31145</v>
      </c>
      <c r="B1394">
        <v>179.03</v>
      </c>
      <c r="C1394">
        <v>180.91</v>
      </c>
      <c r="D1394">
        <v>177.86</v>
      </c>
      <c r="E1394">
        <v>180.54</v>
      </c>
      <c r="F1394">
        <v>93352000</v>
      </c>
      <c r="G1394">
        <v>180.54</v>
      </c>
    </row>
    <row r="1395" spans="1:7" x14ac:dyDescent="0.25">
      <c r="A1395" s="5">
        <v>31138</v>
      </c>
      <c r="B1395">
        <v>180.66</v>
      </c>
      <c r="C1395">
        <v>181.86</v>
      </c>
      <c r="D1395">
        <v>178.29</v>
      </c>
      <c r="E1395">
        <v>179.03</v>
      </c>
      <c r="F1395">
        <v>93497500</v>
      </c>
      <c r="G1395">
        <v>179.03</v>
      </c>
    </row>
    <row r="1396" spans="1:7" x14ac:dyDescent="0.25">
      <c r="A1396" s="5">
        <v>31131</v>
      </c>
      <c r="B1396">
        <v>179.04</v>
      </c>
      <c r="C1396">
        <v>180.66</v>
      </c>
      <c r="D1396">
        <v>177.85</v>
      </c>
      <c r="E1396">
        <v>180.66</v>
      </c>
      <c r="F1396">
        <v>93230000</v>
      </c>
      <c r="G1396">
        <v>180.66</v>
      </c>
    </row>
    <row r="1397" spans="1:7" x14ac:dyDescent="0.25">
      <c r="A1397" s="5">
        <v>31124</v>
      </c>
      <c r="B1397">
        <v>176.53</v>
      </c>
      <c r="C1397">
        <v>180.22</v>
      </c>
      <c r="D1397">
        <v>176.53</v>
      </c>
      <c r="E1397">
        <v>179.04</v>
      </c>
      <c r="F1397">
        <v>103180000</v>
      </c>
      <c r="G1397">
        <v>179.04</v>
      </c>
    </row>
    <row r="1398" spans="1:7" x14ac:dyDescent="0.25">
      <c r="A1398" s="5">
        <v>31117</v>
      </c>
      <c r="B1398">
        <v>179.1</v>
      </c>
      <c r="C1398">
        <v>180.14</v>
      </c>
      <c r="D1398">
        <v>176.53</v>
      </c>
      <c r="E1398">
        <v>176.53</v>
      </c>
      <c r="F1398">
        <v>97450000</v>
      </c>
      <c r="G1398">
        <v>176.53</v>
      </c>
    </row>
    <row r="1399" spans="1:7" x14ac:dyDescent="0.25">
      <c r="A1399" s="5">
        <v>31110</v>
      </c>
      <c r="B1399">
        <v>183.23</v>
      </c>
      <c r="C1399">
        <v>183.41</v>
      </c>
      <c r="D1399">
        <v>179.07</v>
      </c>
      <c r="E1399">
        <v>179.1</v>
      </c>
      <c r="F1399">
        <v>108778000</v>
      </c>
      <c r="G1399">
        <v>179.1</v>
      </c>
    </row>
    <row r="1400" spans="1:7" x14ac:dyDescent="0.25">
      <c r="A1400" s="5">
        <v>31103</v>
      </c>
      <c r="B1400">
        <v>179.36</v>
      </c>
      <c r="C1400">
        <v>183.89</v>
      </c>
      <c r="D1400">
        <v>178.13</v>
      </c>
      <c r="E1400">
        <v>183.23</v>
      </c>
      <c r="F1400">
        <v>110448000</v>
      </c>
      <c r="G1400">
        <v>183.23</v>
      </c>
    </row>
    <row r="1401" spans="1:7" x14ac:dyDescent="0.25">
      <c r="A1401" s="5">
        <v>31097</v>
      </c>
      <c r="B1401">
        <v>181.6</v>
      </c>
      <c r="C1401">
        <v>182.1</v>
      </c>
      <c r="D1401">
        <v>179.23</v>
      </c>
      <c r="E1401">
        <v>179.36</v>
      </c>
      <c r="F1401">
        <v>101570000</v>
      </c>
      <c r="G1401">
        <v>179.36</v>
      </c>
    </row>
    <row r="1402" spans="1:7" x14ac:dyDescent="0.25">
      <c r="A1402" s="5">
        <v>31089</v>
      </c>
      <c r="B1402">
        <v>182.19</v>
      </c>
      <c r="C1402">
        <v>183.95</v>
      </c>
      <c r="D1402">
        <v>179.45</v>
      </c>
      <c r="E1402">
        <v>181.6</v>
      </c>
      <c r="F1402">
        <v>120760000</v>
      </c>
      <c r="G1402">
        <v>181.6</v>
      </c>
    </row>
    <row r="1403" spans="1:7" x14ac:dyDescent="0.25">
      <c r="A1403" s="5">
        <v>31082</v>
      </c>
      <c r="B1403">
        <v>178.63</v>
      </c>
      <c r="C1403">
        <v>182.39</v>
      </c>
      <c r="D1403">
        <v>177.75</v>
      </c>
      <c r="E1403">
        <v>182.19</v>
      </c>
      <c r="F1403">
        <v>133360000</v>
      </c>
      <c r="G1403">
        <v>182.19</v>
      </c>
    </row>
    <row r="1404" spans="1:7" x14ac:dyDescent="0.25">
      <c r="A1404" s="5">
        <v>31075</v>
      </c>
      <c r="B1404">
        <v>177.35</v>
      </c>
      <c r="C1404">
        <v>180.27</v>
      </c>
      <c r="D1404">
        <v>176.56</v>
      </c>
      <c r="E1404">
        <v>178.63</v>
      </c>
      <c r="F1404">
        <v>130400000</v>
      </c>
      <c r="G1404">
        <v>178.63</v>
      </c>
    </row>
    <row r="1405" spans="1:7" x14ac:dyDescent="0.25">
      <c r="A1405" s="5">
        <v>31068</v>
      </c>
      <c r="B1405">
        <v>171.32</v>
      </c>
      <c r="C1405">
        <v>178.16</v>
      </c>
      <c r="D1405">
        <v>171.31</v>
      </c>
      <c r="E1405">
        <v>177.35</v>
      </c>
      <c r="F1405">
        <v>149820000</v>
      </c>
      <c r="G1405">
        <v>177.35</v>
      </c>
    </row>
    <row r="1406" spans="1:7" x14ac:dyDescent="0.25">
      <c r="A1406" s="5">
        <v>31061</v>
      </c>
      <c r="B1406">
        <v>167.91</v>
      </c>
      <c r="C1406">
        <v>171.94</v>
      </c>
      <c r="D1406">
        <v>167.58</v>
      </c>
      <c r="E1406">
        <v>171.32</v>
      </c>
      <c r="F1406">
        <v>126800000</v>
      </c>
      <c r="G1406">
        <v>171.32</v>
      </c>
    </row>
    <row r="1407" spans="1:7" x14ac:dyDescent="0.25">
      <c r="A1407" s="5">
        <v>31054</v>
      </c>
      <c r="B1407">
        <v>163.68</v>
      </c>
      <c r="C1407">
        <v>168.72</v>
      </c>
      <c r="D1407">
        <v>163.68</v>
      </c>
      <c r="E1407">
        <v>167.91</v>
      </c>
      <c r="F1407">
        <v>101966000</v>
      </c>
      <c r="G1407">
        <v>167.91</v>
      </c>
    </row>
    <row r="1408" spans="1:7" x14ac:dyDescent="0.25">
      <c r="A1408" s="5">
        <v>31047</v>
      </c>
      <c r="B1408">
        <v>166.26</v>
      </c>
      <c r="C1408">
        <v>167.34</v>
      </c>
      <c r="D1408">
        <v>163.36000000000001</v>
      </c>
      <c r="E1408">
        <v>163.68</v>
      </c>
      <c r="F1408">
        <v>78610000</v>
      </c>
      <c r="G1408">
        <v>163.68</v>
      </c>
    </row>
    <row r="1409" spans="1:7" x14ac:dyDescent="0.25">
      <c r="A1409" s="5">
        <v>31040</v>
      </c>
      <c r="B1409">
        <v>165.51</v>
      </c>
      <c r="C1409">
        <v>166.93</v>
      </c>
      <c r="D1409">
        <v>165.5</v>
      </c>
      <c r="E1409">
        <v>166.26</v>
      </c>
      <c r="F1409">
        <v>62355000</v>
      </c>
      <c r="G1409">
        <v>166.26</v>
      </c>
    </row>
    <row r="1410" spans="1:7" x14ac:dyDescent="0.25">
      <c r="A1410" s="5">
        <v>31033</v>
      </c>
      <c r="B1410">
        <v>162.69</v>
      </c>
      <c r="C1410">
        <v>169.03</v>
      </c>
      <c r="D1410">
        <v>162.44</v>
      </c>
      <c r="E1410">
        <v>165.51</v>
      </c>
      <c r="F1410">
        <v>118502000</v>
      </c>
      <c r="G1410">
        <v>165.51</v>
      </c>
    </row>
    <row r="1411" spans="1:7" x14ac:dyDescent="0.25">
      <c r="A1411" s="5">
        <v>31026</v>
      </c>
      <c r="B1411">
        <v>162.26</v>
      </c>
      <c r="C1411">
        <v>163.53</v>
      </c>
      <c r="D1411">
        <v>161.54</v>
      </c>
      <c r="E1411">
        <v>162.69</v>
      </c>
      <c r="F1411">
        <v>83200000</v>
      </c>
      <c r="G1411">
        <v>162.69</v>
      </c>
    </row>
    <row r="1412" spans="1:7" x14ac:dyDescent="0.25">
      <c r="A1412" s="5">
        <v>31019</v>
      </c>
      <c r="B1412">
        <v>163.58000000000001</v>
      </c>
      <c r="C1412">
        <v>163.91</v>
      </c>
      <c r="D1412">
        <v>161.76</v>
      </c>
      <c r="E1412">
        <v>162.26</v>
      </c>
      <c r="F1412">
        <v>88562000</v>
      </c>
      <c r="G1412">
        <v>162.26</v>
      </c>
    </row>
    <row r="1413" spans="1:7" x14ac:dyDescent="0.25">
      <c r="A1413" s="5">
        <v>31012</v>
      </c>
      <c r="B1413">
        <v>166.92</v>
      </c>
      <c r="C1413">
        <v>166.92</v>
      </c>
      <c r="D1413">
        <v>162.99</v>
      </c>
      <c r="E1413">
        <v>163.58000000000001</v>
      </c>
      <c r="F1413">
        <v>82346000</v>
      </c>
      <c r="G1413">
        <v>163.58000000000001</v>
      </c>
    </row>
    <row r="1414" spans="1:7" x14ac:dyDescent="0.25">
      <c r="A1414" s="5">
        <v>31005</v>
      </c>
      <c r="B1414">
        <v>164.1</v>
      </c>
      <c r="C1414">
        <v>166.92</v>
      </c>
      <c r="D1414">
        <v>163.03</v>
      </c>
      <c r="E1414">
        <v>166.92</v>
      </c>
      <c r="F1414">
        <v>77125000</v>
      </c>
      <c r="G1414">
        <v>166.92</v>
      </c>
    </row>
    <row r="1415" spans="1:7" x14ac:dyDescent="0.25">
      <c r="A1415" s="5">
        <v>30998</v>
      </c>
      <c r="B1415">
        <v>167.65</v>
      </c>
      <c r="C1415">
        <v>167.65</v>
      </c>
      <c r="D1415">
        <v>164.09</v>
      </c>
      <c r="E1415">
        <v>164.1</v>
      </c>
      <c r="F1415">
        <v>72802000</v>
      </c>
      <c r="G1415">
        <v>164.1</v>
      </c>
    </row>
    <row r="1416" spans="1:7" x14ac:dyDescent="0.25">
      <c r="A1416" s="5">
        <v>30991</v>
      </c>
      <c r="B1416">
        <v>167.42</v>
      </c>
      <c r="C1416">
        <v>170.41</v>
      </c>
      <c r="D1416">
        <v>167.33</v>
      </c>
      <c r="E1416">
        <v>167.6</v>
      </c>
      <c r="F1416">
        <v>93786000</v>
      </c>
      <c r="G1416">
        <v>167.6</v>
      </c>
    </row>
    <row r="1417" spans="1:7" x14ac:dyDescent="0.25">
      <c r="A1417" s="5">
        <v>30984</v>
      </c>
      <c r="B1417">
        <v>165.29</v>
      </c>
      <c r="C1417">
        <v>167.95</v>
      </c>
      <c r="D1417">
        <v>164.67</v>
      </c>
      <c r="E1417">
        <v>167.42</v>
      </c>
      <c r="F1417">
        <v>90880000</v>
      </c>
      <c r="G1417">
        <v>167.42</v>
      </c>
    </row>
    <row r="1418" spans="1:7" x14ac:dyDescent="0.25">
      <c r="A1418" s="5">
        <v>30977</v>
      </c>
      <c r="B1418">
        <v>167.96</v>
      </c>
      <c r="C1418">
        <v>168.36</v>
      </c>
      <c r="D1418">
        <v>164.93</v>
      </c>
      <c r="E1418">
        <v>165.29</v>
      </c>
      <c r="F1418">
        <v>88312000</v>
      </c>
      <c r="G1418">
        <v>165.29</v>
      </c>
    </row>
    <row r="1419" spans="1:7" x14ac:dyDescent="0.25">
      <c r="A1419" s="5">
        <v>30970</v>
      </c>
      <c r="B1419">
        <v>164.18</v>
      </c>
      <c r="C1419">
        <v>169.62</v>
      </c>
      <c r="D1419">
        <v>163.71</v>
      </c>
      <c r="E1419">
        <v>167.96</v>
      </c>
      <c r="F1419">
        <v>121332000</v>
      </c>
      <c r="G1419">
        <v>167.96</v>
      </c>
    </row>
    <row r="1420" spans="1:7" x14ac:dyDescent="0.25">
      <c r="A1420" s="5">
        <v>30963</v>
      </c>
      <c r="B1420">
        <v>162.68</v>
      </c>
      <c r="C1420">
        <v>164.47</v>
      </c>
      <c r="D1420">
        <v>160.02000000000001</v>
      </c>
      <c r="E1420">
        <v>164.18</v>
      </c>
      <c r="F1420">
        <v>79336000</v>
      </c>
      <c r="G1420">
        <v>164.18</v>
      </c>
    </row>
    <row r="1421" spans="1:7" x14ac:dyDescent="0.25">
      <c r="A1421" s="5">
        <v>30956</v>
      </c>
      <c r="B1421">
        <v>166.1</v>
      </c>
      <c r="C1421">
        <v>166.1</v>
      </c>
      <c r="D1421">
        <v>162.19999999999999</v>
      </c>
      <c r="E1421">
        <v>162.68</v>
      </c>
      <c r="F1421">
        <v>83008000</v>
      </c>
      <c r="G1421">
        <v>162.68</v>
      </c>
    </row>
    <row r="1422" spans="1:7" x14ac:dyDescent="0.25">
      <c r="A1422" s="5">
        <v>30949</v>
      </c>
      <c r="B1422">
        <v>165.67</v>
      </c>
      <c r="C1422">
        <v>167.2</v>
      </c>
      <c r="D1422">
        <v>164.45</v>
      </c>
      <c r="E1422">
        <v>166.1</v>
      </c>
      <c r="F1422">
        <v>86132000</v>
      </c>
      <c r="G1422">
        <v>166.1</v>
      </c>
    </row>
    <row r="1423" spans="1:7" x14ac:dyDescent="0.25">
      <c r="A1423" s="5">
        <v>30942</v>
      </c>
      <c r="B1423">
        <v>168.78</v>
      </c>
      <c r="C1423">
        <v>169.37</v>
      </c>
      <c r="D1423">
        <v>165.66</v>
      </c>
      <c r="E1423">
        <v>165.67</v>
      </c>
      <c r="F1423">
        <v>105804000</v>
      </c>
      <c r="G1423">
        <v>165.67</v>
      </c>
    </row>
    <row r="1424" spans="1:7" x14ac:dyDescent="0.25">
      <c r="A1424" s="5">
        <v>30935</v>
      </c>
      <c r="B1424">
        <v>164.37</v>
      </c>
      <c r="C1424">
        <v>169.65</v>
      </c>
      <c r="D1424">
        <v>163.06</v>
      </c>
      <c r="E1424">
        <v>168.78</v>
      </c>
      <c r="F1424">
        <v>100318000</v>
      </c>
      <c r="G1424">
        <v>168.78</v>
      </c>
    </row>
    <row r="1425" spans="1:7" x14ac:dyDescent="0.25">
      <c r="A1425" s="5">
        <v>30929</v>
      </c>
      <c r="B1425">
        <v>166.68</v>
      </c>
      <c r="C1425">
        <v>166.68</v>
      </c>
      <c r="D1425">
        <v>163.84</v>
      </c>
      <c r="E1425">
        <v>164.37</v>
      </c>
      <c r="F1425">
        <v>76847500</v>
      </c>
      <c r="G1425">
        <v>164.37</v>
      </c>
    </row>
    <row r="1426" spans="1:7" x14ac:dyDescent="0.25">
      <c r="A1426" s="5">
        <v>30921</v>
      </c>
      <c r="B1426">
        <v>167.51</v>
      </c>
      <c r="C1426">
        <v>168.21</v>
      </c>
      <c r="D1426">
        <v>165.78</v>
      </c>
      <c r="E1426">
        <v>166.68</v>
      </c>
      <c r="F1426">
        <v>69436000</v>
      </c>
      <c r="G1426">
        <v>166.68</v>
      </c>
    </row>
    <row r="1427" spans="1:7" x14ac:dyDescent="0.25">
      <c r="A1427" s="5">
        <v>30914</v>
      </c>
      <c r="B1427">
        <v>164.14</v>
      </c>
      <c r="C1427">
        <v>168.8</v>
      </c>
      <c r="D1427">
        <v>163.76</v>
      </c>
      <c r="E1427">
        <v>167.51</v>
      </c>
      <c r="F1427">
        <v>94464000</v>
      </c>
      <c r="G1427">
        <v>167.51</v>
      </c>
    </row>
    <row r="1428" spans="1:7" x14ac:dyDescent="0.25">
      <c r="A1428" s="5">
        <v>30907</v>
      </c>
      <c r="B1428">
        <v>164.84</v>
      </c>
      <c r="C1428">
        <v>166.09</v>
      </c>
      <c r="D1428">
        <v>162.75</v>
      </c>
      <c r="E1428">
        <v>164.14</v>
      </c>
      <c r="F1428">
        <v>83284000</v>
      </c>
      <c r="G1428">
        <v>164.14</v>
      </c>
    </row>
    <row r="1429" spans="1:7" x14ac:dyDescent="0.25">
      <c r="A1429" s="5">
        <v>30900</v>
      </c>
      <c r="B1429">
        <v>162.35</v>
      </c>
      <c r="C1429">
        <v>168.59</v>
      </c>
      <c r="D1429">
        <v>160.81</v>
      </c>
      <c r="E1429">
        <v>165.42</v>
      </c>
      <c r="F1429">
        <v>150840000</v>
      </c>
      <c r="G1429">
        <v>165.42</v>
      </c>
    </row>
    <row r="1430" spans="1:7" x14ac:dyDescent="0.25">
      <c r="A1430" s="5">
        <v>30893</v>
      </c>
      <c r="B1430">
        <v>151.19</v>
      </c>
      <c r="C1430">
        <v>162.56</v>
      </c>
      <c r="D1430">
        <v>149.65</v>
      </c>
      <c r="E1430">
        <v>162.35</v>
      </c>
      <c r="F1430">
        <v>139208000</v>
      </c>
      <c r="G1430">
        <v>162.35</v>
      </c>
    </row>
    <row r="1431" spans="1:7" x14ac:dyDescent="0.25">
      <c r="A1431" s="5">
        <v>30886</v>
      </c>
      <c r="B1431">
        <v>149.55000000000001</v>
      </c>
      <c r="C1431">
        <v>151.38</v>
      </c>
      <c r="D1431">
        <v>147.26</v>
      </c>
      <c r="E1431">
        <v>151.19</v>
      </c>
      <c r="F1431">
        <v>86928000</v>
      </c>
      <c r="G1431">
        <v>151.19</v>
      </c>
    </row>
    <row r="1432" spans="1:7" x14ac:dyDescent="0.25">
      <c r="A1432" s="5">
        <v>30879</v>
      </c>
      <c r="B1432">
        <v>150.88</v>
      </c>
      <c r="C1432">
        <v>152.6</v>
      </c>
      <c r="D1432">
        <v>149.07</v>
      </c>
      <c r="E1432">
        <v>149.55000000000001</v>
      </c>
      <c r="F1432">
        <v>79454000</v>
      </c>
      <c r="G1432">
        <v>149.55000000000001</v>
      </c>
    </row>
    <row r="1433" spans="1:7" x14ac:dyDescent="0.25">
      <c r="A1433" s="5">
        <v>30872</v>
      </c>
      <c r="B1433">
        <v>152.24</v>
      </c>
      <c r="C1433">
        <v>153.53</v>
      </c>
      <c r="D1433">
        <v>149.63</v>
      </c>
      <c r="E1433">
        <v>150.88</v>
      </c>
      <c r="F1433">
        <v>79982000</v>
      </c>
      <c r="G1433">
        <v>150.88</v>
      </c>
    </row>
    <row r="1434" spans="1:7" x14ac:dyDescent="0.25">
      <c r="A1434" s="5">
        <v>30865</v>
      </c>
      <c r="B1434">
        <v>153.16</v>
      </c>
      <c r="C1434">
        <v>153.87</v>
      </c>
      <c r="D1434">
        <v>151.63</v>
      </c>
      <c r="E1434">
        <v>152.24</v>
      </c>
      <c r="F1434">
        <v>67785000</v>
      </c>
      <c r="G1434">
        <v>152.24</v>
      </c>
    </row>
    <row r="1435" spans="1:7" x14ac:dyDescent="0.25">
      <c r="A1435" s="5">
        <v>30858</v>
      </c>
      <c r="B1435">
        <v>154.46</v>
      </c>
      <c r="C1435">
        <v>154.66999999999999</v>
      </c>
      <c r="D1435">
        <v>151.30000000000001</v>
      </c>
      <c r="E1435">
        <v>153.18</v>
      </c>
      <c r="F1435">
        <v>80456000</v>
      </c>
      <c r="G1435">
        <v>153.18</v>
      </c>
    </row>
    <row r="1436" spans="1:7" x14ac:dyDescent="0.25">
      <c r="A1436" s="5">
        <v>30851</v>
      </c>
      <c r="B1436">
        <v>149.03</v>
      </c>
      <c r="C1436">
        <v>155.63999999999999</v>
      </c>
      <c r="D1436">
        <v>148.53</v>
      </c>
      <c r="E1436">
        <v>154.46</v>
      </c>
      <c r="F1436">
        <v>102754000</v>
      </c>
      <c r="G1436">
        <v>154.46</v>
      </c>
    </row>
    <row r="1437" spans="1:7" x14ac:dyDescent="0.25">
      <c r="A1437" s="5">
        <v>30844</v>
      </c>
      <c r="B1437">
        <v>155.16999999999999</v>
      </c>
      <c r="C1437">
        <v>155.16999999999999</v>
      </c>
      <c r="D1437">
        <v>149.02000000000001</v>
      </c>
      <c r="E1437">
        <v>149.03</v>
      </c>
      <c r="F1437">
        <v>77160000</v>
      </c>
      <c r="G1437">
        <v>149.03</v>
      </c>
    </row>
    <row r="1438" spans="1:7" x14ac:dyDescent="0.25">
      <c r="A1438" s="5">
        <v>30837</v>
      </c>
      <c r="B1438">
        <v>153.24</v>
      </c>
      <c r="C1438">
        <v>155.4</v>
      </c>
      <c r="D1438">
        <v>153.24</v>
      </c>
      <c r="E1438">
        <v>155.16999999999999</v>
      </c>
      <c r="F1438">
        <v>82996000</v>
      </c>
      <c r="G1438">
        <v>155.16999999999999</v>
      </c>
    </row>
    <row r="1439" spans="1:7" x14ac:dyDescent="0.25">
      <c r="A1439" s="5">
        <v>30831</v>
      </c>
      <c r="B1439">
        <v>151.62</v>
      </c>
      <c r="C1439">
        <v>153.24</v>
      </c>
      <c r="D1439">
        <v>148.68</v>
      </c>
      <c r="E1439">
        <v>153.24</v>
      </c>
      <c r="F1439">
        <v>88162500</v>
      </c>
      <c r="G1439">
        <v>153.24</v>
      </c>
    </row>
    <row r="1440" spans="1:7" x14ac:dyDescent="0.25">
      <c r="A1440" s="5">
        <v>30823</v>
      </c>
      <c r="B1440">
        <v>155.78</v>
      </c>
      <c r="C1440">
        <v>156.11000000000001</v>
      </c>
      <c r="D1440">
        <v>150.80000000000001</v>
      </c>
      <c r="E1440">
        <v>151.62</v>
      </c>
      <c r="F1440">
        <v>84266000</v>
      </c>
      <c r="G1440">
        <v>151.62</v>
      </c>
    </row>
    <row r="1441" spans="1:7" x14ac:dyDescent="0.25">
      <c r="A1441" s="5">
        <v>30816</v>
      </c>
      <c r="B1441">
        <v>158.49</v>
      </c>
      <c r="C1441">
        <v>158.49</v>
      </c>
      <c r="D1441">
        <v>155.24</v>
      </c>
      <c r="E1441">
        <v>155.78</v>
      </c>
      <c r="F1441">
        <v>82788000</v>
      </c>
      <c r="G1441">
        <v>155.78</v>
      </c>
    </row>
    <row r="1442" spans="1:7" x14ac:dyDescent="0.25">
      <c r="A1442" s="5">
        <v>30809</v>
      </c>
      <c r="B1442">
        <v>159.11000000000001</v>
      </c>
      <c r="C1442">
        <v>161.31</v>
      </c>
      <c r="D1442">
        <v>157.41999999999999</v>
      </c>
      <c r="E1442">
        <v>158.49</v>
      </c>
      <c r="F1442">
        <v>87910000</v>
      </c>
      <c r="G1442">
        <v>158.49</v>
      </c>
    </row>
    <row r="1443" spans="1:7" x14ac:dyDescent="0.25">
      <c r="A1443" s="5">
        <v>30802</v>
      </c>
      <c r="B1443">
        <v>159.88999999999999</v>
      </c>
      <c r="C1443">
        <v>162.11000000000001</v>
      </c>
      <c r="D1443">
        <v>158.93</v>
      </c>
      <c r="E1443">
        <v>159.11000000000001</v>
      </c>
      <c r="F1443">
        <v>96172000</v>
      </c>
      <c r="G1443">
        <v>159.11000000000001</v>
      </c>
    </row>
    <row r="1444" spans="1:7" x14ac:dyDescent="0.25">
      <c r="A1444" s="5">
        <v>30795</v>
      </c>
      <c r="B1444">
        <v>158.02000000000001</v>
      </c>
      <c r="C1444">
        <v>160.69</v>
      </c>
      <c r="D1444">
        <v>156.61000000000001</v>
      </c>
      <c r="E1444">
        <v>159.88999999999999</v>
      </c>
      <c r="F1444">
        <v>86038000</v>
      </c>
      <c r="G1444">
        <v>159.88999999999999</v>
      </c>
    </row>
    <row r="1445" spans="1:7" x14ac:dyDescent="0.25">
      <c r="A1445" s="5">
        <v>30788</v>
      </c>
      <c r="B1445">
        <v>157.31</v>
      </c>
      <c r="C1445">
        <v>159.59</v>
      </c>
      <c r="D1445">
        <v>156.49</v>
      </c>
      <c r="E1445">
        <v>158.02000000000001</v>
      </c>
      <c r="F1445">
        <v>83230000</v>
      </c>
      <c r="G1445">
        <v>158.02000000000001</v>
      </c>
    </row>
    <row r="1446" spans="1:7" x14ac:dyDescent="0.25">
      <c r="A1446" s="5">
        <v>30781</v>
      </c>
      <c r="B1446">
        <v>155.47999999999999</v>
      </c>
      <c r="C1446">
        <v>158.87</v>
      </c>
      <c r="D1446">
        <v>154.16999999999999</v>
      </c>
      <c r="E1446">
        <v>157.31</v>
      </c>
      <c r="F1446">
        <v>85358000</v>
      </c>
      <c r="G1446">
        <v>157.31</v>
      </c>
    </row>
    <row r="1447" spans="1:7" x14ac:dyDescent="0.25">
      <c r="A1447" s="5">
        <v>30774</v>
      </c>
      <c r="B1447">
        <v>159.18</v>
      </c>
      <c r="C1447">
        <v>159.87</v>
      </c>
      <c r="D1447">
        <v>154.12</v>
      </c>
      <c r="E1447">
        <v>155.47999999999999</v>
      </c>
      <c r="F1447">
        <v>90978000</v>
      </c>
      <c r="G1447">
        <v>155.47999999999999</v>
      </c>
    </row>
    <row r="1448" spans="1:7" x14ac:dyDescent="0.25">
      <c r="A1448" s="5">
        <v>30767</v>
      </c>
      <c r="B1448">
        <v>156.86000000000001</v>
      </c>
      <c r="C1448">
        <v>160.46</v>
      </c>
      <c r="D1448">
        <v>156.31</v>
      </c>
      <c r="E1448">
        <v>159.18</v>
      </c>
      <c r="F1448">
        <v>80134000</v>
      </c>
      <c r="G1448">
        <v>159.18</v>
      </c>
    </row>
    <row r="1449" spans="1:7" x14ac:dyDescent="0.25">
      <c r="A1449" s="5">
        <v>30760</v>
      </c>
      <c r="B1449">
        <v>159.27000000000001</v>
      </c>
      <c r="C1449">
        <v>159.27000000000001</v>
      </c>
      <c r="D1449">
        <v>156.02000000000001</v>
      </c>
      <c r="E1449">
        <v>156.86000000000001</v>
      </c>
      <c r="F1449">
        <v>80958000</v>
      </c>
      <c r="G1449">
        <v>156.86000000000001</v>
      </c>
    </row>
    <row r="1450" spans="1:7" x14ac:dyDescent="0.25">
      <c r="A1450" s="5">
        <v>30753</v>
      </c>
      <c r="B1450">
        <v>154.35</v>
      </c>
      <c r="C1450">
        <v>160.44999999999999</v>
      </c>
      <c r="D1450">
        <v>154.35</v>
      </c>
      <c r="E1450">
        <v>159.27000000000001</v>
      </c>
      <c r="F1450">
        <v>92368000</v>
      </c>
      <c r="G1450">
        <v>159.27000000000001</v>
      </c>
    </row>
    <row r="1451" spans="1:7" x14ac:dyDescent="0.25">
      <c r="A1451" s="5">
        <v>30746</v>
      </c>
      <c r="B1451">
        <v>159.24</v>
      </c>
      <c r="C1451">
        <v>159.24</v>
      </c>
      <c r="D1451">
        <v>153.77000000000001</v>
      </c>
      <c r="E1451">
        <v>154.35</v>
      </c>
      <c r="F1451">
        <v>79468000</v>
      </c>
      <c r="G1451">
        <v>154.35</v>
      </c>
    </row>
    <row r="1452" spans="1:7" x14ac:dyDescent="0.25">
      <c r="A1452" s="5">
        <v>30739</v>
      </c>
      <c r="B1452">
        <v>157.51</v>
      </c>
      <c r="C1452">
        <v>159.9</v>
      </c>
      <c r="D1452">
        <v>156.41</v>
      </c>
      <c r="E1452">
        <v>159.24</v>
      </c>
      <c r="F1452">
        <v>94648000</v>
      </c>
      <c r="G1452">
        <v>159.24</v>
      </c>
    </row>
    <row r="1453" spans="1:7" x14ac:dyDescent="0.25">
      <c r="A1453" s="5">
        <v>30733</v>
      </c>
      <c r="B1453">
        <v>155.71</v>
      </c>
      <c r="C1453">
        <v>157.51</v>
      </c>
      <c r="D1453">
        <v>152.13</v>
      </c>
      <c r="E1453">
        <v>157.51</v>
      </c>
      <c r="F1453">
        <v>91202500</v>
      </c>
      <c r="G1453">
        <v>157.51</v>
      </c>
    </row>
    <row r="1454" spans="1:7" x14ac:dyDescent="0.25">
      <c r="A1454" s="5">
        <v>30725</v>
      </c>
      <c r="B1454">
        <v>156.30000000000001</v>
      </c>
      <c r="C1454">
        <v>157.47999999999999</v>
      </c>
      <c r="D1454">
        <v>154.13</v>
      </c>
      <c r="E1454">
        <v>155.74</v>
      </c>
      <c r="F1454">
        <v>84696000</v>
      </c>
      <c r="G1454">
        <v>155.74</v>
      </c>
    </row>
    <row r="1455" spans="1:7" x14ac:dyDescent="0.25">
      <c r="A1455" s="5">
        <v>30718</v>
      </c>
      <c r="B1455">
        <v>160.91</v>
      </c>
      <c r="C1455">
        <v>160.91</v>
      </c>
      <c r="D1455">
        <v>154.30000000000001</v>
      </c>
      <c r="E1455">
        <v>156.30000000000001</v>
      </c>
      <c r="F1455">
        <v>106806000</v>
      </c>
      <c r="G1455">
        <v>156.30000000000001</v>
      </c>
    </row>
    <row r="1456" spans="1:7" x14ac:dyDescent="0.25">
      <c r="A1456" s="5">
        <v>30711</v>
      </c>
      <c r="B1456">
        <v>164.4</v>
      </c>
      <c r="C1456">
        <v>164.67</v>
      </c>
      <c r="D1456">
        <v>160.82</v>
      </c>
      <c r="E1456">
        <v>160.91</v>
      </c>
      <c r="F1456">
        <v>108832000</v>
      </c>
      <c r="G1456">
        <v>160.91</v>
      </c>
    </row>
    <row r="1457" spans="1:7" x14ac:dyDescent="0.25">
      <c r="A1457" s="5">
        <v>30704</v>
      </c>
      <c r="B1457">
        <v>166.21</v>
      </c>
      <c r="C1457">
        <v>167.12</v>
      </c>
      <c r="D1457">
        <v>163.07</v>
      </c>
      <c r="E1457">
        <v>163.94</v>
      </c>
      <c r="F1457">
        <v>102670000</v>
      </c>
      <c r="G1457">
        <v>163.94</v>
      </c>
    </row>
    <row r="1458" spans="1:7" x14ac:dyDescent="0.25">
      <c r="A1458" s="5">
        <v>30697</v>
      </c>
      <c r="B1458">
        <v>167.02</v>
      </c>
      <c r="C1458">
        <v>168.34</v>
      </c>
      <c r="D1458">
        <v>165.87</v>
      </c>
      <c r="E1458">
        <v>166.21</v>
      </c>
      <c r="F1458">
        <v>97450000</v>
      </c>
      <c r="G1458">
        <v>166.21</v>
      </c>
    </row>
    <row r="1459" spans="1:7" x14ac:dyDescent="0.25">
      <c r="A1459" s="5">
        <v>30690</v>
      </c>
      <c r="B1459">
        <v>169.18</v>
      </c>
      <c r="C1459">
        <v>169.54</v>
      </c>
      <c r="D1459">
        <v>166.64</v>
      </c>
      <c r="E1459">
        <v>167.02</v>
      </c>
      <c r="F1459">
        <v>103306000</v>
      </c>
      <c r="G1459">
        <v>167.02</v>
      </c>
    </row>
    <row r="1460" spans="1:7" x14ac:dyDescent="0.25">
      <c r="A1460" s="5">
        <v>30684</v>
      </c>
      <c r="B1460">
        <v>164.93</v>
      </c>
      <c r="C1460">
        <v>169.31</v>
      </c>
      <c r="D1460">
        <v>163.98</v>
      </c>
      <c r="E1460">
        <v>169.28</v>
      </c>
      <c r="F1460">
        <v>120475000</v>
      </c>
      <c r="G1460">
        <v>169.28</v>
      </c>
    </row>
    <row r="1461" spans="1:7" x14ac:dyDescent="0.25">
      <c r="A1461" s="5">
        <v>30677</v>
      </c>
      <c r="B1461">
        <v>163.22</v>
      </c>
      <c r="C1461">
        <v>165.84</v>
      </c>
      <c r="D1461">
        <v>163.22</v>
      </c>
      <c r="E1461">
        <v>164.93</v>
      </c>
      <c r="F1461">
        <v>76965000</v>
      </c>
      <c r="G1461">
        <v>164.93</v>
      </c>
    </row>
    <row r="1462" spans="1:7" x14ac:dyDescent="0.25">
      <c r="A1462" s="5">
        <v>30669</v>
      </c>
      <c r="B1462">
        <v>162.34</v>
      </c>
      <c r="C1462">
        <v>164.18</v>
      </c>
      <c r="D1462">
        <v>161.63999999999999</v>
      </c>
      <c r="E1462">
        <v>163.22</v>
      </c>
      <c r="F1462">
        <v>87194000</v>
      </c>
      <c r="G1462">
        <v>163.22</v>
      </c>
    </row>
    <row r="1463" spans="1:7" x14ac:dyDescent="0.25">
      <c r="A1463" s="5">
        <v>30662</v>
      </c>
      <c r="B1463">
        <v>165.13</v>
      </c>
      <c r="C1463">
        <v>165.63</v>
      </c>
      <c r="D1463">
        <v>161.58000000000001</v>
      </c>
      <c r="E1463">
        <v>162.38999999999999</v>
      </c>
      <c r="F1463">
        <v>85120000</v>
      </c>
      <c r="G1463">
        <v>162.38999999999999</v>
      </c>
    </row>
    <row r="1464" spans="1:7" x14ac:dyDescent="0.25">
      <c r="A1464" s="5">
        <v>30655</v>
      </c>
      <c r="B1464">
        <v>165.44</v>
      </c>
      <c r="C1464">
        <v>166.34</v>
      </c>
      <c r="D1464">
        <v>164.5</v>
      </c>
      <c r="E1464">
        <v>165.08</v>
      </c>
      <c r="F1464">
        <v>95700000</v>
      </c>
      <c r="G1464">
        <v>165.08</v>
      </c>
    </row>
    <row r="1465" spans="1:7" x14ac:dyDescent="0.25">
      <c r="A1465" s="5">
        <v>30648</v>
      </c>
      <c r="B1465">
        <v>167.2</v>
      </c>
      <c r="C1465">
        <v>168.07</v>
      </c>
      <c r="D1465">
        <v>165.25</v>
      </c>
      <c r="E1465">
        <v>165.44</v>
      </c>
      <c r="F1465">
        <v>99946000</v>
      </c>
      <c r="G1465">
        <v>165.44</v>
      </c>
    </row>
    <row r="1466" spans="1:7" x14ac:dyDescent="0.25">
      <c r="A1466" s="5">
        <v>30641</v>
      </c>
      <c r="B1466">
        <v>165.04</v>
      </c>
      <c r="C1466">
        <v>167.26</v>
      </c>
      <c r="D1466">
        <v>165</v>
      </c>
      <c r="E1466">
        <v>167.18</v>
      </c>
      <c r="F1466">
        <v>95297500</v>
      </c>
      <c r="G1466">
        <v>167.18</v>
      </c>
    </row>
    <row r="1467" spans="1:7" x14ac:dyDescent="0.25">
      <c r="A1467" s="5">
        <v>30634</v>
      </c>
      <c r="B1467">
        <v>166.29</v>
      </c>
      <c r="C1467">
        <v>167.58</v>
      </c>
      <c r="D1467">
        <v>164.5</v>
      </c>
      <c r="E1467">
        <v>165.09</v>
      </c>
      <c r="F1467">
        <v>83424000</v>
      </c>
      <c r="G1467">
        <v>165.09</v>
      </c>
    </row>
    <row r="1468" spans="1:7" x14ac:dyDescent="0.25">
      <c r="A1468" s="5">
        <v>30627</v>
      </c>
      <c r="B1468">
        <v>162.41999999999999</v>
      </c>
      <c r="C1468">
        <v>166.3</v>
      </c>
      <c r="D1468">
        <v>161.63</v>
      </c>
      <c r="E1468">
        <v>166.29</v>
      </c>
      <c r="F1468">
        <v>76080000</v>
      </c>
      <c r="G1468">
        <v>166.29</v>
      </c>
    </row>
    <row r="1469" spans="1:7" x14ac:dyDescent="0.25">
      <c r="A1469" s="5">
        <v>30620</v>
      </c>
      <c r="B1469">
        <v>163.37</v>
      </c>
      <c r="C1469">
        <v>165.21</v>
      </c>
      <c r="D1469">
        <v>162.22</v>
      </c>
      <c r="E1469">
        <v>162.44</v>
      </c>
      <c r="F1469">
        <v>83312000</v>
      </c>
      <c r="G1469">
        <v>162.44</v>
      </c>
    </row>
    <row r="1470" spans="1:7" x14ac:dyDescent="0.25">
      <c r="A1470" s="5">
        <v>30613</v>
      </c>
      <c r="B1470">
        <v>165.85</v>
      </c>
      <c r="C1470">
        <v>167.15</v>
      </c>
      <c r="D1470">
        <v>163.22999999999999</v>
      </c>
      <c r="E1470">
        <v>163.37</v>
      </c>
      <c r="F1470">
        <v>81654000</v>
      </c>
      <c r="G1470">
        <v>163.37</v>
      </c>
    </row>
    <row r="1471" spans="1:7" x14ac:dyDescent="0.25">
      <c r="A1471" s="5">
        <v>30606</v>
      </c>
      <c r="B1471">
        <v>169.85</v>
      </c>
      <c r="C1471">
        <v>171.18</v>
      </c>
      <c r="D1471">
        <v>164.98</v>
      </c>
      <c r="E1471">
        <v>165.95</v>
      </c>
      <c r="F1471">
        <v>90848000</v>
      </c>
      <c r="G1471">
        <v>165.95</v>
      </c>
    </row>
    <row r="1472" spans="1:7" x14ac:dyDescent="0.25">
      <c r="A1472" s="5">
        <v>30599</v>
      </c>
      <c r="B1472">
        <v>170.77</v>
      </c>
      <c r="C1472">
        <v>172.65</v>
      </c>
      <c r="D1472">
        <v>169.13</v>
      </c>
      <c r="E1472">
        <v>169.86</v>
      </c>
      <c r="F1472">
        <v>72308000</v>
      </c>
      <c r="G1472">
        <v>169.86</v>
      </c>
    </row>
    <row r="1473" spans="1:7" x14ac:dyDescent="0.25">
      <c r="A1473" s="5">
        <v>30592</v>
      </c>
      <c r="B1473">
        <v>165.99</v>
      </c>
      <c r="C1473">
        <v>171.1</v>
      </c>
      <c r="D1473">
        <v>164.93</v>
      </c>
      <c r="E1473">
        <v>170.8</v>
      </c>
      <c r="F1473">
        <v>98222000</v>
      </c>
      <c r="G1473">
        <v>170.8</v>
      </c>
    </row>
    <row r="1474" spans="1:7" x14ac:dyDescent="0.25">
      <c r="A1474" s="5">
        <v>30585</v>
      </c>
      <c r="B1474">
        <v>169.53</v>
      </c>
      <c r="C1474">
        <v>170.41</v>
      </c>
      <c r="D1474">
        <v>165.63</v>
      </c>
      <c r="E1474">
        <v>166.07</v>
      </c>
      <c r="F1474">
        <v>77582000</v>
      </c>
      <c r="G1474">
        <v>166.07</v>
      </c>
    </row>
    <row r="1475" spans="1:7" x14ac:dyDescent="0.25">
      <c r="A1475" s="5">
        <v>30578</v>
      </c>
      <c r="B1475">
        <v>166.27</v>
      </c>
      <c r="C1475">
        <v>170.17</v>
      </c>
      <c r="D1475">
        <v>166.26</v>
      </c>
      <c r="E1475">
        <v>169.51</v>
      </c>
      <c r="F1475">
        <v>94038000</v>
      </c>
      <c r="G1475">
        <v>169.51</v>
      </c>
    </row>
    <row r="1476" spans="1:7" x14ac:dyDescent="0.25">
      <c r="A1476" s="5">
        <v>30571</v>
      </c>
      <c r="B1476">
        <v>166.95</v>
      </c>
      <c r="C1476">
        <v>169.2</v>
      </c>
      <c r="D1476">
        <v>164.17</v>
      </c>
      <c r="E1476">
        <v>166.25</v>
      </c>
      <c r="F1476">
        <v>81462000</v>
      </c>
      <c r="G1476">
        <v>166.25</v>
      </c>
    </row>
    <row r="1477" spans="1:7" x14ac:dyDescent="0.25">
      <c r="A1477" s="5">
        <v>30565</v>
      </c>
      <c r="B1477">
        <v>165.2</v>
      </c>
      <c r="C1477">
        <v>168.48</v>
      </c>
      <c r="D1477">
        <v>165.03</v>
      </c>
      <c r="E1477">
        <v>166.92</v>
      </c>
      <c r="F1477">
        <v>84745000</v>
      </c>
      <c r="G1477">
        <v>166.92</v>
      </c>
    </row>
    <row r="1478" spans="1:7" x14ac:dyDescent="0.25">
      <c r="A1478" s="5">
        <v>30557</v>
      </c>
      <c r="B1478">
        <v>162.13999999999999</v>
      </c>
      <c r="C1478">
        <v>165.07</v>
      </c>
      <c r="D1478">
        <v>160.97</v>
      </c>
      <c r="E1478">
        <v>165</v>
      </c>
      <c r="F1478">
        <v>66324000</v>
      </c>
      <c r="G1478">
        <v>165</v>
      </c>
    </row>
    <row r="1479" spans="1:7" x14ac:dyDescent="0.25">
      <c r="A1479" s="5">
        <v>30550</v>
      </c>
      <c r="B1479">
        <v>164.18</v>
      </c>
      <c r="C1479">
        <v>165.64</v>
      </c>
      <c r="D1479">
        <v>159.96</v>
      </c>
      <c r="E1479">
        <v>162.13999999999999</v>
      </c>
      <c r="F1479">
        <v>69442000</v>
      </c>
      <c r="G1479">
        <v>162.13999999999999</v>
      </c>
    </row>
    <row r="1480" spans="1:7" x14ac:dyDescent="0.25">
      <c r="A1480" s="5">
        <v>30543</v>
      </c>
      <c r="B1480">
        <v>162.22</v>
      </c>
      <c r="C1480">
        <v>165.91</v>
      </c>
      <c r="D1480">
        <v>162.22</v>
      </c>
      <c r="E1480">
        <v>163.98</v>
      </c>
      <c r="F1480">
        <v>76802000</v>
      </c>
      <c r="G1480">
        <v>163.98</v>
      </c>
    </row>
    <row r="1481" spans="1:7" x14ac:dyDescent="0.25">
      <c r="A1481" s="5">
        <v>30536</v>
      </c>
      <c r="B1481">
        <v>161.72999999999999</v>
      </c>
      <c r="C1481">
        <v>162.6</v>
      </c>
      <c r="D1481">
        <v>158.5</v>
      </c>
      <c r="E1481">
        <v>162.16</v>
      </c>
      <c r="F1481">
        <v>75650000</v>
      </c>
      <c r="G1481">
        <v>162.16</v>
      </c>
    </row>
    <row r="1482" spans="1:7" x14ac:dyDescent="0.25">
      <c r="A1482" s="5">
        <v>30529</v>
      </c>
      <c r="B1482">
        <v>162.34</v>
      </c>
      <c r="C1482">
        <v>163.44</v>
      </c>
      <c r="D1482">
        <v>159.63</v>
      </c>
      <c r="E1482">
        <v>161.74</v>
      </c>
      <c r="F1482">
        <v>80152000</v>
      </c>
      <c r="G1482">
        <v>161.74</v>
      </c>
    </row>
    <row r="1483" spans="1:7" x14ac:dyDescent="0.25">
      <c r="A1483" s="5">
        <v>30522</v>
      </c>
      <c r="B1483">
        <v>167.67</v>
      </c>
      <c r="C1483">
        <v>170.72</v>
      </c>
      <c r="D1483">
        <v>161.5</v>
      </c>
      <c r="E1483">
        <v>162.56</v>
      </c>
      <c r="F1483">
        <v>87580000</v>
      </c>
      <c r="G1483">
        <v>162.56</v>
      </c>
    </row>
    <row r="1484" spans="1:7" x14ac:dyDescent="0.25">
      <c r="A1484" s="5">
        <v>30515</v>
      </c>
      <c r="B1484">
        <v>164.28</v>
      </c>
      <c r="C1484">
        <v>169.8</v>
      </c>
      <c r="D1484">
        <v>163.30000000000001</v>
      </c>
      <c r="E1484">
        <v>168.89</v>
      </c>
      <c r="F1484">
        <v>84626000</v>
      </c>
      <c r="G1484">
        <v>168.89</v>
      </c>
    </row>
    <row r="1485" spans="1:7" x14ac:dyDescent="0.25">
      <c r="A1485" s="5">
        <v>30508</v>
      </c>
      <c r="B1485">
        <v>167.09</v>
      </c>
      <c r="C1485">
        <v>168.11</v>
      </c>
      <c r="D1485">
        <v>164.03</v>
      </c>
      <c r="E1485">
        <v>164.29</v>
      </c>
      <c r="F1485">
        <v>69478000</v>
      </c>
      <c r="G1485">
        <v>164.29</v>
      </c>
    </row>
    <row r="1486" spans="1:7" x14ac:dyDescent="0.25">
      <c r="A1486" s="5">
        <v>30502</v>
      </c>
      <c r="B1486">
        <v>166.55</v>
      </c>
      <c r="C1486">
        <v>169.15</v>
      </c>
      <c r="D1486">
        <v>165.8</v>
      </c>
      <c r="E1486">
        <v>167.08</v>
      </c>
      <c r="F1486">
        <v>79160000</v>
      </c>
      <c r="G1486">
        <v>167.08</v>
      </c>
    </row>
    <row r="1487" spans="1:7" x14ac:dyDescent="0.25">
      <c r="A1487" s="5">
        <v>30494</v>
      </c>
      <c r="B1487">
        <v>170.4</v>
      </c>
      <c r="C1487">
        <v>170.46</v>
      </c>
      <c r="D1487">
        <v>165.43</v>
      </c>
      <c r="E1487">
        <v>168.64</v>
      </c>
      <c r="F1487">
        <v>75018000</v>
      </c>
      <c r="G1487">
        <v>168.64</v>
      </c>
    </row>
    <row r="1488" spans="1:7" x14ac:dyDescent="0.25">
      <c r="A1488" s="5">
        <v>30487</v>
      </c>
      <c r="B1488">
        <v>169.13</v>
      </c>
      <c r="C1488">
        <v>171.6</v>
      </c>
      <c r="D1488">
        <v>168.25</v>
      </c>
      <c r="E1488">
        <v>170.41</v>
      </c>
      <c r="F1488">
        <v>93564000</v>
      </c>
      <c r="G1488">
        <v>170.41</v>
      </c>
    </row>
    <row r="1489" spans="1:7" x14ac:dyDescent="0.25">
      <c r="A1489" s="5">
        <v>30480</v>
      </c>
      <c r="B1489">
        <v>162.69999999999999</v>
      </c>
      <c r="C1489">
        <v>169.64</v>
      </c>
      <c r="D1489">
        <v>162.69999999999999</v>
      </c>
      <c r="E1489">
        <v>169.13</v>
      </c>
      <c r="F1489">
        <v>100002000</v>
      </c>
      <c r="G1489">
        <v>169.13</v>
      </c>
    </row>
    <row r="1490" spans="1:7" x14ac:dyDescent="0.25">
      <c r="A1490" s="5">
        <v>30473</v>
      </c>
      <c r="B1490">
        <v>164.43</v>
      </c>
      <c r="C1490">
        <v>165.09</v>
      </c>
      <c r="D1490">
        <v>160.80000000000001</v>
      </c>
      <c r="E1490">
        <v>162.68</v>
      </c>
      <c r="F1490">
        <v>87746000</v>
      </c>
      <c r="G1490">
        <v>162.68</v>
      </c>
    </row>
    <row r="1491" spans="1:7" x14ac:dyDescent="0.25">
      <c r="A1491" s="5">
        <v>30467</v>
      </c>
      <c r="B1491">
        <v>164.44</v>
      </c>
      <c r="C1491">
        <v>164.79</v>
      </c>
      <c r="D1491">
        <v>161.33000000000001</v>
      </c>
      <c r="E1491">
        <v>164.42</v>
      </c>
      <c r="F1491">
        <v>82807500</v>
      </c>
      <c r="G1491">
        <v>164.42</v>
      </c>
    </row>
    <row r="1492" spans="1:7" x14ac:dyDescent="0.25">
      <c r="A1492" s="5">
        <v>30459</v>
      </c>
      <c r="B1492">
        <v>162.06</v>
      </c>
      <c r="C1492">
        <v>166.39</v>
      </c>
      <c r="D1492">
        <v>160.29</v>
      </c>
      <c r="E1492">
        <v>164.46</v>
      </c>
      <c r="F1492">
        <v>97426000</v>
      </c>
      <c r="G1492">
        <v>164.46</v>
      </c>
    </row>
    <row r="1493" spans="1:7" x14ac:dyDescent="0.25">
      <c r="A1493" s="5">
        <v>30452</v>
      </c>
      <c r="B1493">
        <v>164.9</v>
      </c>
      <c r="C1493">
        <v>165.18</v>
      </c>
      <c r="D1493">
        <v>161.25</v>
      </c>
      <c r="E1493">
        <v>162.13999999999999</v>
      </c>
      <c r="F1493">
        <v>82390000</v>
      </c>
      <c r="G1493">
        <v>162.13999999999999</v>
      </c>
    </row>
    <row r="1494" spans="1:7" x14ac:dyDescent="0.25">
      <c r="A1494" s="5">
        <v>30445</v>
      </c>
      <c r="B1494">
        <v>166.1</v>
      </c>
      <c r="C1494">
        <v>166.46</v>
      </c>
      <c r="D1494">
        <v>163.82</v>
      </c>
      <c r="E1494">
        <v>164.91</v>
      </c>
      <c r="F1494">
        <v>92934000</v>
      </c>
      <c r="G1494">
        <v>164.91</v>
      </c>
    </row>
    <row r="1495" spans="1:7" x14ac:dyDescent="0.25">
      <c r="A1495" s="5">
        <v>30438</v>
      </c>
      <c r="B1495">
        <v>164.41</v>
      </c>
      <c r="C1495">
        <v>166.99</v>
      </c>
      <c r="D1495">
        <v>160.80000000000001</v>
      </c>
      <c r="E1495">
        <v>166.1</v>
      </c>
      <c r="F1495">
        <v>103094000</v>
      </c>
      <c r="G1495">
        <v>166.1</v>
      </c>
    </row>
    <row r="1496" spans="1:7" x14ac:dyDescent="0.25">
      <c r="A1496" s="5">
        <v>30431</v>
      </c>
      <c r="B1496">
        <v>160.43</v>
      </c>
      <c r="C1496">
        <v>164.43</v>
      </c>
      <c r="D1496">
        <v>158.07</v>
      </c>
      <c r="E1496">
        <v>164.43</v>
      </c>
      <c r="F1496">
        <v>99932000</v>
      </c>
      <c r="G1496">
        <v>164.43</v>
      </c>
    </row>
    <row r="1497" spans="1:7" x14ac:dyDescent="0.25">
      <c r="A1497" s="5">
        <v>30424</v>
      </c>
      <c r="B1497">
        <v>158.75</v>
      </c>
      <c r="C1497">
        <v>161.08000000000001</v>
      </c>
      <c r="D1497">
        <v>158.41</v>
      </c>
      <c r="E1497">
        <v>160.41999999999999</v>
      </c>
      <c r="F1497">
        <v>97690000</v>
      </c>
      <c r="G1497">
        <v>160.41999999999999</v>
      </c>
    </row>
    <row r="1498" spans="1:7" x14ac:dyDescent="0.25">
      <c r="A1498" s="5">
        <v>30417</v>
      </c>
      <c r="B1498">
        <v>152.87</v>
      </c>
      <c r="C1498">
        <v>158.75</v>
      </c>
      <c r="D1498">
        <v>152.87</v>
      </c>
      <c r="E1498">
        <v>158.75</v>
      </c>
      <c r="F1498">
        <v>88322000</v>
      </c>
      <c r="G1498">
        <v>158.75</v>
      </c>
    </row>
    <row r="1499" spans="1:7" x14ac:dyDescent="0.25">
      <c r="A1499" s="5">
        <v>30410</v>
      </c>
      <c r="B1499">
        <v>152.91999999999999</v>
      </c>
      <c r="C1499">
        <v>153.91999999999999</v>
      </c>
      <c r="D1499">
        <v>150.16999999999999</v>
      </c>
      <c r="E1499">
        <v>152.85</v>
      </c>
      <c r="F1499">
        <v>71430000</v>
      </c>
      <c r="G1499">
        <v>152.85</v>
      </c>
    </row>
    <row r="1500" spans="1:7" x14ac:dyDescent="0.25">
      <c r="A1500" s="5">
        <v>30403</v>
      </c>
      <c r="B1500">
        <v>152.66999999999999</v>
      </c>
      <c r="C1500">
        <v>155.02000000000001</v>
      </c>
      <c r="D1500">
        <v>151.41999999999999</v>
      </c>
      <c r="E1500">
        <v>152.96</v>
      </c>
      <c r="F1500">
        <v>75045000</v>
      </c>
      <c r="G1500">
        <v>152.96</v>
      </c>
    </row>
    <row r="1501" spans="1:7" x14ac:dyDescent="0.25">
      <c r="A1501" s="5">
        <v>30396</v>
      </c>
      <c r="B1501">
        <v>149.82</v>
      </c>
      <c r="C1501">
        <v>153.78</v>
      </c>
      <c r="D1501">
        <v>149.32</v>
      </c>
      <c r="E1501">
        <v>152.66999999999999</v>
      </c>
      <c r="F1501">
        <v>83284000</v>
      </c>
      <c r="G1501">
        <v>152.66999999999999</v>
      </c>
    </row>
    <row r="1502" spans="1:7" x14ac:dyDescent="0.25">
      <c r="A1502" s="5">
        <v>30389</v>
      </c>
      <c r="B1502">
        <v>151.28</v>
      </c>
      <c r="C1502">
        <v>151.62</v>
      </c>
      <c r="D1502">
        <v>149.12</v>
      </c>
      <c r="E1502">
        <v>149.9</v>
      </c>
      <c r="F1502">
        <v>70654000</v>
      </c>
      <c r="G1502">
        <v>149.9</v>
      </c>
    </row>
    <row r="1503" spans="1:7" x14ac:dyDescent="0.25">
      <c r="A1503" s="5">
        <v>30382</v>
      </c>
      <c r="B1503">
        <v>153.66999999999999</v>
      </c>
      <c r="C1503">
        <v>154.01</v>
      </c>
      <c r="D1503">
        <v>150.65</v>
      </c>
      <c r="E1503">
        <v>151.24</v>
      </c>
      <c r="F1503">
        <v>82066000</v>
      </c>
      <c r="G1503">
        <v>151.24</v>
      </c>
    </row>
    <row r="1504" spans="1:7" x14ac:dyDescent="0.25">
      <c r="A1504" s="5">
        <v>30375</v>
      </c>
      <c r="B1504">
        <v>149.74</v>
      </c>
      <c r="C1504">
        <v>154.16</v>
      </c>
      <c r="D1504">
        <v>147.81</v>
      </c>
      <c r="E1504">
        <v>153.66999999999999</v>
      </c>
      <c r="F1504">
        <v>101094000</v>
      </c>
      <c r="G1504">
        <v>153.66999999999999</v>
      </c>
    </row>
    <row r="1505" spans="1:7" x14ac:dyDescent="0.25">
      <c r="A1505" s="5">
        <v>30369</v>
      </c>
      <c r="B1505">
        <v>148.01</v>
      </c>
      <c r="C1505">
        <v>150.88</v>
      </c>
      <c r="D1505">
        <v>145.4</v>
      </c>
      <c r="E1505">
        <v>149.74</v>
      </c>
      <c r="F1505">
        <v>95592500</v>
      </c>
      <c r="G1505">
        <v>149.74</v>
      </c>
    </row>
    <row r="1506" spans="1:7" x14ac:dyDescent="0.25">
      <c r="A1506" s="5">
        <v>30361</v>
      </c>
      <c r="B1506">
        <v>147.71</v>
      </c>
      <c r="C1506">
        <v>149.41</v>
      </c>
      <c r="D1506">
        <v>143.84</v>
      </c>
      <c r="E1506">
        <v>148</v>
      </c>
      <c r="F1506">
        <v>79226000</v>
      </c>
      <c r="G1506">
        <v>148</v>
      </c>
    </row>
    <row r="1507" spans="1:7" x14ac:dyDescent="0.25">
      <c r="A1507" s="5">
        <v>30354</v>
      </c>
      <c r="B1507">
        <v>146.13999999999999</v>
      </c>
      <c r="C1507">
        <v>148.81</v>
      </c>
      <c r="D1507">
        <v>144.09</v>
      </c>
      <c r="E1507">
        <v>147.65</v>
      </c>
      <c r="F1507">
        <v>85468000</v>
      </c>
      <c r="G1507">
        <v>147.65</v>
      </c>
    </row>
    <row r="1508" spans="1:7" x14ac:dyDescent="0.25">
      <c r="A1508" s="5">
        <v>30347</v>
      </c>
      <c r="B1508">
        <v>144.51</v>
      </c>
      <c r="C1508">
        <v>146.13999999999999</v>
      </c>
      <c r="D1508">
        <v>141.9</v>
      </c>
      <c r="E1508">
        <v>146.13999999999999</v>
      </c>
      <c r="F1508">
        <v>78600000</v>
      </c>
      <c r="G1508">
        <v>146.13999999999999</v>
      </c>
    </row>
    <row r="1509" spans="1:7" x14ac:dyDescent="0.25">
      <c r="A1509" s="5">
        <v>30340</v>
      </c>
      <c r="B1509">
        <v>143.84</v>
      </c>
      <c r="C1509">
        <v>145.47</v>
      </c>
      <c r="D1509">
        <v>139.1</v>
      </c>
      <c r="E1509">
        <v>144.51</v>
      </c>
      <c r="F1509">
        <v>84374000</v>
      </c>
      <c r="G1509">
        <v>144.51</v>
      </c>
    </row>
    <row r="1510" spans="1:7" x14ac:dyDescent="0.25">
      <c r="A1510" s="5">
        <v>30333</v>
      </c>
      <c r="B1510">
        <v>146.65</v>
      </c>
      <c r="C1510">
        <v>147.9</v>
      </c>
      <c r="D1510">
        <v>143.25</v>
      </c>
      <c r="E1510">
        <v>143.85</v>
      </c>
      <c r="F1510">
        <v>81678000</v>
      </c>
      <c r="G1510">
        <v>143.85</v>
      </c>
    </row>
    <row r="1511" spans="1:7" x14ac:dyDescent="0.25">
      <c r="A1511" s="5">
        <v>30326</v>
      </c>
      <c r="B1511">
        <v>145.19</v>
      </c>
      <c r="C1511">
        <v>148.36000000000001</v>
      </c>
      <c r="D1511">
        <v>144.58000000000001</v>
      </c>
      <c r="E1511">
        <v>146.65</v>
      </c>
      <c r="F1511">
        <v>94700000</v>
      </c>
      <c r="G1511">
        <v>146.65</v>
      </c>
    </row>
    <row r="1512" spans="1:7" x14ac:dyDescent="0.25">
      <c r="A1512" s="5">
        <v>30319</v>
      </c>
      <c r="B1512">
        <v>140.65</v>
      </c>
      <c r="C1512">
        <v>146.46</v>
      </c>
      <c r="D1512">
        <v>138.08000000000001</v>
      </c>
      <c r="E1512">
        <v>145.18</v>
      </c>
      <c r="F1512">
        <v>97340000</v>
      </c>
      <c r="G1512">
        <v>145.18</v>
      </c>
    </row>
    <row r="1513" spans="1:7" x14ac:dyDescent="0.25">
      <c r="A1513" s="5">
        <v>30312</v>
      </c>
      <c r="B1513">
        <v>139.72999999999999</v>
      </c>
      <c r="C1513">
        <v>142.34</v>
      </c>
      <c r="D1513">
        <v>139.72</v>
      </c>
      <c r="E1513">
        <v>140.63999999999999</v>
      </c>
      <c r="F1513">
        <v>55320000</v>
      </c>
      <c r="G1513">
        <v>140.63999999999999</v>
      </c>
    </row>
    <row r="1514" spans="1:7" x14ac:dyDescent="0.25">
      <c r="A1514" s="5">
        <v>30305</v>
      </c>
      <c r="B1514">
        <v>137.49</v>
      </c>
      <c r="C1514">
        <v>139.94</v>
      </c>
      <c r="D1514">
        <v>136.07</v>
      </c>
      <c r="E1514">
        <v>139.72</v>
      </c>
      <c r="F1514">
        <v>71642500</v>
      </c>
      <c r="G1514">
        <v>139.72</v>
      </c>
    </row>
    <row r="1515" spans="1:7" x14ac:dyDescent="0.25">
      <c r="A1515" s="5">
        <v>30298</v>
      </c>
      <c r="B1515">
        <v>139.57</v>
      </c>
      <c r="C1515">
        <v>142.5</v>
      </c>
      <c r="D1515">
        <v>134.79</v>
      </c>
      <c r="E1515">
        <v>137.49</v>
      </c>
      <c r="F1515">
        <v>78448000</v>
      </c>
      <c r="G1515">
        <v>137.49</v>
      </c>
    </row>
    <row r="1516" spans="1:7" x14ac:dyDescent="0.25">
      <c r="A1516" s="5">
        <v>30291</v>
      </c>
      <c r="B1516">
        <v>138.69999999999999</v>
      </c>
      <c r="C1516">
        <v>143.68</v>
      </c>
      <c r="D1516">
        <v>138.01</v>
      </c>
      <c r="E1516">
        <v>139.57</v>
      </c>
      <c r="F1516">
        <v>93936000</v>
      </c>
      <c r="G1516">
        <v>139.57</v>
      </c>
    </row>
    <row r="1517" spans="1:7" x14ac:dyDescent="0.25">
      <c r="A1517" s="5">
        <v>30284</v>
      </c>
      <c r="B1517">
        <v>134.88999999999999</v>
      </c>
      <c r="C1517">
        <v>140.37</v>
      </c>
      <c r="D1517">
        <v>133.69</v>
      </c>
      <c r="E1517">
        <v>138.69</v>
      </c>
      <c r="F1517">
        <v>82308000</v>
      </c>
      <c r="G1517">
        <v>138.69</v>
      </c>
    </row>
    <row r="1518" spans="1:7" x14ac:dyDescent="0.25">
      <c r="A1518" s="5">
        <v>30277</v>
      </c>
      <c r="B1518">
        <v>137.03</v>
      </c>
      <c r="C1518">
        <v>137.1</v>
      </c>
      <c r="D1518">
        <v>132.88999999999999</v>
      </c>
      <c r="E1518">
        <v>134.88</v>
      </c>
      <c r="F1518">
        <v>63477500</v>
      </c>
      <c r="G1518">
        <v>134.88</v>
      </c>
    </row>
    <row r="1519" spans="1:7" x14ac:dyDescent="0.25">
      <c r="A1519" s="5">
        <v>30270</v>
      </c>
      <c r="B1519">
        <v>139.54</v>
      </c>
      <c r="C1519">
        <v>139.54</v>
      </c>
      <c r="D1519">
        <v>134.05000000000001</v>
      </c>
      <c r="E1519">
        <v>137.02000000000001</v>
      </c>
      <c r="F1519">
        <v>82836000</v>
      </c>
      <c r="G1519">
        <v>137.02000000000001</v>
      </c>
    </row>
    <row r="1520" spans="1:7" x14ac:dyDescent="0.25">
      <c r="A1520" s="5">
        <v>30263</v>
      </c>
      <c r="B1520">
        <v>142.12</v>
      </c>
      <c r="C1520">
        <v>144.36000000000001</v>
      </c>
      <c r="D1520">
        <v>139.53</v>
      </c>
      <c r="E1520">
        <v>139.53</v>
      </c>
      <c r="F1520">
        <v>94638000</v>
      </c>
      <c r="G1520">
        <v>139.53</v>
      </c>
    </row>
    <row r="1521" spans="1:7" x14ac:dyDescent="0.25">
      <c r="A1521" s="5">
        <v>30256</v>
      </c>
      <c r="B1521">
        <v>133.72</v>
      </c>
      <c r="C1521">
        <v>143.99</v>
      </c>
      <c r="D1521">
        <v>133.22</v>
      </c>
      <c r="E1521">
        <v>142.16</v>
      </c>
      <c r="F1521">
        <v>112242000</v>
      </c>
      <c r="G1521">
        <v>142.16</v>
      </c>
    </row>
    <row r="1522" spans="1:7" x14ac:dyDescent="0.25">
      <c r="A1522" s="5">
        <v>30249</v>
      </c>
      <c r="B1522">
        <v>138.81</v>
      </c>
      <c r="C1522">
        <v>138.81</v>
      </c>
      <c r="D1522">
        <v>131.5</v>
      </c>
      <c r="E1522">
        <v>133.72</v>
      </c>
      <c r="F1522">
        <v>83178000</v>
      </c>
      <c r="G1522">
        <v>133.72</v>
      </c>
    </row>
    <row r="1523" spans="1:7" x14ac:dyDescent="0.25">
      <c r="A1523" s="5">
        <v>30242</v>
      </c>
      <c r="B1523">
        <v>133.59</v>
      </c>
      <c r="C1523">
        <v>140.4</v>
      </c>
      <c r="D1523">
        <v>133.59</v>
      </c>
      <c r="E1523">
        <v>138.83000000000001</v>
      </c>
      <c r="F1523">
        <v>101380000</v>
      </c>
      <c r="G1523">
        <v>138.83000000000001</v>
      </c>
    </row>
    <row r="1524" spans="1:7" x14ac:dyDescent="0.25">
      <c r="A1524" s="5">
        <v>30235</v>
      </c>
      <c r="B1524">
        <v>131.06</v>
      </c>
      <c r="C1524">
        <v>137.97</v>
      </c>
      <c r="D1524">
        <v>131.06</v>
      </c>
      <c r="E1524">
        <v>133.57</v>
      </c>
      <c r="F1524">
        <v>118492000</v>
      </c>
      <c r="G1524">
        <v>133.57</v>
      </c>
    </row>
    <row r="1525" spans="1:7" x14ac:dyDescent="0.25">
      <c r="A1525" s="5">
        <v>30228</v>
      </c>
      <c r="B1525">
        <v>121.97</v>
      </c>
      <c r="C1525">
        <v>131.11000000000001</v>
      </c>
      <c r="D1525">
        <v>120.56</v>
      </c>
      <c r="E1525">
        <v>131.05000000000001</v>
      </c>
      <c r="F1525">
        <v>97662000</v>
      </c>
      <c r="G1525">
        <v>131.05000000000001</v>
      </c>
    </row>
    <row r="1526" spans="1:7" x14ac:dyDescent="0.25">
      <c r="A1526" s="5">
        <v>30221</v>
      </c>
      <c r="B1526">
        <v>123.32</v>
      </c>
      <c r="C1526">
        <v>124.16</v>
      </c>
      <c r="D1526">
        <v>120.14</v>
      </c>
      <c r="E1526">
        <v>121.97</v>
      </c>
      <c r="F1526">
        <v>60180000</v>
      </c>
      <c r="G1526">
        <v>121.97</v>
      </c>
    </row>
    <row r="1527" spans="1:7" x14ac:dyDescent="0.25">
      <c r="A1527" s="5">
        <v>30214</v>
      </c>
      <c r="B1527">
        <v>122.54</v>
      </c>
      <c r="C1527">
        <v>126.43</v>
      </c>
      <c r="D1527">
        <v>121.48</v>
      </c>
      <c r="E1527">
        <v>123.32</v>
      </c>
      <c r="F1527">
        <v>75490000</v>
      </c>
      <c r="G1527">
        <v>123.32</v>
      </c>
    </row>
    <row r="1528" spans="1:7" x14ac:dyDescent="0.25">
      <c r="A1528" s="5">
        <v>30207</v>
      </c>
      <c r="B1528">
        <v>120.94</v>
      </c>
      <c r="C1528">
        <v>124.88</v>
      </c>
      <c r="D1528">
        <v>120.25</v>
      </c>
      <c r="E1528">
        <v>122.55</v>
      </c>
      <c r="F1528">
        <v>71024000</v>
      </c>
      <c r="G1528">
        <v>122.55</v>
      </c>
    </row>
    <row r="1529" spans="1:7" x14ac:dyDescent="0.25">
      <c r="A1529" s="5">
        <v>30201</v>
      </c>
      <c r="B1529">
        <v>122.68</v>
      </c>
      <c r="C1529">
        <v>123.22</v>
      </c>
      <c r="D1529">
        <v>120.27</v>
      </c>
      <c r="E1529">
        <v>120.97</v>
      </c>
      <c r="F1529">
        <v>72772500</v>
      </c>
      <c r="G1529">
        <v>120.97</v>
      </c>
    </row>
    <row r="1530" spans="1:7" x14ac:dyDescent="0.25">
      <c r="A1530" s="5">
        <v>30193</v>
      </c>
      <c r="B1530">
        <v>117.05</v>
      </c>
      <c r="C1530">
        <v>123.64</v>
      </c>
      <c r="D1530">
        <v>115.79</v>
      </c>
      <c r="E1530">
        <v>122.68</v>
      </c>
      <c r="F1530">
        <v>86880000</v>
      </c>
      <c r="G1530">
        <v>122.68</v>
      </c>
    </row>
    <row r="1531" spans="1:7" x14ac:dyDescent="0.25">
      <c r="A1531" s="5">
        <v>30186</v>
      </c>
      <c r="B1531">
        <v>113.02</v>
      </c>
      <c r="C1531">
        <v>120.26</v>
      </c>
      <c r="D1531">
        <v>112.65</v>
      </c>
      <c r="E1531">
        <v>117.11</v>
      </c>
      <c r="F1531">
        <v>109980000</v>
      </c>
      <c r="G1531">
        <v>117.11</v>
      </c>
    </row>
    <row r="1532" spans="1:7" x14ac:dyDescent="0.25">
      <c r="A1532" s="5">
        <v>30179</v>
      </c>
      <c r="B1532">
        <v>103.86</v>
      </c>
      <c r="C1532">
        <v>113.02</v>
      </c>
      <c r="D1532">
        <v>103.86</v>
      </c>
      <c r="E1532">
        <v>113.02</v>
      </c>
      <c r="F1532">
        <v>91026000</v>
      </c>
      <c r="G1532">
        <v>113.02</v>
      </c>
    </row>
    <row r="1533" spans="1:7" x14ac:dyDescent="0.25">
      <c r="A1533" s="5">
        <v>30172</v>
      </c>
      <c r="B1533">
        <v>103.69</v>
      </c>
      <c r="C1533">
        <v>103.85</v>
      </c>
      <c r="D1533">
        <v>102.2</v>
      </c>
      <c r="E1533">
        <v>103.85</v>
      </c>
      <c r="F1533">
        <v>50216000</v>
      </c>
      <c r="G1533">
        <v>103.85</v>
      </c>
    </row>
    <row r="1534" spans="1:7" x14ac:dyDescent="0.25">
      <c r="A1534" s="5">
        <v>30165</v>
      </c>
      <c r="B1534">
        <v>107.71</v>
      </c>
      <c r="C1534">
        <v>109.43</v>
      </c>
      <c r="D1534">
        <v>103.67</v>
      </c>
      <c r="E1534">
        <v>103.71</v>
      </c>
      <c r="F1534">
        <v>54148000</v>
      </c>
      <c r="G1534">
        <v>103.71</v>
      </c>
    </row>
    <row r="1535" spans="1:7" x14ac:dyDescent="0.25">
      <c r="A1535" s="5">
        <v>30158</v>
      </c>
      <c r="B1535">
        <v>110.66</v>
      </c>
      <c r="C1535">
        <v>111.16</v>
      </c>
      <c r="D1535">
        <v>106.62</v>
      </c>
      <c r="E1535">
        <v>107.09</v>
      </c>
      <c r="F1535">
        <v>46452000</v>
      </c>
      <c r="G1535">
        <v>107.09</v>
      </c>
    </row>
    <row r="1536" spans="1:7" x14ac:dyDescent="0.25">
      <c r="A1536" s="5">
        <v>30151</v>
      </c>
      <c r="B1536">
        <v>111.75</v>
      </c>
      <c r="C1536">
        <v>112.39</v>
      </c>
      <c r="D1536">
        <v>110.35</v>
      </c>
      <c r="E1536">
        <v>111.17</v>
      </c>
      <c r="F1536">
        <v>56402000</v>
      </c>
      <c r="G1536">
        <v>111.17</v>
      </c>
    </row>
    <row r="1537" spans="1:7" x14ac:dyDescent="0.25">
      <c r="A1537" s="5">
        <v>30144</v>
      </c>
      <c r="B1537">
        <v>109.48</v>
      </c>
      <c r="C1537">
        <v>111.48</v>
      </c>
      <c r="D1537">
        <v>108.89</v>
      </c>
      <c r="E1537">
        <v>111.07</v>
      </c>
      <c r="F1537">
        <v>63770000</v>
      </c>
      <c r="G1537">
        <v>111.07</v>
      </c>
    </row>
    <row r="1538" spans="1:7" x14ac:dyDescent="0.25">
      <c r="A1538" s="5">
        <v>30138</v>
      </c>
      <c r="B1538">
        <v>107.27</v>
      </c>
      <c r="C1538">
        <v>108.97</v>
      </c>
      <c r="D1538">
        <v>105.57</v>
      </c>
      <c r="E1538">
        <v>108.83</v>
      </c>
      <c r="F1538">
        <v>55102500</v>
      </c>
      <c r="G1538">
        <v>108.83</v>
      </c>
    </row>
    <row r="1539" spans="1:7" x14ac:dyDescent="0.25">
      <c r="A1539" s="5">
        <v>30130</v>
      </c>
      <c r="B1539">
        <v>109.3</v>
      </c>
      <c r="C1539">
        <v>111</v>
      </c>
      <c r="D1539">
        <v>107.6</v>
      </c>
      <c r="E1539">
        <v>107.65</v>
      </c>
      <c r="F1539">
        <v>48926000</v>
      </c>
      <c r="G1539">
        <v>107.65</v>
      </c>
    </row>
    <row r="1540" spans="1:7" x14ac:dyDescent="0.25">
      <c r="A1540" s="5">
        <v>30123</v>
      </c>
      <c r="B1540">
        <v>107.28</v>
      </c>
      <c r="C1540">
        <v>110.92</v>
      </c>
      <c r="D1540">
        <v>107.01</v>
      </c>
      <c r="E1540">
        <v>109.14</v>
      </c>
      <c r="F1540">
        <v>52594000</v>
      </c>
      <c r="G1540">
        <v>109.14</v>
      </c>
    </row>
    <row r="1541" spans="1:7" x14ac:dyDescent="0.25">
      <c r="A1541" s="5">
        <v>30116</v>
      </c>
      <c r="B1541">
        <v>110.5</v>
      </c>
      <c r="C1541">
        <v>111.22</v>
      </c>
      <c r="D1541">
        <v>107.07</v>
      </c>
      <c r="E1541">
        <v>107.28</v>
      </c>
      <c r="F1541">
        <v>48876000</v>
      </c>
      <c r="G1541">
        <v>107.28</v>
      </c>
    </row>
    <row r="1542" spans="1:7" x14ac:dyDescent="0.25">
      <c r="A1542" s="5">
        <v>30109</v>
      </c>
      <c r="B1542">
        <v>109.59</v>
      </c>
      <c r="C1542">
        <v>111.48</v>
      </c>
      <c r="D1542">
        <v>108.53</v>
      </c>
      <c r="E1542">
        <v>111.24</v>
      </c>
      <c r="F1542">
        <v>53356000</v>
      </c>
      <c r="G1542">
        <v>111.24</v>
      </c>
    </row>
    <row r="1543" spans="1:7" x14ac:dyDescent="0.25">
      <c r="A1543" s="5">
        <v>30103</v>
      </c>
      <c r="B1543">
        <v>111.97</v>
      </c>
      <c r="C1543">
        <v>112.48</v>
      </c>
      <c r="D1543">
        <v>110.02</v>
      </c>
      <c r="E1543">
        <v>110.09</v>
      </c>
      <c r="F1543">
        <v>45857500</v>
      </c>
      <c r="G1543">
        <v>110.09</v>
      </c>
    </row>
    <row r="1544" spans="1:7" x14ac:dyDescent="0.25">
      <c r="A1544" s="5">
        <v>30095</v>
      </c>
      <c r="B1544">
        <v>114.46</v>
      </c>
      <c r="C1544">
        <v>115.51</v>
      </c>
      <c r="D1544">
        <v>111.66</v>
      </c>
      <c r="E1544">
        <v>111.88</v>
      </c>
      <c r="F1544">
        <v>44480000</v>
      </c>
      <c r="G1544">
        <v>111.88</v>
      </c>
    </row>
    <row r="1545" spans="1:7" x14ac:dyDescent="0.25">
      <c r="A1545" s="5">
        <v>30088</v>
      </c>
      <c r="B1545">
        <v>117.62</v>
      </c>
      <c r="C1545">
        <v>118.02</v>
      </c>
      <c r="D1545">
        <v>114.37</v>
      </c>
      <c r="E1545">
        <v>114.89</v>
      </c>
      <c r="F1545">
        <v>47400000</v>
      </c>
      <c r="G1545">
        <v>114.89</v>
      </c>
    </row>
    <row r="1546" spans="1:7" x14ac:dyDescent="0.25">
      <c r="A1546" s="5">
        <v>30081</v>
      </c>
      <c r="B1546">
        <v>119.08</v>
      </c>
      <c r="C1546">
        <v>119.92</v>
      </c>
      <c r="D1546">
        <v>118.01</v>
      </c>
      <c r="E1546">
        <v>118.01</v>
      </c>
      <c r="F1546">
        <v>53664000</v>
      </c>
      <c r="G1546">
        <v>118.01</v>
      </c>
    </row>
    <row r="1547" spans="1:7" x14ac:dyDescent="0.25">
      <c r="A1547" s="5">
        <v>30074</v>
      </c>
      <c r="B1547">
        <v>115.96</v>
      </c>
      <c r="C1547">
        <v>119.89</v>
      </c>
      <c r="D1547">
        <v>115.91</v>
      </c>
      <c r="E1547">
        <v>119.47</v>
      </c>
      <c r="F1547">
        <v>59748000</v>
      </c>
      <c r="G1547">
        <v>119.47</v>
      </c>
    </row>
    <row r="1548" spans="1:7" x14ac:dyDescent="0.25">
      <c r="A1548" s="5">
        <v>30067</v>
      </c>
      <c r="B1548">
        <v>118.94</v>
      </c>
      <c r="C1548">
        <v>119.33</v>
      </c>
      <c r="D1548">
        <v>116.07</v>
      </c>
      <c r="E1548">
        <v>116.44</v>
      </c>
      <c r="F1548">
        <v>53408000</v>
      </c>
      <c r="G1548">
        <v>116.44</v>
      </c>
    </row>
    <row r="1549" spans="1:7" x14ac:dyDescent="0.25">
      <c r="A1549" s="5">
        <v>30060</v>
      </c>
      <c r="B1549">
        <v>116.81</v>
      </c>
      <c r="C1549">
        <v>118.64</v>
      </c>
      <c r="D1549">
        <v>114.83</v>
      </c>
      <c r="E1549">
        <v>118.64</v>
      </c>
      <c r="F1549">
        <v>61442000</v>
      </c>
      <c r="G1549">
        <v>118.64</v>
      </c>
    </row>
    <row r="1550" spans="1:7" x14ac:dyDescent="0.25">
      <c r="A1550" s="5">
        <v>30053</v>
      </c>
      <c r="B1550">
        <v>116.22</v>
      </c>
      <c r="C1550">
        <v>117.7</v>
      </c>
      <c r="D1550">
        <v>114.8</v>
      </c>
      <c r="E1550">
        <v>116.81</v>
      </c>
      <c r="F1550">
        <v>48384000</v>
      </c>
      <c r="G1550">
        <v>116.81</v>
      </c>
    </row>
    <row r="1551" spans="1:7" x14ac:dyDescent="0.25">
      <c r="A1551" s="5">
        <v>30046</v>
      </c>
      <c r="B1551">
        <v>115.12</v>
      </c>
      <c r="C1551">
        <v>116.94</v>
      </c>
      <c r="D1551">
        <v>113.7</v>
      </c>
      <c r="E1551">
        <v>116.22</v>
      </c>
      <c r="F1551">
        <v>50855000</v>
      </c>
      <c r="G1551">
        <v>116.22</v>
      </c>
    </row>
    <row r="1552" spans="1:7" x14ac:dyDescent="0.25">
      <c r="A1552" s="5">
        <v>30039</v>
      </c>
      <c r="B1552">
        <v>111.94</v>
      </c>
      <c r="C1552">
        <v>115.79</v>
      </c>
      <c r="D1552">
        <v>110.9</v>
      </c>
      <c r="E1552">
        <v>115.12</v>
      </c>
      <c r="F1552">
        <v>48240000</v>
      </c>
      <c r="G1552">
        <v>115.12</v>
      </c>
    </row>
    <row r="1553" spans="1:7" x14ac:dyDescent="0.25">
      <c r="A1553" s="5">
        <v>30032</v>
      </c>
      <c r="B1553">
        <v>110.71</v>
      </c>
      <c r="C1553">
        <v>114.51</v>
      </c>
      <c r="D1553">
        <v>110.71</v>
      </c>
      <c r="E1553">
        <v>111.94</v>
      </c>
      <c r="F1553">
        <v>53698000</v>
      </c>
      <c r="G1553">
        <v>111.94</v>
      </c>
    </row>
    <row r="1554" spans="1:7" x14ac:dyDescent="0.25">
      <c r="A1554" s="5">
        <v>30025</v>
      </c>
      <c r="B1554">
        <v>108.61</v>
      </c>
      <c r="C1554">
        <v>111.59</v>
      </c>
      <c r="D1554">
        <v>107.47</v>
      </c>
      <c r="E1554">
        <v>110.61</v>
      </c>
      <c r="F1554">
        <v>48338000</v>
      </c>
      <c r="G1554">
        <v>110.61</v>
      </c>
    </row>
    <row r="1555" spans="1:7" x14ac:dyDescent="0.25">
      <c r="A1555" s="5">
        <v>30018</v>
      </c>
      <c r="B1555">
        <v>109.34</v>
      </c>
      <c r="C1555">
        <v>111.06</v>
      </c>
      <c r="D1555">
        <v>104.46</v>
      </c>
      <c r="E1555">
        <v>108.61</v>
      </c>
      <c r="F1555">
        <v>61078000</v>
      </c>
      <c r="G1555">
        <v>108.61</v>
      </c>
    </row>
    <row r="1556" spans="1:7" x14ac:dyDescent="0.25">
      <c r="A1556" s="5">
        <v>30011</v>
      </c>
      <c r="B1556">
        <v>113.11</v>
      </c>
      <c r="C1556">
        <v>114.8</v>
      </c>
      <c r="D1556">
        <v>108.31</v>
      </c>
      <c r="E1556">
        <v>109.34</v>
      </c>
      <c r="F1556">
        <v>65764000</v>
      </c>
      <c r="G1556">
        <v>109.34</v>
      </c>
    </row>
    <row r="1557" spans="1:7" x14ac:dyDescent="0.25">
      <c r="A1557" s="5">
        <v>30004</v>
      </c>
      <c r="B1557">
        <v>113.22</v>
      </c>
      <c r="C1557">
        <v>114.9</v>
      </c>
      <c r="D1557">
        <v>110.03</v>
      </c>
      <c r="E1557">
        <v>113.11</v>
      </c>
      <c r="F1557">
        <v>56242000</v>
      </c>
      <c r="G1557">
        <v>113.11</v>
      </c>
    </row>
    <row r="1558" spans="1:7" x14ac:dyDescent="0.25">
      <c r="A1558" s="5">
        <v>29998</v>
      </c>
      <c r="B1558">
        <v>114.38</v>
      </c>
      <c r="C1558">
        <v>115.09</v>
      </c>
      <c r="D1558">
        <v>112.06</v>
      </c>
      <c r="E1558">
        <v>113.22</v>
      </c>
      <c r="F1558">
        <v>52172500</v>
      </c>
      <c r="G1558">
        <v>113.22</v>
      </c>
    </row>
    <row r="1559" spans="1:7" x14ac:dyDescent="0.25">
      <c r="A1559" s="5">
        <v>29990</v>
      </c>
      <c r="B1559">
        <v>117.04</v>
      </c>
      <c r="C1559">
        <v>117.04</v>
      </c>
      <c r="D1559">
        <v>112.82</v>
      </c>
      <c r="E1559">
        <v>114.38</v>
      </c>
      <c r="F1559">
        <v>46668000</v>
      </c>
      <c r="G1559">
        <v>114.38</v>
      </c>
    </row>
    <row r="1560" spans="1:7" x14ac:dyDescent="0.25">
      <c r="A1560" s="5">
        <v>29983</v>
      </c>
      <c r="B1560">
        <v>119.81</v>
      </c>
      <c r="C1560">
        <v>119.81</v>
      </c>
      <c r="D1560">
        <v>114.88</v>
      </c>
      <c r="E1560">
        <v>117.26</v>
      </c>
      <c r="F1560">
        <v>49790000</v>
      </c>
      <c r="G1560">
        <v>117.26</v>
      </c>
    </row>
    <row r="1561" spans="1:7" x14ac:dyDescent="0.25">
      <c r="A1561" s="5">
        <v>29976</v>
      </c>
      <c r="B1561">
        <v>115.38</v>
      </c>
      <c r="C1561">
        <v>121.38</v>
      </c>
      <c r="D1561">
        <v>113.63</v>
      </c>
      <c r="E1561">
        <v>120.4</v>
      </c>
      <c r="F1561">
        <v>55638000</v>
      </c>
      <c r="G1561">
        <v>120.4</v>
      </c>
    </row>
    <row r="1562" spans="1:7" x14ac:dyDescent="0.25">
      <c r="A1562" s="5">
        <v>29969</v>
      </c>
      <c r="B1562">
        <v>116.33</v>
      </c>
      <c r="C1562">
        <v>118.15</v>
      </c>
      <c r="D1562">
        <v>114.29</v>
      </c>
      <c r="E1562">
        <v>115.38</v>
      </c>
      <c r="F1562">
        <v>46366000</v>
      </c>
      <c r="G1562">
        <v>115.38</v>
      </c>
    </row>
    <row r="1563" spans="1:7" x14ac:dyDescent="0.25">
      <c r="A1563" s="5">
        <v>29962</v>
      </c>
      <c r="B1563">
        <v>119.55</v>
      </c>
      <c r="C1563">
        <v>120.34</v>
      </c>
      <c r="D1563">
        <v>114.07</v>
      </c>
      <c r="E1563">
        <v>116.33</v>
      </c>
      <c r="F1563">
        <v>47416000</v>
      </c>
      <c r="G1563">
        <v>116.33</v>
      </c>
    </row>
    <row r="1564" spans="1:7" x14ac:dyDescent="0.25">
      <c r="A1564" s="5">
        <v>29955</v>
      </c>
      <c r="B1564">
        <v>122.55</v>
      </c>
      <c r="C1564">
        <v>123.72</v>
      </c>
      <c r="D1564">
        <v>117.7</v>
      </c>
      <c r="E1564">
        <v>119.55</v>
      </c>
      <c r="F1564">
        <v>44248000</v>
      </c>
      <c r="G1564">
        <v>119.55</v>
      </c>
    </row>
    <row r="1565" spans="1:7" x14ac:dyDescent="0.25">
      <c r="A1565" s="5">
        <v>29948</v>
      </c>
      <c r="B1565">
        <v>122.54</v>
      </c>
      <c r="C1565">
        <v>123.42</v>
      </c>
      <c r="D1565">
        <v>121.04</v>
      </c>
      <c r="E1565">
        <v>122.55</v>
      </c>
      <c r="F1565">
        <v>36840000</v>
      </c>
      <c r="G1565">
        <v>122.55</v>
      </c>
    </row>
    <row r="1566" spans="1:7" x14ac:dyDescent="0.25">
      <c r="A1566" s="5">
        <v>29941</v>
      </c>
      <c r="B1566">
        <v>124</v>
      </c>
      <c r="C1566">
        <v>124.71</v>
      </c>
      <c r="D1566">
        <v>121.57</v>
      </c>
      <c r="E1566">
        <v>122.54</v>
      </c>
      <c r="F1566">
        <v>39115000</v>
      </c>
      <c r="G1566">
        <v>122.54</v>
      </c>
    </row>
    <row r="1567" spans="1:7" x14ac:dyDescent="0.25">
      <c r="A1567" s="5">
        <v>29934</v>
      </c>
      <c r="B1567">
        <v>124.37</v>
      </c>
      <c r="C1567">
        <v>124.87</v>
      </c>
      <c r="D1567">
        <v>121.73</v>
      </c>
      <c r="E1567">
        <v>124</v>
      </c>
      <c r="F1567">
        <v>45962000</v>
      </c>
      <c r="G1567">
        <v>124</v>
      </c>
    </row>
    <row r="1568" spans="1:7" x14ac:dyDescent="0.25">
      <c r="A1568" s="5">
        <v>29927</v>
      </c>
      <c r="B1568">
        <v>126.26</v>
      </c>
      <c r="C1568">
        <v>126.91</v>
      </c>
      <c r="D1568">
        <v>123.52</v>
      </c>
      <c r="E1568">
        <v>124.93</v>
      </c>
      <c r="F1568">
        <v>45708000</v>
      </c>
      <c r="G1568">
        <v>124.93</v>
      </c>
    </row>
    <row r="1569" spans="1:7" x14ac:dyDescent="0.25">
      <c r="A1569" s="5">
        <v>29920</v>
      </c>
      <c r="B1569">
        <v>125.09</v>
      </c>
      <c r="C1569">
        <v>127.32</v>
      </c>
      <c r="D1569">
        <v>123.63</v>
      </c>
      <c r="E1569">
        <v>126.26</v>
      </c>
      <c r="F1569">
        <v>48976000</v>
      </c>
      <c r="G1569">
        <v>126.26</v>
      </c>
    </row>
    <row r="1570" spans="1:7" x14ac:dyDescent="0.25">
      <c r="A1570" s="5">
        <v>29913</v>
      </c>
      <c r="B1570">
        <v>121.71</v>
      </c>
      <c r="C1570">
        <v>125.71</v>
      </c>
      <c r="D1570">
        <v>120.76</v>
      </c>
      <c r="E1570">
        <v>125.09</v>
      </c>
      <c r="F1570">
        <v>47447500</v>
      </c>
      <c r="G1570">
        <v>125.09</v>
      </c>
    </row>
    <row r="1571" spans="1:7" x14ac:dyDescent="0.25">
      <c r="A1571" s="5">
        <v>29906</v>
      </c>
      <c r="B1571">
        <v>121.64</v>
      </c>
      <c r="C1571">
        <v>122.59</v>
      </c>
      <c r="D1571">
        <v>119.13</v>
      </c>
      <c r="E1571">
        <v>121.71</v>
      </c>
      <c r="F1571">
        <v>47562000</v>
      </c>
      <c r="G1571">
        <v>121.71</v>
      </c>
    </row>
    <row r="1572" spans="1:7" x14ac:dyDescent="0.25">
      <c r="A1572" s="5">
        <v>29899</v>
      </c>
      <c r="B1572">
        <v>122.67</v>
      </c>
      <c r="C1572">
        <v>124.71</v>
      </c>
      <c r="D1572">
        <v>121.06</v>
      </c>
      <c r="E1572">
        <v>121.67</v>
      </c>
      <c r="F1572">
        <v>49088000</v>
      </c>
      <c r="G1572">
        <v>121.67</v>
      </c>
    </row>
    <row r="1573" spans="1:7" x14ac:dyDescent="0.25">
      <c r="A1573" s="5">
        <v>29892</v>
      </c>
      <c r="B1573">
        <v>122.35</v>
      </c>
      <c r="C1573">
        <v>126</v>
      </c>
      <c r="D1573">
        <v>121.85</v>
      </c>
      <c r="E1573">
        <v>122.67</v>
      </c>
      <c r="F1573">
        <v>53460000</v>
      </c>
      <c r="G1573">
        <v>122.67</v>
      </c>
    </row>
    <row r="1574" spans="1:7" x14ac:dyDescent="0.25">
      <c r="A1574" s="5">
        <v>29885</v>
      </c>
      <c r="B1574">
        <v>118.6</v>
      </c>
      <c r="C1574">
        <v>122.53</v>
      </c>
      <c r="D1574">
        <v>116.81</v>
      </c>
      <c r="E1574">
        <v>121.89</v>
      </c>
      <c r="F1574">
        <v>47796000</v>
      </c>
      <c r="G1574">
        <v>121.89</v>
      </c>
    </row>
    <row r="1575" spans="1:7" x14ac:dyDescent="0.25">
      <c r="A1575" s="5">
        <v>29878</v>
      </c>
      <c r="B1575">
        <v>119.19</v>
      </c>
      <c r="C1575">
        <v>121.94</v>
      </c>
      <c r="D1575">
        <v>117.58</v>
      </c>
      <c r="E1575">
        <v>118.6</v>
      </c>
      <c r="F1575">
        <v>44846000</v>
      </c>
      <c r="G1575">
        <v>118.6</v>
      </c>
    </row>
    <row r="1576" spans="1:7" x14ac:dyDescent="0.25">
      <c r="A1576" s="5">
        <v>29871</v>
      </c>
      <c r="B1576">
        <v>121.45</v>
      </c>
      <c r="C1576">
        <v>122.37</v>
      </c>
      <c r="D1576">
        <v>118.01</v>
      </c>
      <c r="E1576">
        <v>119.19</v>
      </c>
      <c r="F1576">
        <v>38856000</v>
      </c>
      <c r="G1576">
        <v>119.19</v>
      </c>
    </row>
    <row r="1577" spans="1:7" x14ac:dyDescent="0.25">
      <c r="A1577" s="5">
        <v>29864</v>
      </c>
      <c r="B1577">
        <v>119.36</v>
      </c>
      <c r="C1577">
        <v>123.28</v>
      </c>
      <c r="D1577">
        <v>118.08</v>
      </c>
      <c r="E1577">
        <v>121.45</v>
      </c>
      <c r="F1577">
        <v>48786000</v>
      </c>
      <c r="G1577">
        <v>121.45</v>
      </c>
    </row>
    <row r="1578" spans="1:7" x14ac:dyDescent="0.25">
      <c r="A1578" s="5">
        <v>29857</v>
      </c>
      <c r="B1578">
        <v>112.77</v>
      </c>
      <c r="C1578">
        <v>120.16</v>
      </c>
      <c r="D1578">
        <v>110.19</v>
      </c>
      <c r="E1578">
        <v>119.36</v>
      </c>
      <c r="F1578">
        <v>49592000</v>
      </c>
      <c r="G1578">
        <v>119.36</v>
      </c>
    </row>
    <row r="1579" spans="1:7" x14ac:dyDescent="0.25">
      <c r="A1579" s="5">
        <v>29850</v>
      </c>
      <c r="B1579">
        <v>116.26</v>
      </c>
      <c r="C1579">
        <v>118.19</v>
      </c>
      <c r="D1579">
        <v>111.64</v>
      </c>
      <c r="E1579">
        <v>112.77</v>
      </c>
      <c r="F1579">
        <v>49474000</v>
      </c>
      <c r="G1579">
        <v>112.77</v>
      </c>
    </row>
    <row r="1580" spans="1:7" x14ac:dyDescent="0.25">
      <c r="A1580" s="5">
        <v>29843</v>
      </c>
      <c r="B1580">
        <v>121.61</v>
      </c>
      <c r="C1580">
        <v>122</v>
      </c>
      <c r="D1580">
        <v>115.18</v>
      </c>
      <c r="E1580">
        <v>116.26</v>
      </c>
      <c r="F1580">
        <v>42386000</v>
      </c>
      <c r="G1580">
        <v>116.26</v>
      </c>
    </row>
    <row r="1581" spans="1:7" x14ac:dyDescent="0.25">
      <c r="A1581" s="5">
        <v>29837</v>
      </c>
      <c r="B1581">
        <v>120.07</v>
      </c>
      <c r="C1581">
        <v>122.18</v>
      </c>
      <c r="D1581">
        <v>116.85</v>
      </c>
      <c r="E1581">
        <v>121.61</v>
      </c>
      <c r="F1581">
        <v>45212500</v>
      </c>
      <c r="G1581">
        <v>121.61</v>
      </c>
    </row>
    <row r="1582" spans="1:7" x14ac:dyDescent="0.25">
      <c r="A1582" s="5">
        <v>29829</v>
      </c>
      <c r="B1582">
        <v>124.08</v>
      </c>
      <c r="C1582">
        <v>125.58</v>
      </c>
      <c r="D1582">
        <v>119.24</v>
      </c>
      <c r="E1582">
        <v>120.07</v>
      </c>
      <c r="F1582">
        <v>41506000</v>
      </c>
      <c r="G1582">
        <v>120.07</v>
      </c>
    </row>
    <row r="1583" spans="1:7" x14ac:dyDescent="0.25">
      <c r="A1583" s="5">
        <v>29822</v>
      </c>
      <c r="B1583">
        <v>128.59</v>
      </c>
      <c r="C1583">
        <v>128.59</v>
      </c>
      <c r="D1583">
        <v>122.85</v>
      </c>
      <c r="E1583">
        <v>124.08</v>
      </c>
      <c r="F1583">
        <v>44650000</v>
      </c>
      <c r="G1583">
        <v>124.08</v>
      </c>
    </row>
    <row r="1584" spans="1:7" x14ac:dyDescent="0.25">
      <c r="A1584" s="5">
        <v>29815</v>
      </c>
      <c r="B1584">
        <v>132.49</v>
      </c>
      <c r="C1584">
        <v>133.02000000000001</v>
      </c>
      <c r="D1584">
        <v>128.69999999999999</v>
      </c>
      <c r="E1584">
        <v>129.22999999999999</v>
      </c>
      <c r="F1584">
        <v>40688000</v>
      </c>
      <c r="G1584">
        <v>129.22999999999999</v>
      </c>
    </row>
    <row r="1585" spans="1:7" x14ac:dyDescent="0.25">
      <c r="A1585" s="5">
        <v>29808</v>
      </c>
      <c r="B1585">
        <v>131.75</v>
      </c>
      <c r="C1585">
        <v>135.18</v>
      </c>
      <c r="D1585">
        <v>130.83000000000001</v>
      </c>
      <c r="E1585">
        <v>132.49</v>
      </c>
      <c r="F1585">
        <v>45932000</v>
      </c>
      <c r="G1585">
        <v>132.49</v>
      </c>
    </row>
    <row r="1586" spans="1:7" x14ac:dyDescent="0.25">
      <c r="A1586" s="5">
        <v>29801</v>
      </c>
      <c r="B1586">
        <v>130.91999999999999</v>
      </c>
      <c r="C1586">
        <v>134.04</v>
      </c>
      <c r="D1586">
        <v>129.41999999999999</v>
      </c>
      <c r="E1586">
        <v>131.75</v>
      </c>
      <c r="F1586">
        <v>44768000</v>
      </c>
      <c r="G1586">
        <v>131.75</v>
      </c>
    </row>
    <row r="1587" spans="1:7" x14ac:dyDescent="0.25">
      <c r="A1587" s="5">
        <v>29794</v>
      </c>
      <c r="B1587">
        <v>128.46</v>
      </c>
      <c r="C1587">
        <v>131.78</v>
      </c>
      <c r="D1587">
        <v>128.28</v>
      </c>
      <c r="E1587">
        <v>130.91999999999999</v>
      </c>
      <c r="F1587">
        <v>40084000</v>
      </c>
      <c r="G1587">
        <v>130.91999999999999</v>
      </c>
    </row>
    <row r="1588" spans="1:7" x14ac:dyDescent="0.25">
      <c r="A1588" s="5">
        <v>29787</v>
      </c>
      <c r="B1588">
        <v>130.6</v>
      </c>
      <c r="C1588">
        <v>130.6</v>
      </c>
      <c r="D1588">
        <v>125.96</v>
      </c>
      <c r="E1588">
        <v>128.46</v>
      </c>
      <c r="F1588">
        <v>43138000</v>
      </c>
      <c r="G1588">
        <v>128.46</v>
      </c>
    </row>
    <row r="1589" spans="1:7" x14ac:dyDescent="0.25">
      <c r="A1589" s="5">
        <v>29780</v>
      </c>
      <c r="B1589">
        <v>129.37</v>
      </c>
      <c r="C1589">
        <v>131.6</v>
      </c>
      <c r="D1589">
        <v>128.13999999999999</v>
      </c>
      <c r="E1589">
        <v>130.76</v>
      </c>
      <c r="F1589">
        <v>42814000</v>
      </c>
      <c r="G1589">
        <v>130.76</v>
      </c>
    </row>
    <row r="1590" spans="1:7" x14ac:dyDescent="0.25">
      <c r="A1590" s="5">
        <v>29773</v>
      </c>
      <c r="B1590">
        <v>128.63999999999999</v>
      </c>
      <c r="C1590">
        <v>130.43</v>
      </c>
      <c r="D1590">
        <v>126.39</v>
      </c>
      <c r="E1590">
        <v>129.37</v>
      </c>
      <c r="F1590">
        <v>45922000</v>
      </c>
      <c r="G1590">
        <v>129.37</v>
      </c>
    </row>
    <row r="1591" spans="1:7" x14ac:dyDescent="0.25">
      <c r="A1591" s="5">
        <v>29766</v>
      </c>
      <c r="B1591">
        <v>132.56</v>
      </c>
      <c r="C1591">
        <v>133.5</v>
      </c>
      <c r="D1591">
        <v>127.84</v>
      </c>
      <c r="E1591">
        <v>128.63999999999999</v>
      </c>
      <c r="F1591">
        <v>43415000</v>
      </c>
      <c r="G1591">
        <v>128.63999999999999</v>
      </c>
    </row>
    <row r="1592" spans="1:7" x14ac:dyDescent="0.25">
      <c r="A1592" s="5">
        <v>29759</v>
      </c>
      <c r="B1592">
        <v>132.27000000000001</v>
      </c>
      <c r="C1592">
        <v>134.30000000000001</v>
      </c>
      <c r="D1592">
        <v>131.1</v>
      </c>
      <c r="E1592">
        <v>132.56</v>
      </c>
      <c r="F1592">
        <v>44688000</v>
      </c>
      <c r="G1592">
        <v>132.56</v>
      </c>
    </row>
    <row r="1593" spans="1:7" x14ac:dyDescent="0.25">
      <c r="A1593" s="5">
        <v>29752</v>
      </c>
      <c r="B1593">
        <v>133.49</v>
      </c>
      <c r="C1593">
        <v>135.66999999999999</v>
      </c>
      <c r="D1593">
        <v>130.49</v>
      </c>
      <c r="E1593">
        <v>132.27000000000001</v>
      </c>
      <c r="F1593">
        <v>54286000</v>
      </c>
      <c r="G1593">
        <v>132.27000000000001</v>
      </c>
    </row>
    <row r="1594" spans="1:7" x14ac:dyDescent="0.25">
      <c r="A1594" s="5">
        <v>29745</v>
      </c>
      <c r="B1594">
        <v>132.22</v>
      </c>
      <c r="C1594">
        <v>135.09</v>
      </c>
      <c r="D1594">
        <v>130.94</v>
      </c>
      <c r="E1594">
        <v>133.49</v>
      </c>
      <c r="F1594">
        <v>51940000</v>
      </c>
      <c r="G1594">
        <v>133.49</v>
      </c>
    </row>
    <row r="1595" spans="1:7" x14ac:dyDescent="0.25">
      <c r="A1595" s="5">
        <v>29738</v>
      </c>
      <c r="B1595">
        <v>132.59</v>
      </c>
      <c r="C1595">
        <v>134.62</v>
      </c>
      <c r="D1595">
        <v>128.77000000000001</v>
      </c>
      <c r="E1595">
        <v>132.22</v>
      </c>
      <c r="F1595">
        <v>53384000</v>
      </c>
      <c r="G1595">
        <v>132.22</v>
      </c>
    </row>
    <row r="1596" spans="1:7" x14ac:dyDescent="0.25">
      <c r="A1596" s="5">
        <v>29732</v>
      </c>
      <c r="B1596">
        <v>131.33000000000001</v>
      </c>
      <c r="C1596">
        <v>134.91999999999999</v>
      </c>
      <c r="D1596">
        <v>130.63999999999999</v>
      </c>
      <c r="E1596">
        <v>132.59</v>
      </c>
      <c r="F1596">
        <v>53142500</v>
      </c>
      <c r="G1596">
        <v>132.59</v>
      </c>
    </row>
    <row r="1597" spans="1:7" x14ac:dyDescent="0.25">
      <c r="A1597" s="5">
        <v>29724</v>
      </c>
      <c r="B1597">
        <v>132.16999999999999</v>
      </c>
      <c r="C1597">
        <v>133.65</v>
      </c>
      <c r="D1597">
        <v>130.41999999999999</v>
      </c>
      <c r="E1597">
        <v>131.33000000000001</v>
      </c>
      <c r="F1597">
        <v>42926000</v>
      </c>
      <c r="G1597">
        <v>131.33000000000001</v>
      </c>
    </row>
    <row r="1598" spans="1:7" x14ac:dyDescent="0.25">
      <c r="A1598" s="5">
        <v>29717</v>
      </c>
      <c r="B1598">
        <v>131.66</v>
      </c>
      <c r="C1598">
        <v>133.21</v>
      </c>
      <c r="D1598">
        <v>128.78</v>
      </c>
      <c r="E1598">
        <v>132.16999999999999</v>
      </c>
      <c r="F1598">
        <v>41778000</v>
      </c>
      <c r="G1598">
        <v>132.16999999999999</v>
      </c>
    </row>
    <row r="1599" spans="1:7" x14ac:dyDescent="0.25">
      <c r="A1599" s="5">
        <v>29710</v>
      </c>
      <c r="B1599">
        <v>131.78</v>
      </c>
      <c r="C1599">
        <v>132.69</v>
      </c>
      <c r="D1599">
        <v>128.93</v>
      </c>
      <c r="E1599">
        <v>131.66</v>
      </c>
      <c r="F1599">
        <v>44196000</v>
      </c>
      <c r="G1599">
        <v>131.66</v>
      </c>
    </row>
    <row r="1600" spans="1:7" x14ac:dyDescent="0.25">
      <c r="A1600" s="5">
        <v>29703</v>
      </c>
      <c r="B1600">
        <v>135.13999999999999</v>
      </c>
      <c r="C1600">
        <v>136.56</v>
      </c>
      <c r="D1600">
        <v>131.43</v>
      </c>
      <c r="E1600">
        <v>132.72</v>
      </c>
      <c r="F1600">
        <v>51792000</v>
      </c>
      <c r="G1600">
        <v>132.72</v>
      </c>
    </row>
    <row r="1601" spans="1:7" x14ac:dyDescent="0.25">
      <c r="A1601" s="5">
        <v>29696</v>
      </c>
      <c r="B1601">
        <v>134.69999999999999</v>
      </c>
      <c r="C1601">
        <v>136.38</v>
      </c>
      <c r="D1601">
        <v>132.72</v>
      </c>
      <c r="E1601">
        <v>135.13999999999999</v>
      </c>
      <c r="F1601">
        <v>59232000</v>
      </c>
      <c r="G1601">
        <v>135.13999999999999</v>
      </c>
    </row>
    <row r="1602" spans="1:7" x14ac:dyDescent="0.25">
      <c r="A1602" s="5">
        <v>29689</v>
      </c>
      <c r="B1602">
        <v>134.51</v>
      </c>
      <c r="C1602">
        <v>135.82</v>
      </c>
      <c r="D1602">
        <v>131.58000000000001</v>
      </c>
      <c r="E1602">
        <v>134.69999999999999</v>
      </c>
      <c r="F1602">
        <v>51800000</v>
      </c>
      <c r="G1602">
        <v>134.69999999999999</v>
      </c>
    </row>
    <row r="1603" spans="1:7" x14ac:dyDescent="0.25">
      <c r="A1603" s="5">
        <v>29682</v>
      </c>
      <c r="B1603">
        <v>135.49</v>
      </c>
      <c r="C1603">
        <v>136.22999999999999</v>
      </c>
      <c r="D1603">
        <v>132.59</v>
      </c>
      <c r="E1603">
        <v>134.51</v>
      </c>
      <c r="F1603">
        <v>50676000</v>
      </c>
      <c r="G1603">
        <v>134.51</v>
      </c>
    </row>
    <row r="1604" spans="1:7" x14ac:dyDescent="0.25">
      <c r="A1604" s="5">
        <v>29675</v>
      </c>
      <c r="B1604">
        <v>134.65</v>
      </c>
      <c r="C1604">
        <v>137.72</v>
      </c>
      <c r="D1604">
        <v>133.51</v>
      </c>
      <c r="E1604">
        <v>135.49</v>
      </c>
      <c r="F1604">
        <v>48122000</v>
      </c>
      <c r="G1604">
        <v>135.49</v>
      </c>
    </row>
    <row r="1605" spans="1:7" x14ac:dyDescent="0.25">
      <c r="A1605" s="5">
        <v>29668</v>
      </c>
      <c r="B1605">
        <v>134.08000000000001</v>
      </c>
      <c r="C1605">
        <v>138.38</v>
      </c>
      <c r="D1605">
        <v>133.41</v>
      </c>
      <c r="E1605">
        <v>134.65</v>
      </c>
      <c r="F1605">
        <v>57580000</v>
      </c>
      <c r="G1605">
        <v>134.65</v>
      </c>
    </row>
    <row r="1606" spans="1:7" x14ac:dyDescent="0.25">
      <c r="A1606" s="5">
        <v>29661</v>
      </c>
      <c r="B1606">
        <v>133.11000000000001</v>
      </c>
      <c r="C1606">
        <v>136.09</v>
      </c>
      <c r="D1606">
        <v>132.1</v>
      </c>
      <c r="E1606">
        <v>134.08000000000001</v>
      </c>
      <c r="F1606">
        <v>59204000</v>
      </c>
      <c r="G1606">
        <v>134.08000000000001</v>
      </c>
    </row>
    <row r="1607" spans="1:7" x14ac:dyDescent="0.25">
      <c r="A1607" s="5">
        <v>29654</v>
      </c>
      <c r="B1607">
        <v>129.85</v>
      </c>
      <c r="C1607">
        <v>135.53</v>
      </c>
      <c r="D1607">
        <v>128.72</v>
      </c>
      <c r="E1607">
        <v>133.11000000000001</v>
      </c>
      <c r="F1607">
        <v>54622000</v>
      </c>
      <c r="G1607">
        <v>133.11000000000001</v>
      </c>
    </row>
    <row r="1608" spans="1:7" x14ac:dyDescent="0.25">
      <c r="A1608" s="5">
        <v>29647</v>
      </c>
      <c r="B1608">
        <v>131.27000000000001</v>
      </c>
      <c r="C1608">
        <v>132.96</v>
      </c>
      <c r="D1608">
        <v>128.56</v>
      </c>
      <c r="E1608">
        <v>129.85</v>
      </c>
      <c r="F1608">
        <v>46604000</v>
      </c>
      <c r="G1608">
        <v>129.85</v>
      </c>
    </row>
    <row r="1609" spans="1:7" x14ac:dyDescent="0.25">
      <c r="A1609" s="5">
        <v>29640</v>
      </c>
      <c r="B1609">
        <v>126.58</v>
      </c>
      <c r="C1609">
        <v>132.02000000000001</v>
      </c>
      <c r="D1609">
        <v>125.69</v>
      </c>
      <c r="E1609">
        <v>131.27000000000001</v>
      </c>
      <c r="F1609">
        <v>48554000</v>
      </c>
      <c r="G1609">
        <v>131.27000000000001</v>
      </c>
    </row>
    <row r="1610" spans="1:7" x14ac:dyDescent="0.25">
      <c r="A1610" s="5">
        <v>29634</v>
      </c>
      <c r="B1610">
        <v>126.98</v>
      </c>
      <c r="C1610">
        <v>129.25</v>
      </c>
      <c r="D1610">
        <v>124.66</v>
      </c>
      <c r="E1610">
        <v>126.58</v>
      </c>
      <c r="F1610">
        <v>40470000</v>
      </c>
      <c r="G1610">
        <v>126.58</v>
      </c>
    </row>
    <row r="1611" spans="1:7" x14ac:dyDescent="0.25">
      <c r="A1611" s="5">
        <v>29626</v>
      </c>
      <c r="B1611">
        <v>130.6</v>
      </c>
      <c r="C1611">
        <v>131.38999999999999</v>
      </c>
      <c r="D1611">
        <v>126.04</v>
      </c>
      <c r="E1611">
        <v>126.98</v>
      </c>
      <c r="F1611">
        <v>36996000</v>
      </c>
      <c r="G1611">
        <v>126.98</v>
      </c>
    </row>
    <row r="1612" spans="1:7" x14ac:dyDescent="0.25">
      <c r="A1612" s="5">
        <v>29619</v>
      </c>
      <c r="B1612">
        <v>129.47999999999999</v>
      </c>
      <c r="C1612">
        <v>131.81</v>
      </c>
      <c r="D1612">
        <v>125.82</v>
      </c>
      <c r="E1612">
        <v>130.6</v>
      </c>
      <c r="F1612">
        <v>45336000</v>
      </c>
      <c r="G1612">
        <v>130.6</v>
      </c>
    </row>
    <row r="1613" spans="1:7" x14ac:dyDescent="0.25">
      <c r="A1613" s="5">
        <v>29612</v>
      </c>
      <c r="B1613">
        <v>130.22999999999999</v>
      </c>
      <c r="C1613">
        <v>132.41</v>
      </c>
      <c r="D1613">
        <v>128.57</v>
      </c>
      <c r="E1613">
        <v>129.55000000000001</v>
      </c>
      <c r="F1613">
        <v>38732000</v>
      </c>
      <c r="G1613">
        <v>129.55000000000001</v>
      </c>
    </row>
    <row r="1614" spans="1:7" x14ac:dyDescent="0.25">
      <c r="A1614" s="5">
        <v>29605</v>
      </c>
      <c r="B1614">
        <v>134.77000000000001</v>
      </c>
      <c r="C1614">
        <v>135.86000000000001</v>
      </c>
      <c r="D1614">
        <v>129</v>
      </c>
      <c r="E1614">
        <v>130.22999999999999</v>
      </c>
      <c r="F1614">
        <v>38902000</v>
      </c>
      <c r="G1614">
        <v>130.22999999999999</v>
      </c>
    </row>
    <row r="1615" spans="1:7" x14ac:dyDescent="0.25">
      <c r="A1615" s="5">
        <v>29598</v>
      </c>
      <c r="B1615">
        <v>133.47999999999999</v>
      </c>
      <c r="C1615">
        <v>135.91</v>
      </c>
      <c r="D1615">
        <v>131.69</v>
      </c>
      <c r="E1615">
        <v>134.77000000000001</v>
      </c>
      <c r="F1615">
        <v>42788000</v>
      </c>
      <c r="G1615">
        <v>134.77000000000001</v>
      </c>
    </row>
    <row r="1616" spans="1:7" x14ac:dyDescent="0.25">
      <c r="A1616" s="5">
        <v>29591</v>
      </c>
      <c r="B1616">
        <v>136.34</v>
      </c>
      <c r="C1616">
        <v>140.32</v>
      </c>
      <c r="D1616">
        <v>131.71</v>
      </c>
      <c r="E1616">
        <v>133.47999999999999</v>
      </c>
      <c r="F1616">
        <v>64908000</v>
      </c>
      <c r="G1616">
        <v>133.47999999999999</v>
      </c>
    </row>
    <row r="1617" spans="1:7" x14ac:dyDescent="0.25">
      <c r="A1617" s="5">
        <v>29584</v>
      </c>
      <c r="B1617">
        <v>136.57</v>
      </c>
      <c r="C1617">
        <v>137.51</v>
      </c>
      <c r="D1617">
        <v>134.04</v>
      </c>
      <c r="E1617">
        <v>136.34</v>
      </c>
      <c r="F1617">
        <v>36472500</v>
      </c>
      <c r="G1617">
        <v>136.34</v>
      </c>
    </row>
    <row r="1618" spans="1:7" x14ac:dyDescent="0.25">
      <c r="A1618" s="5">
        <v>29577</v>
      </c>
      <c r="B1618">
        <v>133.69999999999999</v>
      </c>
      <c r="C1618">
        <v>137.47999999999999</v>
      </c>
      <c r="D1618">
        <v>132.88</v>
      </c>
      <c r="E1618">
        <v>136.57</v>
      </c>
      <c r="F1618">
        <v>38207500</v>
      </c>
      <c r="G1618">
        <v>136.57</v>
      </c>
    </row>
    <row r="1619" spans="1:7" x14ac:dyDescent="0.25">
      <c r="A1619" s="5">
        <v>29570</v>
      </c>
      <c r="B1619">
        <v>129.22999999999999</v>
      </c>
      <c r="C1619">
        <v>135.9</v>
      </c>
      <c r="D1619">
        <v>128.33000000000001</v>
      </c>
      <c r="E1619">
        <v>133.69999999999999</v>
      </c>
      <c r="F1619">
        <v>50494000</v>
      </c>
      <c r="G1619">
        <v>133.69999999999999</v>
      </c>
    </row>
    <row r="1620" spans="1:7" x14ac:dyDescent="0.25">
      <c r="A1620" s="5">
        <v>29563</v>
      </c>
      <c r="B1620">
        <v>133.19</v>
      </c>
      <c r="C1620">
        <v>133.19</v>
      </c>
      <c r="D1620">
        <v>125.32</v>
      </c>
      <c r="E1620">
        <v>129.22999999999999</v>
      </c>
      <c r="F1620">
        <v>51244000</v>
      </c>
      <c r="G1620">
        <v>129.22999999999999</v>
      </c>
    </row>
    <row r="1621" spans="1:7" x14ac:dyDescent="0.25">
      <c r="A1621" s="5">
        <v>29556</v>
      </c>
      <c r="B1621">
        <v>140.52000000000001</v>
      </c>
      <c r="C1621">
        <v>140.66</v>
      </c>
      <c r="D1621">
        <v>132.91</v>
      </c>
      <c r="E1621">
        <v>134.03</v>
      </c>
      <c r="F1621">
        <v>49422000</v>
      </c>
      <c r="G1621">
        <v>134.03</v>
      </c>
    </row>
    <row r="1622" spans="1:7" x14ac:dyDescent="0.25">
      <c r="A1622" s="5">
        <v>29549</v>
      </c>
      <c r="B1622">
        <v>139.11000000000001</v>
      </c>
      <c r="C1622">
        <v>141.96</v>
      </c>
      <c r="D1622">
        <v>136.36000000000001</v>
      </c>
      <c r="E1622">
        <v>140.52000000000001</v>
      </c>
      <c r="F1622">
        <v>49135000</v>
      </c>
      <c r="G1622">
        <v>140.52000000000001</v>
      </c>
    </row>
    <row r="1623" spans="1:7" x14ac:dyDescent="0.25">
      <c r="A1623" s="5">
        <v>29542</v>
      </c>
      <c r="B1623">
        <v>137.15</v>
      </c>
      <c r="C1623">
        <v>141.76</v>
      </c>
      <c r="D1623">
        <v>134.9</v>
      </c>
      <c r="E1623">
        <v>139.11000000000001</v>
      </c>
      <c r="F1623">
        <v>61200000</v>
      </c>
      <c r="G1623">
        <v>139.11000000000001</v>
      </c>
    </row>
    <row r="1624" spans="1:7" x14ac:dyDescent="0.25">
      <c r="A1624" s="5">
        <v>29535</v>
      </c>
      <c r="B1624">
        <v>129.18</v>
      </c>
      <c r="C1624">
        <v>138.96</v>
      </c>
      <c r="D1624">
        <v>128.19</v>
      </c>
      <c r="E1624">
        <v>137.15</v>
      </c>
      <c r="F1624">
        <v>55342000</v>
      </c>
      <c r="G1624">
        <v>137.15</v>
      </c>
    </row>
    <row r="1625" spans="1:7" x14ac:dyDescent="0.25">
      <c r="A1625" s="5">
        <v>29528</v>
      </c>
      <c r="B1625">
        <v>127.47</v>
      </c>
      <c r="C1625">
        <v>135.65</v>
      </c>
      <c r="D1625">
        <v>127.23</v>
      </c>
      <c r="E1625">
        <v>129.18</v>
      </c>
      <c r="F1625">
        <v>52215000</v>
      </c>
      <c r="G1625">
        <v>129.18</v>
      </c>
    </row>
    <row r="1626" spans="1:7" x14ac:dyDescent="0.25">
      <c r="A1626" s="5">
        <v>29521</v>
      </c>
      <c r="B1626">
        <v>129.85</v>
      </c>
      <c r="C1626">
        <v>129.94</v>
      </c>
      <c r="D1626">
        <v>125.29</v>
      </c>
      <c r="E1626">
        <v>127.47</v>
      </c>
      <c r="F1626">
        <v>38220000</v>
      </c>
      <c r="G1626">
        <v>127.47</v>
      </c>
    </row>
    <row r="1627" spans="1:7" x14ac:dyDescent="0.25">
      <c r="A1627" s="5">
        <v>29514</v>
      </c>
      <c r="B1627">
        <v>131.52000000000001</v>
      </c>
      <c r="C1627">
        <v>134.01</v>
      </c>
      <c r="D1627">
        <v>128.04</v>
      </c>
      <c r="E1627">
        <v>129.85</v>
      </c>
      <c r="F1627">
        <v>45088000</v>
      </c>
      <c r="G1627">
        <v>129.85</v>
      </c>
    </row>
    <row r="1628" spans="1:7" x14ac:dyDescent="0.25">
      <c r="A1628" s="5">
        <v>29507</v>
      </c>
      <c r="B1628">
        <v>130.29</v>
      </c>
      <c r="C1628">
        <v>135.88</v>
      </c>
      <c r="D1628">
        <v>129.37</v>
      </c>
      <c r="E1628">
        <v>131.52000000000001</v>
      </c>
      <c r="F1628">
        <v>47564000</v>
      </c>
      <c r="G1628">
        <v>131.52000000000001</v>
      </c>
    </row>
    <row r="1629" spans="1:7" x14ac:dyDescent="0.25">
      <c r="A1629" s="5">
        <v>29500</v>
      </c>
      <c r="B1629">
        <v>129.35</v>
      </c>
      <c r="C1629">
        <v>132.88</v>
      </c>
      <c r="D1629">
        <v>129.35</v>
      </c>
      <c r="E1629">
        <v>130.29</v>
      </c>
      <c r="F1629">
        <v>47008000</v>
      </c>
      <c r="G1629">
        <v>130.29</v>
      </c>
    </row>
    <row r="1630" spans="1:7" x14ac:dyDescent="0.25">
      <c r="A1630" s="5">
        <v>29493</v>
      </c>
      <c r="B1630">
        <v>125.41</v>
      </c>
      <c r="C1630">
        <v>130.44</v>
      </c>
      <c r="D1630">
        <v>122.87</v>
      </c>
      <c r="E1630">
        <v>129.33000000000001</v>
      </c>
      <c r="F1630">
        <v>45818000</v>
      </c>
      <c r="G1630">
        <v>129.33000000000001</v>
      </c>
    </row>
    <row r="1631" spans="1:7" x14ac:dyDescent="0.25">
      <c r="A1631" s="5">
        <v>29486</v>
      </c>
      <c r="B1631">
        <v>129.25</v>
      </c>
      <c r="C1631">
        <v>132.16999999999999</v>
      </c>
      <c r="D1631">
        <v>125.29</v>
      </c>
      <c r="E1631">
        <v>126.35</v>
      </c>
      <c r="F1631">
        <v>54672000</v>
      </c>
      <c r="G1631">
        <v>126.35</v>
      </c>
    </row>
    <row r="1632" spans="1:7" x14ac:dyDescent="0.25">
      <c r="A1632" s="5">
        <v>29479</v>
      </c>
      <c r="B1632">
        <v>125.54</v>
      </c>
      <c r="C1632">
        <v>130.38</v>
      </c>
      <c r="D1632">
        <v>124.09</v>
      </c>
      <c r="E1632">
        <v>129.25</v>
      </c>
      <c r="F1632">
        <v>56616000</v>
      </c>
      <c r="G1632">
        <v>129.25</v>
      </c>
    </row>
    <row r="1633" spans="1:7" x14ac:dyDescent="0.25">
      <c r="A1633" s="5">
        <v>29472</v>
      </c>
      <c r="B1633">
        <v>124.88</v>
      </c>
      <c r="C1633">
        <v>126.75</v>
      </c>
      <c r="D1633">
        <v>121.94</v>
      </c>
      <c r="E1633">
        <v>125.54</v>
      </c>
      <c r="F1633">
        <v>45978000</v>
      </c>
      <c r="G1633">
        <v>125.54</v>
      </c>
    </row>
    <row r="1634" spans="1:7" x14ac:dyDescent="0.25">
      <c r="A1634" s="5">
        <v>29466</v>
      </c>
      <c r="B1634">
        <v>122.38</v>
      </c>
      <c r="C1634">
        <v>127.7</v>
      </c>
      <c r="D1634">
        <v>121.79</v>
      </c>
      <c r="E1634">
        <v>124.88</v>
      </c>
      <c r="F1634">
        <v>46170000</v>
      </c>
      <c r="G1634">
        <v>124.88</v>
      </c>
    </row>
    <row r="1635" spans="1:7" x14ac:dyDescent="0.25">
      <c r="A1635" s="5">
        <v>29458</v>
      </c>
      <c r="B1635">
        <v>126.02</v>
      </c>
      <c r="C1635">
        <v>126.29</v>
      </c>
      <c r="D1635">
        <v>121.06</v>
      </c>
      <c r="E1635">
        <v>122.38</v>
      </c>
      <c r="F1635">
        <v>38900000</v>
      </c>
      <c r="G1635">
        <v>122.38</v>
      </c>
    </row>
    <row r="1636" spans="1:7" x14ac:dyDescent="0.25">
      <c r="A1636" s="5">
        <v>29451</v>
      </c>
      <c r="B1636">
        <v>125.28</v>
      </c>
      <c r="C1636">
        <v>127.78</v>
      </c>
      <c r="D1636">
        <v>121.91</v>
      </c>
      <c r="E1636">
        <v>126.02</v>
      </c>
      <c r="F1636">
        <v>47072000</v>
      </c>
      <c r="G1636">
        <v>126.02</v>
      </c>
    </row>
    <row r="1637" spans="1:7" x14ac:dyDescent="0.25">
      <c r="A1637" s="5">
        <v>29444</v>
      </c>
      <c r="B1637">
        <v>123.61</v>
      </c>
      <c r="C1637">
        <v>126.61</v>
      </c>
      <c r="D1637">
        <v>122.49</v>
      </c>
      <c r="E1637">
        <v>125.72</v>
      </c>
      <c r="F1637">
        <v>47314000</v>
      </c>
      <c r="G1637">
        <v>125.72</v>
      </c>
    </row>
    <row r="1638" spans="1:7" x14ac:dyDescent="0.25">
      <c r="A1638" s="5">
        <v>29437</v>
      </c>
      <c r="B1638">
        <v>121.21</v>
      </c>
      <c r="C1638">
        <v>125.23</v>
      </c>
      <c r="D1638">
        <v>119.42</v>
      </c>
      <c r="E1638">
        <v>123.61</v>
      </c>
      <c r="F1638">
        <v>50558000</v>
      </c>
      <c r="G1638">
        <v>123.61</v>
      </c>
    </row>
    <row r="1639" spans="1:7" x14ac:dyDescent="0.25">
      <c r="A1639" s="5">
        <v>29430</v>
      </c>
      <c r="B1639">
        <v>120.78</v>
      </c>
      <c r="C1639">
        <v>123.93</v>
      </c>
      <c r="D1639">
        <v>119.4</v>
      </c>
      <c r="E1639">
        <v>121.21</v>
      </c>
      <c r="F1639">
        <v>47856000</v>
      </c>
      <c r="G1639">
        <v>121.21</v>
      </c>
    </row>
    <row r="1640" spans="1:7" x14ac:dyDescent="0.25">
      <c r="A1640" s="5">
        <v>29423</v>
      </c>
      <c r="B1640">
        <v>122.04</v>
      </c>
      <c r="C1640">
        <v>123.9</v>
      </c>
      <c r="D1640">
        <v>119.94</v>
      </c>
      <c r="E1640">
        <v>120.78</v>
      </c>
      <c r="F1640">
        <v>43908000</v>
      </c>
      <c r="G1640">
        <v>120.78</v>
      </c>
    </row>
    <row r="1641" spans="1:7" x14ac:dyDescent="0.25">
      <c r="A1641" s="5">
        <v>29416</v>
      </c>
      <c r="B1641">
        <v>117.84</v>
      </c>
      <c r="C1641">
        <v>123.19</v>
      </c>
      <c r="D1641">
        <v>117.45</v>
      </c>
      <c r="E1641">
        <v>122.04</v>
      </c>
      <c r="F1641">
        <v>52490000</v>
      </c>
      <c r="G1641">
        <v>122.04</v>
      </c>
    </row>
    <row r="1642" spans="1:7" x14ac:dyDescent="0.25">
      <c r="A1642" s="5">
        <v>29409</v>
      </c>
      <c r="B1642">
        <v>117.46</v>
      </c>
      <c r="C1642">
        <v>119.52</v>
      </c>
      <c r="D1642">
        <v>116.29</v>
      </c>
      <c r="E1642">
        <v>117.84</v>
      </c>
      <c r="F1642">
        <v>44484000</v>
      </c>
      <c r="G1642">
        <v>117.84</v>
      </c>
    </row>
    <row r="1643" spans="1:7" x14ac:dyDescent="0.25">
      <c r="A1643" s="5">
        <v>29402</v>
      </c>
      <c r="B1643">
        <v>116</v>
      </c>
      <c r="C1643">
        <v>117.8</v>
      </c>
      <c r="D1643">
        <v>113.54</v>
      </c>
      <c r="E1643">
        <v>117.46</v>
      </c>
      <c r="F1643">
        <v>38607500</v>
      </c>
      <c r="G1643">
        <v>117.46</v>
      </c>
    </row>
    <row r="1644" spans="1:7" x14ac:dyDescent="0.25">
      <c r="A1644" s="5">
        <v>29395</v>
      </c>
      <c r="B1644">
        <v>114.06</v>
      </c>
      <c r="C1644">
        <v>117.98</v>
      </c>
      <c r="D1644">
        <v>113.35</v>
      </c>
      <c r="E1644">
        <v>116</v>
      </c>
      <c r="F1644">
        <v>39326000</v>
      </c>
      <c r="G1644">
        <v>116</v>
      </c>
    </row>
    <row r="1645" spans="1:7" x14ac:dyDescent="0.25">
      <c r="A1645" s="5">
        <v>29388</v>
      </c>
      <c r="B1645">
        <v>115.81</v>
      </c>
      <c r="C1645">
        <v>117.16</v>
      </c>
      <c r="D1645">
        <v>113.12</v>
      </c>
      <c r="E1645">
        <v>114.06</v>
      </c>
      <c r="F1645">
        <v>38990000</v>
      </c>
      <c r="G1645">
        <v>114.06</v>
      </c>
    </row>
    <row r="1646" spans="1:7" x14ac:dyDescent="0.25">
      <c r="A1646" s="5">
        <v>29381</v>
      </c>
      <c r="B1646">
        <v>113.2</v>
      </c>
      <c r="C1646">
        <v>117.01</v>
      </c>
      <c r="D1646">
        <v>112.68</v>
      </c>
      <c r="E1646">
        <v>115.81</v>
      </c>
      <c r="F1646">
        <v>42366000</v>
      </c>
      <c r="G1646">
        <v>115.81</v>
      </c>
    </row>
    <row r="1647" spans="1:7" x14ac:dyDescent="0.25">
      <c r="A1647" s="5">
        <v>29374</v>
      </c>
      <c r="B1647">
        <v>111.24</v>
      </c>
      <c r="C1647">
        <v>114.38</v>
      </c>
      <c r="D1647">
        <v>109.77</v>
      </c>
      <c r="E1647">
        <v>113.2</v>
      </c>
      <c r="F1647">
        <v>39268000</v>
      </c>
      <c r="G1647">
        <v>113.2</v>
      </c>
    </row>
    <row r="1648" spans="1:7" x14ac:dyDescent="0.25">
      <c r="A1648" s="5">
        <v>29368</v>
      </c>
      <c r="B1648">
        <v>110.62</v>
      </c>
      <c r="C1648">
        <v>112.72</v>
      </c>
      <c r="D1648">
        <v>108.87</v>
      </c>
      <c r="E1648">
        <v>111.24</v>
      </c>
      <c r="F1648">
        <v>39052500</v>
      </c>
      <c r="G1648">
        <v>111.24</v>
      </c>
    </row>
    <row r="1649" spans="1:7" x14ac:dyDescent="0.25">
      <c r="A1649" s="5">
        <v>29360</v>
      </c>
      <c r="B1649">
        <v>107.35</v>
      </c>
      <c r="C1649">
        <v>111.37</v>
      </c>
      <c r="D1649">
        <v>106.51</v>
      </c>
      <c r="E1649">
        <v>110.62</v>
      </c>
      <c r="F1649">
        <v>36886000</v>
      </c>
      <c r="G1649">
        <v>110.62</v>
      </c>
    </row>
    <row r="1650" spans="1:7" x14ac:dyDescent="0.25">
      <c r="A1650" s="5">
        <v>29353</v>
      </c>
      <c r="B1650">
        <v>104.72</v>
      </c>
      <c r="C1650">
        <v>107.99</v>
      </c>
      <c r="D1650">
        <v>103.5</v>
      </c>
      <c r="E1650">
        <v>107.35</v>
      </c>
      <c r="F1650">
        <v>35470000</v>
      </c>
      <c r="G1650">
        <v>107.35</v>
      </c>
    </row>
    <row r="1651" spans="1:7" x14ac:dyDescent="0.25">
      <c r="A1651" s="5">
        <v>29346</v>
      </c>
      <c r="B1651">
        <v>105.58</v>
      </c>
      <c r="C1651">
        <v>108.12</v>
      </c>
      <c r="D1651">
        <v>104.18</v>
      </c>
      <c r="E1651">
        <v>104.72</v>
      </c>
      <c r="F1651">
        <v>37282000</v>
      </c>
      <c r="G1651">
        <v>104.72</v>
      </c>
    </row>
    <row r="1652" spans="1:7" x14ac:dyDescent="0.25">
      <c r="A1652" s="5">
        <v>29339</v>
      </c>
      <c r="B1652">
        <v>105.16</v>
      </c>
      <c r="C1652">
        <v>106.86</v>
      </c>
      <c r="D1652">
        <v>104.5</v>
      </c>
      <c r="E1652">
        <v>105.58</v>
      </c>
      <c r="F1652">
        <v>29982000</v>
      </c>
      <c r="G1652">
        <v>105.58</v>
      </c>
    </row>
    <row r="1653" spans="1:7" x14ac:dyDescent="0.25">
      <c r="A1653" s="5">
        <v>29332</v>
      </c>
      <c r="B1653">
        <v>100.55</v>
      </c>
      <c r="C1653">
        <v>105.57</v>
      </c>
      <c r="D1653">
        <v>98.95</v>
      </c>
      <c r="E1653">
        <v>105.16</v>
      </c>
      <c r="F1653">
        <v>36496000</v>
      </c>
      <c r="G1653">
        <v>105.16</v>
      </c>
    </row>
    <row r="1654" spans="1:7" x14ac:dyDescent="0.25">
      <c r="A1654" s="5">
        <v>29325</v>
      </c>
      <c r="B1654">
        <v>103.79</v>
      </c>
      <c r="C1654">
        <v>104.42</v>
      </c>
      <c r="D1654">
        <v>99.97</v>
      </c>
      <c r="E1654">
        <v>100.55</v>
      </c>
      <c r="F1654">
        <v>29822000</v>
      </c>
      <c r="G1654">
        <v>100.55</v>
      </c>
    </row>
    <row r="1655" spans="1:7" x14ac:dyDescent="0.25">
      <c r="A1655" s="5">
        <v>29318</v>
      </c>
      <c r="B1655">
        <v>102.15</v>
      </c>
      <c r="C1655">
        <v>105.15</v>
      </c>
      <c r="D1655">
        <v>99.23</v>
      </c>
      <c r="E1655">
        <v>103.79</v>
      </c>
      <c r="F1655">
        <v>31550000</v>
      </c>
      <c r="G1655">
        <v>103.79</v>
      </c>
    </row>
    <row r="1656" spans="1:7" x14ac:dyDescent="0.25">
      <c r="A1656" s="5">
        <v>29311</v>
      </c>
      <c r="B1656">
        <v>100.68</v>
      </c>
      <c r="C1656">
        <v>103.87</v>
      </c>
      <c r="D1656">
        <v>100.02</v>
      </c>
      <c r="E1656">
        <v>102.15</v>
      </c>
      <c r="F1656">
        <v>32812500</v>
      </c>
      <c r="G1656">
        <v>102.15</v>
      </c>
    </row>
    <row r="1657" spans="1:7" x14ac:dyDescent="0.25">
      <c r="A1657" s="5">
        <v>29304</v>
      </c>
      <c r="B1657">
        <v>102.18</v>
      </c>
      <c r="C1657">
        <v>102.18</v>
      </c>
      <c r="D1657">
        <v>94.23</v>
      </c>
      <c r="E1657">
        <v>100.68</v>
      </c>
      <c r="F1657">
        <v>46158000</v>
      </c>
      <c r="G1657">
        <v>100.68</v>
      </c>
    </row>
    <row r="1658" spans="1:7" x14ac:dyDescent="0.25">
      <c r="A1658" s="5">
        <v>29297</v>
      </c>
      <c r="B1658">
        <v>105.23</v>
      </c>
      <c r="C1658">
        <v>105.72</v>
      </c>
      <c r="D1658">
        <v>101.14</v>
      </c>
      <c r="E1658">
        <v>102.31</v>
      </c>
      <c r="F1658">
        <v>37136000</v>
      </c>
      <c r="G1658">
        <v>102.31</v>
      </c>
    </row>
    <row r="1659" spans="1:7" x14ac:dyDescent="0.25">
      <c r="A1659" s="5">
        <v>29290</v>
      </c>
      <c r="B1659">
        <v>106.9</v>
      </c>
      <c r="C1659">
        <v>108.54</v>
      </c>
      <c r="D1659">
        <v>104.01</v>
      </c>
      <c r="E1659">
        <v>105.43</v>
      </c>
      <c r="F1659">
        <v>38268000</v>
      </c>
      <c r="G1659">
        <v>105.43</v>
      </c>
    </row>
    <row r="1660" spans="1:7" x14ac:dyDescent="0.25">
      <c r="A1660" s="5">
        <v>29283</v>
      </c>
      <c r="B1660">
        <v>113.66</v>
      </c>
      <c r="C1660">
        <v>114.34</v>
      </c>
      <c r="D1660">
        <v>105.99</v>
      </c>
      <c r="E1660">
        <v>106.9</v>
      </c>
      <c r="F1660">
        <v>46560000</v>
      </c>
      <c r="G1660">
        <v>106.9</v>
      </c>
    </row>
    <row r="1661" spans="1:7" x14ac:dyDescent="0.25">
      <c r="A1661" s="5">
        <v>29276</v>
      </c>
      <c r="B1661">
        <v>114.93</v>
      </c>
      <c r="C1661">
        <v>115.12</v>
      </c>
      <c r="D1661">
        <v>111.33</v>
      </c>
      <c r="E1661">
        <v>113.66</v>
      </c>
      <c r="F1661">
        <v>40942000</v>
      </c>
      <c r="G1661">
        <v>113.66</v>
      </c>
    </row>
    <row r="1662" spans="1:7" x14ac:dyDescent="0.25">
      <c r="A1662" s="5">
        <v>29270</v>
      </c>
      <c r="B1662">
        <v>115.41</v>
      </c>
      <c r="C1662">
        <v>117.9</v>
      </c>
      <c r="D1662">
        <v>113.35</v>
      </c>
      <c r="E1662">
        <v>115.04</v>
      </c>
      <c r="F1662">
        <v>45890000</v>
      </c>
      <c r="G1662">
        <v>115.04</v>
      </c>
    </row>
    <row r="1663" spans="1:7" x14ac:dyDescent="0.25">
      <c r="A1663" s="5">
        <v>29262</v>
      </c>
      <c r="B1663">
        <v>117.95</v>
      </c>
      <c r="C1663">
        <v>120.22</v>
      </c>
      <c r="D1663">
        <v>114.12</v>
      </c>
      <c r="E1663">
        <v>115.41</v>
      </c>
      <c r="F1663">
        <v>53840000</v>
      </c>
      <c r="G1663">
        <v>115.41</v>
      </c>
    </row>
    <row r="1664" spans="1:7" x14ac:dyDescent="0.25">
      <c r="A1664" s="5">
        <v>29255</v>
      </c>
      <c r="B1664">
        <v>115.12</v>
      </c>
      <c r="C1664">
        <v>118.66</v>
      </c>
      <c r="D1664">
        <v>112.15</v>
      </c>
      <c r="E1664">
        <v>117.95</v>
      </c>
      <c r="F1664">
        <v>50490000</v>
      </c>
      <c r="G1664">
        <v>117.95</v>
      </c>
    </row>
    <row r="1665" spans="1:7" x14ac:dyDescent="0.25">
      <c r="A1665" s="5">
        <v>29248</v>
      </c>
      <c r="B1665">
        <v>113.61</v>
      </c>
      <c r="C1665">
        <v>117.17</v>
      </c>
      <c r="D1665">
        <v>112.93</v>
      </c>
      <c r="E1665">
        <v>115.12</v>
      </c>
      <c r="F1665">
        <v>54556000</v>
      </c>
      <c r="G1665">
        <v>115.12</v>
      </c>
    </row>
    <row r="1666" spans="1:7" x14ac:dyDescent="0.25">
      <c r="A1666" s="5">
        <v>29241</v>
      </c>
      <c r="B1666">
        <v>111.07</v>
      </c>
      <c r="C1666">
        <v>115.27</v>
      </c>
      <c r="D1666">
        <v>110.66</v>
      </c>
      <c r="E1666">
        <v>113.61</v>
      </c>
      <c r="F1666">
        <v>51112000</v>
      </c>
      <c r="G1666">
        <v>113.61</v>
      </c>
    </row>
    <row r="1667" spans="1:7" x14ac:dyDescent="0.25">
      <c r="A1667" s="5">
        <v>29234</v>
      </c>
      <c r="B1667">
        <v>109.92</v>
      </c>
      <c r="C1667">
        <v>112.9</v>
      </c>
      <c r="D1667">
        <v>109.34</v>
      </c>
      <c r="E1667">
        <v>111.07</v>
      </c>
      <c r="F1667">
        <v>54854000</v>
      </c>
      <c r="G1667">
        <v>111.07</v>
      </c>
    </row>
    <row r="1668" spans="1:7" x14ac:dyDescent="0.25">
      <c r="A1668" s="5">
        <v>29227</v>
      </c>
      <c r="B1668">
        <v>106.52</v>
      </c>
      <c r="C1668">
        <v>111.16</v>
      </c>
      <c r="D1668">
        <v>105.8</v>
      </c>
      <c r="E1668">
        <v>109.92</v>
      </c>
      <c r="F1668">
        <v>54404000</v>
      </c>
      <c r="G1668">
        <v>109.92</v>
      </c>
    </row>
    <row r="1669" spans="1:7" x14ac:dyDescent="0.25">
      <c r="A1669" s="5">
        <v>29220</v>
      </c>
      <c r="B1669">
        <v>107.84</v>
      </c>
      <c r="C1669">
        <v>108.53</v>
      </c>
      <c r="D1669">
        <v>103.26</v>
      </c>
      <c r="E1669">
        <v>106.52</v>
      </c>
      <c r="F1669">
        <v>40437500</v>
      </c>
      <c r="G1669">
        <v>106.52</v>
      </c>
    </row>
    <row r="1670" spans="1:7" x14ac:dyDescent="0.25">
      <c r="A1670" s="5">
        <v>29213</v>
      </c>
      <c r="B1670">
        <v>107.59</v>
      </c>
      <c r="C1670">
        <v>108.61</v>
      </c>
      <c r="D1670">
        <v>106.8</v>
      </c>
      <c r="E1670">
        <v>107.84</v>
      </c>
      <c r="F1670">
        <v>27487500</v>
      </c>
      <c r="G1670">
        <v>107.84</v>
      </c>
    </row>
    <row r="1671" spans="1:7" x14ac:dyDescent="0.25">
      <c r="A1671" s="5">
        <v>29206</v>
      </c>
      <c r="B1671">
        <v>108.92</v>
      </c>
      <c r="C1671">
        <v>110.33</v>
      </c>
      <c r="D1671">
        <v>106.99</v>
      </c>
      <c r="E1671">
        <v>107.59</v>
      </c>
      <c r="F1671">
        <v>41092000</v>
      </c>
      <c r="G1671">
        <v>107.59</v>
      </c>
    </row>
    <row r="1672" spans="1:7" x14ac:dyDescent="0.25">
      <c r="A1672" s="5">
        <v>29199</v>
      </c>
      <c r="B1672">
        <v>107.52</v>
      </c>
      <c r="C1672">
        <v>109.49</v>
      </c>
      <c r="D1672">
        <v>106.65</v>
      </c>
      <c r="E1672">
        <v>108.92</v>
      </c>
      <c r="F1672">
        <v>36310000</v>
      </c>
      <c r="G1672">
        <v>108.92</v>
      </c>
    </row>
    <row r="1673" spans="1:7" x14ac:dyDescent="0.25">
      <c r="A1673" s="5">
        <v>29192</v>
      </c>
      <c r="B1673">
        <v>106.16</v>
      </c>
      <c r="C1673">
        <v>109.24</v>
      </c>
      <c r="D1673">
        <v>105.07</v>
      </c>
      <c r="E1673">
        <v>107.52</v>
      </c>
      <c r="F1673">
        <v>36344000</v>
      </c>
      <c r="G1673">
        <v>107.52</v>
      </c>
    </row>
    <row r="1674" spans="1:7" x14ac:dyDescent="0.25">
      <c r="A1674" s="5">
        <v>29185</v>
      </c>
      <c r="B1674">
        <v>104.83</v>
      </c>
      <c r="C1674">
        <v>107.89</v>
      </c>
      <c r="D1674">
        <v>104.83</v>
      </c>
      <c r="E1674">
        <v>106.16</v>
      </c>
      <c r="F1674">
        <v>39360000</v>
      </c>
      <c r="G1674">
        <v>106.16</v>
      </c>
    </row>
    <row r="1675" spans="1:7" x14ac:dyDescent="0.25">
      <c r="A1675" s="5">
        <v>29178</v>
      </c>
      <c r="B1675">
        <v>103.79</v>
      </c>
      <c r="C1675">
        <v>105.13</v>
      </c>
      <c r="D1675">
        <v>102.04</v>
      </c>
      <c r="E1675">
        <v>104.67</v>
      </c>
      <c r="F1675">
        <v>32105000</v>
      </c>
      <c r="G1675">
        <v>104.67</v>
      </c>
    </row>
    <row r="1676" spans="1:7" x14ac:dyDescent="0.25">
      <c r="A1676" s="5">
        <v>29171</v>
      </c>
      <c r="B1676">
        <v>101.51</v>
      </c>
      <c r="C1676">
        <v>104.94</v>
      </c>
      <c r="D1676">
        <v>101.27</v>
      </c>
      <c r="E1676">
        <v>103.79</v>
      </c>
      <c r="F1676">
        <v>29858000</v>
      </c>
      <c r="G1676">
        <v>103.79</v>
      </c>
    </row>
    <row r="1677" spans="1:7" x14ac:dyDescent="0.25">
      <c r="A1677" s="5">
        <v>29164</v>
      </c>
      <c r="B1677">
        <v>102.51</v>
      </c>
      <c r="C1677">
        <v>102.66</v>
      </c>
      <c r="D1677">
        <v>99.42</v>
      </c>
      <c r="E1677">
        <v>101.51</v>
      </c>
      <c r="F1677">
        <v>25918000</v>
      </c>
      <c r="G1677">
        <v>101.51</v>
      </c>
    </row>
    <row r="1678" spans="1:7" x14ac:dyDescent="0.25">
      <c r="A1678" s="5">
        <v>29157</v>
      </c>
      <c r="B1678">
        <v>100.57</v>
      </c>
      <c r="C1678">
        <v>103.21</v>
      </c>
      <c r="D1678">
        <v>100.13</v>
      </c>
      <c r="E1678">
        <v>102.51</v>
      </c>
      <c r="F1678">
        <v>25788000</v>
      </c>
      <c r="G1678">
        <v>102.51</v>
      </c>
    </row>
    <row r="1679" spans="1:7" x14ac:dyDescent="0.25">
      <c r="A1679" s="5">
        <v>29150</v>
      </c>
      <c r="B1679">
        <v>101.38</v>
      </c>
      <c r="C1679">
        <v>101.45</v>
      </c>
      <c r="D1679">
        <v>99.06</v>
      </c>
      <c r="E1679">
        <v>100.57</v>
      </c>
      <c r="F1679">
        <v>33546000</v>
      </c>
      <c r="G1679">
        <v>100.57</v>
      </c>
    </row>
    <row r="1680" spans="1:7" x14ac:dyDescent="0.25">
      <c r="A1680" s="5">
        <v>29143</v>
      </c>
      <c r="B1680">
        <v>104.49</v>
      </c>
      <c r="C1680">
        <v>104.74</v>
      </c>
      <c r="D1680">
        <v>101.24</v>
      </c>
      <c r="E1680">
        <v>101.6</v>
      </c>
      <c r="F1680">
        <v>34058000</v>
      </c>
      <c r="G1680">
        <v>101.6</v>
      </c>
    </row>
    <row r="1681" spans="1:7" x14ac:dyDescent="0.25">
      <c r="A1681" s="5">
        <v>29136</v>
      </c>
      <c r="B1681">
        <v>111.27</v>
      </c>
      <c r="C1681">
        <v>111.83</v>
      </c>
      <c r="D1681">
        <v>102.31</v>
      </c>
      <c r="E1681">
        <v>104.49</v>
      </c>
      <c r="F1681">
        <v>50742000</v>
      </c>
      <c r="G1681">
        <v>104.49</v>
      </c>
    </row>
    <row r="1682" spans="1:7" x14ac:dyDescent="0.25">
      <c r="A1682" s="5">
        <v>29129</v>
      </c>
      <c r="B1682">
        <v>109.19</v>
      </c>
      <c r="C1682">
        <v>112.16</v>
      </c>
      <c r="D1682">
        <v>107.7</v>
      </c>
      <c r="E1682">
        <v>111.27</v>
      </c>
      <c r="F1682">
        <v>37362000</v>
      </c>
      <c r="G1682">
        <v>111.27</v>
      </c>
    </row>
    <row r="1683" spans="1:7" x14ac:dyDescent="0.25">
      <c r="A1683" s="5">
        <v>29122</v>
      </c>
      <c r="B1683">
        <v>110.47</v>
      </c>
      <c r="C1683">
        <v>111.25</v>
      </c>
      <c r="D1683">
        <v>108.27</v>
      </c>
      <c r="E1683">
        <v>109.32</v>
      </c>
      <c r="F1683">
        <v>34592000</v>
      </c>
      <c r="G1683">
        <v>109.32</v>
      </c>
    </row>
    <row r="1684" spans="1:7" x14ac:dyDescent="0.25">
      <c r="A1684" s="5">
        <v>29115</v>
      </c>
      <c r="B1684">
        <v>108.76</v>
      </c>
      <c r="C1684">
        <v>111.58</v>
      </c>
      <c r="D1684">
        <v>107.32</v>
      </c>
      <c r="E1684">
        <v>110.47</v>
      </c>
      <c r="F1684">
        <v>41842000</v>
      </c>
      <c r="G1684">
        <v>110.47</v>
      </c>
    </row>
    <row r="1685" spans="1:7" x14ac:dyDescent="0.25">
      <c r="A1685" s="5">
        <v>29108</v>
      </c>
      <c r="B1685">
        <v>107.66</v>
      </c>
      <c r="C1685">
        <v>109.48</v>
      </c>
      <c r="D1685">
        <v>106.72</v>
      </c>
      <c r="E1685">
        <v>108.76</v>
      </c>
      <c r="F1685">
        <v>38416000</v>
      </c>
      <c r="G1685">
        <v>108.76</v>
      </c>
    </row>
    <row r="1686" spans="1:7" x14ac:dyDescent="0.25">
      <c r="A1686" s="5">
        <v>29102</v>
      </c>
      <c r="B1686">
        <v>109.32</v>
      </c>
      <c r="C1686">
        <v>109.41</v>
      </c>
      <c r="D1686">
        <v>105.38</v>
      </c>
      <c r="E1686">
        <v>107.66</v>
      </c>
      <c r="F1686">
        <v>34922500</v>
      </c>
      <c r="G1686">
        <v>107.66</v>
      </c>
    </row>
    <row r="1687" spans="1:7" x14ac:dyDescent="0.25">
      <c r="A1687" s="5">
        <v>29094</v>
      </c>
      <c r="B1687">
        <v>108.6</v>
      </c>
      <c r="C1687">
        <v>109.84</v>
      </c>
      <c r="D1687">
        <v>108.12</v>
      </c>
      <c r="E1687">
        <v>109.32</v>
      </c>
      <c r="F1687">
        <v>29592000</v>
      </c>
      <c r="G1687">
        <v>109.32</v>
      </c>
    </row>
    <row r="1688" spans="1:7" x14ac:dyDescent="0.25">
      <c r="A1688" s="5">
        <v>29087</v>
      </c>
      <c r="B1688">
        <v>108.3</v>
      </c>
      <c r="C1688">
        <v>109.68</v>
      </c>
      <c r="D1688">
        <v>107.65</v>
      </c>
      <c r="E1688">
        <v>108.6</v>
      </c>
      <c r="F1688">
        <v>35610000</v>
      </c>
      <c r="G1688">
        <v>108.6</v>
      </c>
    </row>
    <row r="1689" spans="1:7" x14ac:dyDescent="0.25">
      <c r="A1689" s="5">
        <v>29080</v>
      </c>
      <c r="B1689">
        <v>106.4</v>
      </c>
      <c r="C1689">
        <v>109.18</v>
      </c>
      <c r="D1689">
        <v>106.28</v>
      </c>
      <c r="E1689">
        <v>108.3</v>
      </c>
      <c r="F1689">
        <v>41530000</v>
      </c>
      <c r="G1689">
        <v>108.3</v>
      </c>
    </row>
    <row r="1690" spans="1:7" x14ac:dyDescent="0.25">
      <c r="A1690" s="5">
        <v>29073</v>
      </c>
      <c r="B1690">
        <v>104.04</v>
      </c>
      <c r="C1690">
        <v>106.84</v>
      </c>
      <c r="D1690">
        <v>103.27</v>
      </c>
      <c r="E1690">
        <v>106.4</v>
      </c>
      <c r="F1690">
        <v>37788000</v>
      </c>
      <c r="G1690">
        <v>106.4</v>
      </c>
    </row>
    <row r="1691" spans="1:7" x14ac:dyDescent="0.25">
      <c r="A1691" s="5">
        <v>29066</v>
      </c>
      <c r="B1691">
        <v>103.1</v>
      </c>
      <c r="C1691">
        <v>105.02</v>
      </c>
      <c r="D1691">
        <v>102.42</v>
      </c>
      <c r="E1691">
        <v>104.04</v>
      </c>
      <c r="F1691">
        <v>33090000</v>
      </c>
      <c r="G1691">
        <v>104.04</v>
      </c>
    </row>
    <row r="1692" spans="1:7" x14ac:dyDescent="0.25">
      <c r="A1692" s="5">
        <v>29059</v>
      </c>
      <c r="B1692">
        <v>101.82</v>
      </c>
      <c r="C1692">
        <v>103.63</v>
      </c>
      <c r="D1692">
        <v>100.84</v>
      </c>
      <c r="E1692">
        <v>103.1</v>
      </c>
      <c r="F1692">
        <v>30294000</v>
      </c>
      <c r="G1692">
        <v>103.1</v>
      </c>
    </row>
    <row r="1693" spans="1:7" x14ac:dyDescent="0.25">
      <c r="A1693" s="5">
        <v>29052</v>
      </c>
      <c r="B1693">
        <v>102.32</v>
      </c>
      <c r="C1693">
        <v>103.2</v>
      </c>
      <c r="D1693">
        <v>100.35</v>
      </c>
      <c r="E1693">
        <v>101.82</v>
      </c>
      <c r="F1693">
        <v>29996000</v>
      </c>
      <c r="G1693">
        <v>101.82</v>
      </c>
    </row>
    <row r="1694" spans="1:7" x14ac:dyDescent="0.25">
      <c r="A1694" s="5">
        <v>29045</v>
      </c>
      <c r="B1694">
        <v>103.62</v>
      </c>
      <c r="C1694">
        <v>105.17</v>
      </c>
      <c r="D1694">
        <v>101.49</v>
      </c>
      <c r="E1694">
        <v>102.32</v>
      </c>
      <c r="F1694">
        <v>36740000</v>
      </c>
      <c r="G1694">
        <v>102.32</v>
      </c>
    </row>
    <row r="1695" spans="1:7" x14ac:dyDescent="0.25">
      <c r="A1695" s="5">
        <v>29038</v>
      </c>
      <c r="B1695">
        <v>102.91</v>
      </c>
      <c r="C1695">
        <v>103.91</v>
      </c>
      <c r="D1695">
        <v>101.31</v>
      </c>
      <c r="E1695">
        <v>103.62</v>
      </c>
      <c r="F1695">
        <v>33147500</v>
      </c>
      <c r="G1695">
        <v>103.62</v>
      </c>
    </row>
    <row r="1696" spans="1:7" x14ac:dyDescent="0.25">
      <c r="A1696" s="5">
        <v>29031</v>
      </c>
      <c r="B1696">
        <v>102.64</v>
      </c>
      <c r="C1696">
        <v>103.67</v>
      </c>
      <c r="D1696">
        <v>101.22</v>
      </c>
      <c r="E1696">
        <v>102.91</v>
      </c>
      <c r="F1696">
        <v>35178000</v>
      </c>
      <c r="G1696">
        <v>102.91</v>
      </c>
    </row>
    <row r="1697" spans="1:7" x14ac:dyDescent="0.25">
      <c r="A1697" s="5">
        <v>29024</v>
      </c>
      <c r="B1697">
        <v>102.09</v>
      </c>
      <c r="C1697">
        <v>103.16</v>
      </c>
      <c r="D1697">
        <v>100.91</v>
      </c>
      <c r="E1697">
        <v>102.64</v>
      </c>
      <c r="F1697">
        <v>33688000</v>
      </c>
      <c r="G1697">
        <v>102.64</v>
      </c>
    </row>
    <row r="1698" spans="1:7" x14ac:dyDescent="0.25">
      <c r="A1698" s="5">
        <v>29017</v>
      </c>
      <c r="B1698">
        <v>101.49</v>
      </c>
      <c r="C1698">
        <v>103.64</v>
      </c>
      <c r="D1698">
        <v>100.91</v>
      </c>
      <c r="E1698">
        <v>102.09</v>
      </c>
      <c r="F1698">
        <v>38610000</v>
      </c>
      <c r="G1698">
        <v>102.09</v>
      </c>
    </row>
    <row r="1699" spans="1:7" x14ac:dyDescent="0.25">
      <c r="A1699" s="5">
        <v>29010</v>
      </c>
      <c r="B1699">
        <v>99.17</v>
      </c>
      <c r="C1699">
        <v>102.54</v>
      </c>
      <c r="D1699">
        <v>98.61</v>
      </c>
      <c r="E1699">
        <v>101.49</v>
      </c>
      <c r="F1699">
        <v>34754000</v>
      </c>
      <c r="G1699">
        <v>101.49</v>
      </c>
    </row>
    <row r="1700" spans="1:7" x14ac:dyDescent="0.25">
      <c r="A1700" s="5">
        <v>29004</v>
      </c>
      <c r="B1700">
        <v>100.22</v>
      </c>
      <c r="C1700">
        <v>100.76</v>
      </c>
      <c r="D1700">
        <v>98.29</v>
      </c>
      <c r="E1700">
        <v>99.17</v>
      </c>
      <c r="F1700">
        <v>27787500</v>
      </c>
      <c r="G1700">
        <v>99.17</v>
      </c>
    </row>
    <row r="1701" spans="1:7" x14ac:dyDescent="0.25">
      <c r="A1701" s="5">
        <v>28996</v>
      </c>
      <c r="B1701">
        <v>99.93</v>
      </c>
      <c r="C1701">
        <v>101.31</v>
      </c>
      <c r="D1701">
        <v>99.14</v>
      </c>
      <c r="E1701">
        <v>100.22</v>
      </c>
      <c r="F1701">
        <v>27972000</v>
      </c>
      <c r="G1701">
        <v>100.22</v>
      </c>
    </row>
    <row r="1702" spans="1:7" x14ac:dyDescent="0.25">
      <c r="A1702" s="5">
        <v>28989</v>
      </c>
      <c r="B1702">
        <v>98.52</v>
      </c>
      <c r="C1702">
        <v>100.73</v>
      </c>
      <c r="D1702">
        <v>97.49</v>
      </c>
      <c r="E1702">
        <v>99.93</v>
      </c>
      <c r="F1702">
        <v>26826000</v>
      </c>
      <c r="G1702">
        <v>99.93</v>
      </c>
    </row>
    <row r="1703" spans="1:7" x14ac:dyDescent="0.25">
      <c r="A1703" s="5">
        <v>28982</v>
      </c>
      <c r="B1703">
        <v>100.37</v>
      </c>
      <c r="C1703">
        <v>100.37</v>
      </c>
      <c r="D1703">
        <v>97.92</v>
      </c>
      <c r="E1703">
        <v>98.52</v>
      </c>
      <c r="F1703">
        <v>28022000</v>
      </c>
      <c r="G1703">
        <v>98.52</v>
      </c>
    </row>
    <row r="1704" spans="1:7" x14ac:dyDescent="0.25">
      <c r="A1704" s="5">
        <v>28975</v>
      </c>
      <c r="B1704">
        <v>101.8</v>
      </c>
      <c r="C1704">
        <v>102.57</v>
      </c>
      <c r="D1704">
        <v>100.42</v>
      </c>
      <c r="E1704">
        <v>100.69</v>
      </c>
      <c r="F1704">
        <v>29898000</v>
      </c>
      <c r="G1704">
        <v>100.69</v>
      </c>
    </row>
    <row r="1705" spans="1:7" x14ac:dyDescent="0.25">
      <c r="A1705" s="5">
        <v>28968</v>
      </c>
      <c r="B1705">
        <v>101.23</v>
      </c>
      <c r="C1705">
        <v>103.07</v>
      </c>
      <c r="D1705">
        <v>100.68</v>
      </c>
      <c r="E1705">
        <v>101.8</v>
      </c>
      <c r="F1705">
        <v>30982000</v>
      </c>
      <c r="G1705">
        <v>101.8</v>
      </c>
    </row>
    <row r="1706" spans="1:7" x14ac:dyDescent="0.25">
      <c r="A1706" s="5">
        <v>28961</v>
      </c>
      <c r="B1706">
        <v>102</v>
      </c>
      <c r="C1706">
        <v>102.4</v>
      </c>
      <c r="D1706">
        <v>100.46</v>
      </c>
      <c r="E1706">
        <v>101.23</v>
      </c>
      <c r="F1706">
        <v>29360000</v>
      </c>
      <c r="G1706">
        <v>101.23</v>
      </c>
    </row>
    <row r="1707" spans="1:7" x14ac:dyDescent="0.25">
      <c r="A1707" s="5">
        <v>28954</v>
      </c>
      <c r="B1707">
        <v>103.18</v>
      </c>
      <c r="C1707">
        <v>103.83</v>
      </c>
      <c r="D1707">
        <v>101.51</v>
      </c>
      <c r="E1707">
        <v>102</v>
      </c>
      <c r="F1707">
        <v>29702500</v>
      </c>
      <c r="G1707">
        <v>102</v>
      </c>
    </row>
    <row r="1708" spans="1:7" x14ac:dyDescent="0.25">
      <c r="A1708" s="5">
        <v>28947</v>
      </c>
      <c r="B1708">
        <v>101.56</v>
      </c>
      <c r="C1708">
        <v>103.95</v>
      </c>
      <c r="D1708">
        <v>100.14</v>
      </c>
      <c r="E1708">
        <v>103.18</v>
      </c>
      <c r="F1708">
        <v>34738000</v>
      </c>
      <c r="G1708">
        <v>103.18</v>
      </c>
    </row>
    <row r="1709" spans="1:7" x14ac:dyDescent="0.25">
      <c r="A1709" s="5">
        <v>28940</v>
      </c>
      <c r="B1709">
        <v>101.6</v>
      </c>
      <c r="C1709">
        <v>103.31</v>
      </c>
      <c r="D1709">
        <v>100.6</v>
      </c>
      <c r="E1709">
        <v>101.59</v>
      </c>
      <c r="F1709">
        <v>30954000</v>
      </c>
      <c r="G1709">
        <v>101.59</v>
      </c>
    </row>
    <row r="1710" spans="1:7" x14ac:dyDescent="0.25">
      <c r="A1710" s="5">
        <v>28933</v>
      </c>
      <c r="B1710">
        <v>100.69</v>
      </c>
      <c r="C1710">
        <v>102.41</v>
      </c>
      <c r="D1710">
        <v>99.87</v>
      </c>
      <c r="E1710">
        <v>101.6</v>
      </c>
      <c r="F1710">
        <v>32174000</v>
      </c>
      <c r="G1710">
        <v>101.6</v>
      </c>
    </row>
    <row r="1711" spans="1:7" x14ac:dyDescent="0.25">
      <c r="A1711" s="5">
        <v>28926</v>
      </c>
      <c r="B1711">
        <v>99.54</v>
      </c>
      <c r="C1711">
        <v>101.16</v>
      </c>
      <c r="D1711">
        <v>98.56</v>
      </c>
      <c r="E1711">
        <v>100.69</v>
      </c>
      <c r="F1711">
        <v>28536000</v>
      </c>
      <c r="G1711">
        <v>100.69</v>
      </c>
    </row>
    <row r="1712" spans="1:7" x14ac:dyDescent="0.25">
      <c r="A1712" s="5">
        <v>28919</v>
      </c>
      <c r="B1712">
        <v>97.03</v>
      </c>
      <c r="C1712">
        <v>100.58</v>
      </c>
      <c r="D1712">
        <v>97.03</v>
      </c>
      <c r="E1712">
        <v>99.54</v>
      </c>
      <c r="F1712">
        <v>28904000</v>
      </c>
      <c r="G1712">
        <v>99.54</v>
      </c>
    </row>
    <row r="1713" spans="1:7" x14ac:dyDescent="0.25">
      <c r="A1713" s="5">
        <v>28912</v>
      </c>
      <c r="B1713">
        <v>97.78</v>
      </c>
      <c r="C1713">
        <v>98.28</v>
      </c>
      <c r="D1713">
        <v>95.38</v>
      </c>
      <c r="E1713">
        <v>96.97</v>
      </c>
      <c r="F1713">
        <v>25228000</v>
      </c>
      <c r="G1713">
        <v>96.97</v>
      </c>
    </row>
    <row r="1714" spans="1:7" x14ac:dyDescent="0.25">
      <c r="A1714" s="5">
        <v>28906</v>
      </c>
      <c r="B1714">
        <v>98.67</v>
      </c>
      <c r="C1714">
        <v>100.07</v>
      </c>
      <c r="D1714">
        <v>97.29</v>
      </c>
      <c r="E1714">
        <v>97.78</v>
      </c>
      <c r="F1714">
        <v>24275000</v>
      </c>
      <c r="G1714">
        <v>97.78</v>
      </c>
    </row>
    <row r="1715" spans="1:7" x14ac:dyDescent="0.25">
      <c r="A1715" s="5">
        <v>28898</v>
      </c>
      <c r="B1715">
        <v>97.87</v>
      </c>
      <c r="C1715">
        <v>99.64</v>
      </c>
      <c r="D1715">
        <v>97.05</v>
      </c>
      <c r="E1715">
        <v>98.67</v>
      </c>
      <c r="F1715">
        <v>23992000</v>
      </c>
      <c r="G1715">
        <v>98.67</v>
      </c>
    </row>
    <row r="1716" spans="1:7" x14ac:dyDescent="0.25">
      <c r="A1716" s="5">
        <v>28891</v>
      </c>
      <c r="B1716">
        <v>99.07</v>
      </c>
      <c r="C1716">
        <v>99.07</v>
      </c>
      <c r="D1716">
        <v>96.51</v>
      </c>
      <c r="E1716">
        <v>97.87</v>
      </c>
      <c r="F1716">
        <v>25238000</v>
      </c>
      <c r="G1716">
        <v>97.87</v>
      </c>
    </row>
    <row r="1717" spans="1:7" x14ac:dyDescent="0.25">
      <c r="A1717" s="5">
        <v>28884</v>
      </c>
      <c r="B1717">
        <v>101.86</v>
      </c>
      <c r="C1717">
        <v>102.33</v>
      </c>
      <c r="D1717">
        <v>99.01</v>
      </c>
      <c r="E1717">
        <v>99.5</v>
      </c>
      <c r="F1717">
        <v>26938000</v>
      </c>
      <c r="G1717">
        <v>99.5</v>
      </c>
    </row>
    <row r="1718" spans="1:7" x14ac:dyDescent="0.25">
      <c r="A1718" s="5">
        <v>28877</v>
      </c>
      <c r="B1718">
        <v>99.75</v>
      </c>
      <c r="C1718">
        <v>102.59</v>
      </c>
      <c r="D1718">
        <v>98.9</v>
      </c>
      <c r="E1718">
        <v>101.86</v>
      </c>
      <c r="F1718">
        <v>30384000</v>
      </c>
      <c r="G1718">
        <v>101.86</v>
      </c>
    </row>
    <row r="1719" spans="1:7" x14ac:dyDescent="0.25">
      <c r="A1719" s="5">
        <v>28870</v>
      </c>
      <c r="B1719">
        <v>99.93</v>
      </c>
      <c r="C1719">
        <v>101.13</v>
      </c>
      <c r="D1719">
        <v>98.33</v>
      </c>
      <c r="E1719">
        <v>99.75</v>
      </c>
      <c r="F1719">
        <v>27446000</v>
      </c>
      <c r="G1719">
        <v>99.75</v>
      </c>
    </row>
    <row r="1720" spans="1:7" x14ac:dyDescent="0.25">
      <c r="A1720" s="5">
        <v>28863</v>
      </c>
      <c r="B1720">
        <v>99.13</v>
      </c>
      <c r="C1720">
        <v>100.91</v>
      </c>
      <c r="D1720">
        <v>97.83</v>
      </c>
      <c r="E1720">
        <v>99.93</v>
      </c>
      <c r="F1720">
        <v>27094000</v>
      </c>
      <c r="G1720">
        <v>99.93</v>
      </c>
    </row>
    <row r="1721" spans="1:7" x14ac:dyDescent="0.25">
      <c r="A1721" s="5">
        <v>28857</v>
      </c>
      <c r="B1721">
        <v>96.11</v>
      </c>
      <c r="C1721">
        <v>99.79</v>
      </c>
      <c r="D1721">
        <v>95.22</v>
      </c>
      <c r="E1721">
        <v>99.13</v>
      </c>
      <c r="F1721">
        <v>27425000</v>
      </c>
      <c r="G1721">
        <v>99.13</v>
      </c>
    </row>
    <row r="1722" spans="1:7" x14ac:dyDescent="0.25">
      <c r="A1722" s="5">
        <v>28850</v>
      </c>
      <c r="B1722">
        <v>96.31</v>
      </c>
      <c r="C1722">
        <v>97.89</v>
      </c>
      <c r="D1722">
        <v>95.48</v>
      </c>
      <c r="E1722">
        <v>96.11</v>
      </c>
      <c r="F1722">
        <v>25130000</v>
      </c>
      <c r="G1722">
        <v>96.11</v>
      </c>
    </row>
    <row r="1723" spans="1:7" x14ac:dyDescent="0.25">
      <c r="A1723" s="5">
        <v>28842</v>
      </c>
      <c r="B1723">
        <v>94.33</v>
      </c>
      <c r="C1723">
        <v>96.62</v>
      </c>
      <c r="D1723">
        <v>92.64</v>
      </c>
      <c r="E1723">
        <v>96.31</v>
      </c>
      <c r="F1723">
        <v>27568000</v>
      </c>
      <c r="G1723">
        <v>96.31</v>
      </c>
    </row>
    <row r="1724" spans="1:7" x14ac:dyDescent="0.25">
      <c r="A1724" s="5">
        <v>28835</v>
      </c>
      <c r="B1724">
        <v>96.63</v>
      </c>
      <c r="C1724">
        <v>97.58</v>
      </c>
      <c r="D1724">
        <v>94.88</v>
      </c>
      <c r="E1724">
        <v>95.33</v>
      </c>
      <c r="F1724">
        <v>22030000</v>
      </c>
      <c r="G1724">
        <v>95.33</v>
      </c>
    </row>
    <row r="1725" spans="1:7" x14ac:dyDescent="0.25">
      <c r="A1725" s="5">
        <v>28828</v>
      </c>
      <c r="B1725">
        <v>96.28</v>
      </c>
      <c r="C1725">
        <v>98.58</v>
      </c>
      <c r="D1725">
        <v>95.37</v>
      </c>
      <c r="E1725">
        <v>96.63</v>
      </c>
      <c r="F1725">
        <v>23420000</v>
      </c>
      <c r="G1725">
        <v>96.63</v>
      </c>
    </row>
    <row r="1726" spans="1:7" x14ac:dyDescent="0.25">
      <c r="A1726" s="5">
        <v>28821</v>
      </c>
      <c r="B1726">
        <v>95.79</v>
      </c>
      <c r="C1726">
        <v>96.69</v>
      </c>
      <c r="D1726">
        <v>93.29</v>
      </c>
      <c r="E1726">
        <v>96.28</v>
      </c>
      <c r="F1726">
        <v>22084000</v>
      </c>
      <c r="G1726">
        <v>96.28</v>
      </c>
    </row>
    <row r="1727" spans="1:7" x14ac:dyDescent="0.25">
      <c r="A1727" s="5">
        <v>28814</v>
      </c>
      <c r="B1727">
        <v>94.42</v>
      </c>
      <c r="C1727">
        <v>96.17</v>
      </c>
      <c r="D1727">
        <v>94.29</v>
      </c>
      <c r="E1727">
        <v>95.79</v>
      </c>
      <c r="F1727">
        <v>19947500</v>
      </c>
      <c r="G1727">
        <v>95.79</v>
      </c>
    </row>
    <row r="1728" spans="1:7" x14ac:dyDescent="0.25">
      <c r="A1728" s="5">
        <v>28807</v>
      </c>
      <c r="B1728">
        <v>94.77</v>
      </c>
      <c r="C1728">
        <v>95.03</v>
      </c>
      <c r="D1728">
        <v>91.77</v>
      </c>
      <c r="E1728">
        <v>94.42</v>
      </c>
      <c r="F1728">
        <v>24872000</v>
      </c>
      <c r="G1728">
        <v>94.42</v>
      </c>
    </row>
    <row r="1729" spans="1:7" x14ac:dyDescent="0.25">
      <c r="A1729" s="5">
        <v>28800</v>
      </c>
      <c r="B1729">
        <v>96.18</v>
      </c>
      <c r="C1729">
        <v>96.49</v>
      </c>
      <c r="D1729">
        <v>92.89</v>
      </c>
      <c r="E1729">
        <v>94.77</v>
      </c>
      <c r="F1729">
        <v>21880000</v>
      </c>
      <c r="G1729">
        <v>94.77</v>
      </c>
    </row>
    <row r="1730" spans="1:7" x14ac:dyDescent="0.25">
      <c r="A1730" s="5">
        <v>28793</v>
      </c>
      <c r="B1730">
        <v>94.59</v>
      </c>
      <c r="C1730">
        <v>97.41</v>
      </c>
      <c r="D1730">
        <v>91.65</v>
      </c>
      <c r="E1730">
        <v>96.18</v>
      </c>
      <c r="F1730">
        <v>43934000</v>
      </c>
      <c r="G1730">
        <v>96.18</v>
      </c>
    </row>
    <row r="1731" spans="1:7" x14ac:dyDescent="0.25">
      <c r="A1731" s="5">
        <v>28786</v>
      </c>
      <c r="B1731">
        <v>97.95</v>
      </c>
      <c r="C1731">
        <v>98.95</v>
      </c>
      <c r="D1731">
        <v>94.3</v>
      </c>
      <c r="E1731">
        <v>94.59</v>
      </c>
      <c r="F1731">
        <v>33740000</v>
      </c>
      <c r="G1731">
        <v>94.59</v>
      </c>
    </row>
    <row r="1732" spans="1:7" x14ac:dyDescent="0.25">
      <c r="A1732" s="5">
        <v>28779</v>
      </c>
      <c r="B1732">
        <v>104.63</v>
      </c>
      <c r="C1732">
        <v>104.63</v>
      </c>
      <c r="D1732">
        <v>97.12</v>
      </c>
      <c r="E1732">
        <v>97.95</v>
      </c>
      <c r="F1732">
        <v>34178000</v>
      </c>
      <c r="G1732">
        <v>97.95</v>
      </c>
    </row>
    <row r="1733" spans="1:7" x14ac:dyDescent="0.25">
      <c r="A1733" s="5">
        <v>28772</v>
      </c>
      <c r="B1733">
        <v>103.52</v>
      </c>
      <c r="C1733">
        <v>106.23</v>
      </c>
      <c r="D1733">
        <v>103.31</v>
      </c>
      <c r="E1733">
        <v>104.66</v>
      </c>
      <c r="F1733">
        <v>23804000</v>
      </c>
      <c r="G1733">
        <v>104.66</v>
      </c>
    </row>
    <row r="1734" spans="1:7" x14ac:dyDescent="0.25">
      <c r="A1734" s="5">
        <v>28765</v>
      </c>
      <c r="B1734">
        <v>102.54</v>
      </c>
      <c r="C1734">
        <v>104.23</v>
      </c>
      <c r="D1734">
        <v>101.76</v>
      </c>
      <c r="E1734">
        <v>103.52</v>
      </c>
      <c r="F1734">
        <v>24306000</v>
      </c>
      <c r="G1734">
        <v>103.52</v>
      </c>
    </row>
    <row r="1735" spans="1:7" x14ac:dyDescent="0.25">
      <c r="A1735" s="5">
        <v>28758</v>
      </c>
      <c r="B1735">
        <v>101.84</v>
      </c>
      <c r="C1735">
        <v>103.44</v>
      </c>
      <c r="D1735">
        <v>100.94</v>
      </c>
      <c r="E1735">
        <v>102.54</v>
      </c>
      <c r="F1735">
        <v>24734000</v>
      </c>
      <c r="G1735">
        <v>102.54</v>
      </c>
    </row>
    <row r="1736" spans="1:7" x14ac:dyDescent="0.25">
      <c r="A1736" s="5">
        <v>28751</v>
      </c>
      <c r="B1736">
        <v>104.12</v>
      </c>
      <c r="C1736">
        <v>105.03</v>
      </c>
      <c r="D1736">
        <v>100.66</v>
      </c>
      <c r="E1736">
        <v>101.84</v>
      </c>
      <c r="F1736">
        <v>32840000</v>
      </c>
      <c r="G1736">
        <v>101.84</v>
      </c>
    </row>
    <row r="1737" spans="1:7" x14ac:dyDescent="0.25">
      <c r="A1737" s="5">
        <v>28744</v>
      </c>
      <c r="B1737">
        <v>106.79</v>
      </c>
      <c r="C1737">
        <v>108.05</v>
      </c>
      <c r="D1737">
        <v>103.56</v>
      </c>
      <c r="E1737">
        <v>104.12</v>
      </c>
      <c r="F1737">
        <v>38420000</v>
      </c>
      <c r="G1737">
        <v>104.12</v>
      </c>
    </row>
    <row r="1738" spans="1:7" x14ac:dyDescent="0.25">
      <c r="A1738" s="5">
        <v>28738</v>
      </c>
      <c r="B1738">
        <v>103.68</v>
      </c>
      <c r="C1738">
        <v>107.19</v>
      </c>
      <c r="D1738">
        <v>103.31</v>
      </c>
      <c r="E1738">
        <v>106.79</v>
      </c>
      <c r="F1738">
        <v>39312500</v>
      </c>
      <c r="G1738">
        <v>106.79</v>
      </c>
    </row>
    <row r="1739" spans="1:7" x14ac:dyDescent="0.25">
      <c r="A1739" s="5">
        <v>28730</v>
      </c>
      <c r="B1739">
        <v>104.9</v>
      </c>
      <c r="C1739">
        <v>105.14</v>
      </c>
      <c r="D1739">
        <v>102.63</v>
      </c>
      <c r="E1739">
        <v>103.68</v>
      </c>
      <c r="F1739">
        <v>34442000</v>
      </c>
      <c r="G1739">
        <v>103.68</v>
      </c>
    </row>
    <row r="1740" spans="1:7" x14ac:dyDescent="0.25">
      <c r="A1740" s="5">
        <v>28723</v>
      </c>
      <c r="B1740">
        <v>104.73</v>
      </c>
      <c r="C1740">
        <v>105.86</v>
      </c>
      <c r="D1740">
        <v>103.14</v>
      </c>
      <c r="E1740">
        <v>104.9</v>
      </c>
      <c r="F1740">
        <v>34676000</v>
      </c>
      <c r="G1740">
        <v>104.9</v>
      </c>
    </row>
    <row r="1741" spans="1:7" x14ac:dyDescent="0.25">
      <c r="A1741" s="5">
        <v>28716</v>
      </c>
      <c r="B1741">
        <v>103.96</v>
      </c>
      <c r="C1741">
        <v>106.27</v>
      </c>
      <c r="D1741">
        <v>102.86</v>
      </c>
      <c r="E1741">
        <v>104.73</v>
      </c>
      <c r="F1741">
        <v>35624000</v>
      </c>
      <c r="G1741">
        <v>104.73</v>
      </c>
    </row>
    <row r="1742" spans="1:7" x14ac:dyDescent="0.25">
      <c r="A1742" s="5">
        <v>28709</v>
      </c>
      <c r="B1742">
        <v>103.92</v>
      </c>
      <c r="C1742">
        <v>105.72</v>
      </c>
      <c r="D1742">
        <v>102.6</v>
      </c>
      <c r="E1742">
        <v>103.96</v>
      </c>
      <c r="F1742">
        <v>37950000</v>
      </c>
      <c r="G1742">
        <v>103.96</v>
      </c>
    </row>
    <row r="1743" spans="1:7" x14ac:dyDescent="0.25">
      <c r="A1743" s="5">
        <v>28702</v>
      </c>
      <c r="B1743">
        <v>100</v>
      </c>
      <c r="C1743">
        <v>105.41</v>
      </c>
      <c r="D1743">
        <v>99.37</v>
      </c>
      <c r="E1743">
        <v>103.92</v>
      </c>
      <c r="F1743">
        <v>44110000</v>
      </c>
      <c r="G1743">
        <v>103.92</v>
      </c>
    </row>
    <row r="1744" spans="1:7" x14ac:dyDescent="0.25">
      <c r="A1744" s="5">
        <v>28695</v>
      </c>
      <c r="B1744">
        <v>97.75</v>
      </c>
      <c r="C1744">
        <v>100.51</v>
      </c>
      <c r="D1744">
        <v>96.72</v>
      </c>
      <c r="E1744">
        <v>100</v>
      </c>
      <c r="F1744">
        <v>30574000</v>
      </c>
      <c r="G1744">
        <v>100</v>
      </c>
    </row>
    <row r="1745" spans="1:7" x14ac:dyDescent="0.25">
      <c r="A1745" s="5">
        <v>28688</v>
      </c>
      <c r="B1745">
        <v>97.58</v>
      </c>
      <c r="C1745">
        <v>99.18</v>
      </c>
      <c r="D1745">
        <v>96.52</v>
      </c>
      <c r="E1745">
        <v>97.75</v>
      </c>
      <c r="F1745">
        <v>28460000</v>
      </c>
      <c r="G1745">
        <v>97.75</v>
      </c>
    </row>
    <row r="1746" spans="1:7" x14ac:dyDescent="0.25">
      <c r="A1746" s="5">
        <v>28681</v>
      </c>
      <c r="B1746">
        <v>94.89</v>
      </c>
      <c r="C1746">
        <v>97.88</v>
      </c>
      <c r="D1746">
        <v>94.28</v>
      </c>
      <c r="E1746">
        <v>97.58</v>
      </c>
      <c r="F1746">
        <v>25714000</v>
      </c>
      <c r="G1746">
        <v>97.58</v>
      </c>
    </row>
    <row r="1747" spans="1:7" x14ac:dyDescent="0.25">
      <c r="A1747" s="5">
        <v>28674</v>
      </c>
      <c r="B1747">
        <v>95.53</v>
      </c>
      <c r="C1747">
        <v>95.65</v>
      </c>
      <c r="D1747">
        <v>93.59</v>
      </c>
      <c r="E1747">
        <v>94.89</v>
      </c>
      <c r="F1747">
        <v>20940000</v>
      </c>
      <c r="G1747">
        <v>94.89</v>
      </c>
    </row>
    <row r="1748" spans="1:7" x14ac:dyDescent="0.25">
      <c r="A1748" s="5">
        <v>28667</v>
      </c>
      <c r="B1748">
        <v>95.85</v>
      </c>
      <c r="C1748">
        <v>96.26</v>
      </c>
      <c r="D1748">
        <v>93.99</v>
      </c>
      <c r="E1748">
        <v>95.53</v>
      </c>
      <c r="F1748">
        <v>24310000</v>
      </c>
      <c r="G1748">
        <v>95.53</v>
      </c>
    </row>
    <row r="1749" spans="1:7" x14ac:dyDescent="0.25">
      <c r="A1749" s="5">
        <v>28660</v>
      </c>
      <c r="B1749">
        <v>97.42</v>
      </c>
      <c r="C1749">
        <v>97.94</v>
      </c>
      <c r="D1749">
        <v>95.42</v>
      </c>
      <c r="E1749">
        <v>95.85</v>
      </c>
      <c r="F1749">
        <v>27642000</v>
      </c>
      <c r="G1749">
        <v>95.85</v>
      </c>
    </row>
    <row r="1750" spans="1:7" x14ac:dyDescent="0.25">
      <c r="A1750" s="5">
        <v>28653</v>
      </c>
      <c r="B1750">
        <v>99.93</v>
      </c>
      <c r="C1750">
        <v>100.68</v>
      </c>
      <c r="D1750">
        <v>97.1</v>
      </c>
      <c r="E1750">
        <v>97.42</v>
      </c>
      <c r="F1750">
        <v>29892000</v>
      </c>
      <c r="G1750">
        <v>97.42</v>
      </c>
    </row>
    <row r="1751" spans="1:7" x14ac:dyDescent="0.25">
      <c r="A1751" s="5">
        <v>28646</v>
      </c>
      <c r="B1751">
        <v>98.14</v>
      </c>
      <c r="C1751">
        <v>101.84</v>
      </c>
      <c r="D1751">
        <v>97.97</v>
      </c>
      <c r="E1751">
        <v>99.93</v>
      </c>
      <c r="F1751">
        <v>39292000</v>
      </c>
      <c r="G1751">
        <v>99.93</v>
      </c>
    </row>
    <row r="1752" spans="1:7" x14ac:dyDescent="0.25">
      <c r="A1752" s="5">
        <v>28640</v>
      </c>
      <c r="B1752">
        <v>96.58</v>
      </c>
      <c r="C1752">
        <v>98.52</v>
      </c>
      <c r="D1752">
        <v>95.95</v>
      </c>
      <c r="E1752">
        <v>98.14</v>
      </c>
      <c r="F1752">
        <v>27680000</v>
      </c>
      <c r="G1752">
        <v>98.14</v>
      </c>
    </row>
    <row r="1753" spans="1:7" x14ac:dyDescent="0.25">
      <c r="A1753" s="5">
        <v>28632</v>
      </c>
      <c r="B1753">
        <v>98.12</v>
      </c>
      <c r="C1753">
        <v>99.43</v>
      </c>
      <c r="D1753">
        <v>96.01</v>
      </c>
      <c r="E1753">
        <v>96.58</v>
      </c>
      <c r="F1753">
        <v>28636000</v>
      </c>
      <c r="G1753">
        <v>96.58</v>
      </c>
    </row>
    <row r="1754" spans="1:7" x14ac:dyDescent="0.25">
      <c r="A1754" s="5">
        <v>28625</v>
      </c>
      <c r="B1754">
        <v>98.07</v>
      </c>
      <c r="C1754">
        <v>100.32</v>
      </c>
      <c r="D1754">
        <v>97.4</v>
      </c>
      <c r="E1754">
        <v>98.12</v>
      </c>
      <c r="F1754">
        <v>40836000</v>
      </c>
      <c r="G1754">
        <v>98.12</v>
      </c>
    </row>
    <row r="1755" spans="1:7" x14ac:dyDescent="0.25">
      <c r="A1755" s="5">
        <v>28618</v>
      </c>
      <c r="B1755">
        <v>96.53</v>
      </c>
      <c r="C1755">
        <v>98.89</v>
      </c>
      <c r="D1755">
        <v>95.33</v>
      </c>
      <c r="E1755">
        <v>98.07</v>
      </c>
      <c r="F1755">
        <v>36420000</v>
      </c>
      <c r="G1755">
        <v>98.07</v>
      </c>
    </row>
    <row r="1756" spans="1:7" x14ac:dyDescent="0.25">
      <c r="A1756" s="5">
        <v>28611</v>
      </c>
      <c r="B1756">
        <v>96.83</v>
      </c>
      <c r="C1756">
        <v>98.3</v>
      </c>
      <c r="D1756">
        <v>94.57</v>
      </c>
      <c r="E1756">
        <v>96.53</v>
      </c>
      <c r="F1756">
        <v>39236000</v>
      </c>
      <c r="G1756">
        <v>96.53</v>
      </c>
    </row>
    <row r="1757" spans="1:7" x14ac:dyDescent="0.25">
      <c r="A1757" s="5">
        <v>28604</v>
      </c>
      <c r="B1757">
        <v>94.34</v>
      </c>
      <c r="C1757">
        <v>97.91</v>
      </c>
      <c r="D1757">
        <v>94.08</v>
      </c>
      <c r="E1757">
        <v>96.83</v>
      </c>
      <c r="F1757">
        <v>40612000</v>
      </c>
      <c r="G1757">
        <v>96.83</v>
      </c>
    </row>
    <row r="1758" spans="1:7" x14ac:dyDescent="0.25">
      <c r="A1758" s="5">
        <v>28597</v>
      </c>
      <c r="B1758">
        <v>93.6</v>
      </c>
      <c r="C1758">
        <v>95.89</v>
      </c>
      <c r="D1758">
        <v>92.75</v>
      </c>
      <c r="E1758">
        <v>94.34</v>
      </c>
      <c r="F1758">
        <v>42458000</v>
      </c>
      <c r="G1758">
        <v>94.34</v>
      </c>
    </row>
    <row r="1759" spans="1:7" x14ac:dyDescent="0.25">
      <c r="A1759" s="5">
        <v>28590</v>
      </c>
      <c r="B1759">
        <v>90.17</v>
      </c>
      <c r="C1759">
        <v>93.31</v>
      </c>
      <c r="D1759">
        <v>89.65</v>
      </c>
      <c r="E1759">
        <v>92.92</v>
      </c>
      <c r="F1759">
        <v>32022000</v>
      </c>
      <c r="G1759">
        <v>92.92</v>
      </c>
    </row>
    <row r="1760" spans="1:7" x14ac:dyDescent="0.25">
      <c r="A1760" s="5">
        <v>28583</v>
      </c>
      <c r="B1760">
        <v>89.2</v>
      </c>
      <c r="C1760">
        <v>90.59</v>
      </c>
      <c r="D1760">
        <v>88.07</v>
      </c>
      <c r="E1760">
        <v>90.17</v>
      </c>
      <c r="F1760">
        <v>24028000</v>
      </c>
      <c r="G1760">
        <v>90.17</v>
      </c>
    </row>
    <row r="1761" spans="1:7" x14ac:dyDescent="0.25">
      <c r="A1761" s="5">
        <v>28576</v>
      </c>
      <c r="B1761">
        <v>89.36</v>
      </c>
      <c r="C1761">
        <v>90.17</v>
      </c>
      <c r="D1761">
        <v>88.47</v>
      </c>
      <c r="E1761">
        <v>89.21</v>
      </c>
      <c r="F1761">
        <v>21302000</v>
      </c>
      <c r="G1761">
        <v>89.21</v>
      </c>
    </row>
    <row r="1762" spans="1:7" x14ac:dyDescent="0.25">
      <c r="A1762" s="5">
        <v>28569</v>
      </c>
      <c r="B1762">
        <v>90.2</v>
      </c>
      <c r="C1762">
        <v>91.35</v>
      </c>
      <c r="D1762">
        <v>88.83</v>
      </c>
      <c r="E1762">
        <v>89.36</v>
      </c>
      <c r="F1762">
        <v>24002500</v>
      </c>
      <c r="G1762">
        <v>89.36</v>
      </c>
    </row>
    <row r="1763" spans="1:7" x14ac:dyDescent="0.25">
      <c r="A1763" s="5">
        <v>28562</v>
      </c>
      <c r="B1763">
        <v>88.88</v>
      </c>
      <c r="C1763">
        <v>90.52</v>
      </c>
      <c r="D1763">
        <v>88.21</v>
      </c>
      <c r="E1763">
        <v>90.2</v>
      </c>
      <c r="F1763">
        <v>25116000</v>
      </c>
      <c r="G1763">
        <v>90.2</v>
      </c>
    </row>
    <row r="1764" spans="1:7" x14ac:dyDescent="0.25">
      <c r="A1764" s="5">
        <v>28555</v>
      </c>
      <c r="B1764">
        <v>87.45</v>
      </c>
      <c r="C1764">
        <v>89.25</v>
      </c>
      <c r="D1764">
        <v>86.48</v>
      </c>
      <c r="E1764">
        <v>88.88</v>
      </c>
      <c r="F1764">
        <v>21614000</v>
      </c>
      <c r="G1764">
        <v>88.88</v>
      </c>
    </row>
    <row r="1765" spans="1:7" x14ac:dyDescent="0.25">
      <c r="A1765" s="5">
        <v>28548</v>
      </c>
      <c r="B1765">
        <v>88.49</v>
      </c>
      <c r="C1765">
        <v>88.97</v>
      </c>
      <c r="D1765">
        <v>86.45</v>
      </c>
      <c r="E1765">
        <v>87.45</v>
      </c>
      <c r="F1765">
        <v>20230000</v>
      </c>
      <c r="G1765">
        <v>87.45</v>
      </c>
    </row>
    <row r="1766" spans="1:7" x14ac:dyDescent="0.25">
      <c r="A1766" s="5">
        <v>28542</v>
      </c>
      <c r="B1766">
        <v>87.96</v>
      </c>
      <c r="C1766">
        <v>88.87</v>
      </c>
      <c r="D1766">
        <v>86.83</v>
      </c>
      <c r="E1766">
        <v>88.49</v>
      </c>
      <c r="F1766">
        <v>20392500</v>
      </c>
      <c r="G1766">
        <v>88.49</v>
      </c>
    </row>
    <row r="1767" spans="1:7" x14ac:dyDescent="0.25">
      <c r="A1767" s="5">
        <v>28534</v>
      </c>
      <c r="B1767">
        <v>90.08</v>
      </c>
      <c r="C1767">
        <v>90.3</v>
      </c>
      <c r="D1767">
        <v>87.55</v>
      </c>
      <c r="E1767">
        <v>87.96</v>
      </c>
      <c r="F1767">
        <v>19504000</v>
      </c>
      <c r="G1767">
        <v>87.96</v>
      </c>
    </row>
    <row r="1768" spans="1:7" x14ac:dyDescent="0.25">
      <c r="A1768" s="5">
        <v>28527</v>
      </c>
      <c r="B1768">
        <v>89.62</v>
      </c>
      <c r="C1768">
        <v>91.32</v>
      </c>
      <c r="D1768">
        <v>88.95</v>
      </c>
      <c r="E1768">
        <v>90.08</v>
      </c>
      <c r="F1768">
        <v>17016000</v>
      </c>
      <c r="G1768">
        <v>90.08</v>
      </c>
    </row>
    <row r="1769" spans="1:7" x14ac:dyDescent="0.25">
      <c r="A1769" s="5">
        <v>28520</v>
      </c>
      <c r="B1769">
        <v>88.58</v>
      </c>
      <c r="C1769">
        <v>90.91</v>
      </c>
      <c r="D1769">
        <v>88.26</v>
      </c>
      <c r="E1769">
        <v>89.62</v>
      </c>
      <c r="F1769">
        <v>20392000</v>
      </c>
      <c r="G1769">
        <v>89.62</v>
      </c>
    </row>
    <row r="1770" spans="1:7" x14ac:dyDescent="0.25">
      <c r="A1770" s="5">
        <v>28513</v>
      </c>
      <c r="B1770">
        <v>89.89</v>
      </c>
      <c r="C1770">
        <v>90.08</v>
      </c>
      <c r="D1770">
        <v>88.02</v>
      </c>
      <c r="E1770">
        <v>88.58</v>
      </c>
      <c r="F1770">
        <v>18792000</v>
      </c>
      <c r="G1770">
        <v>88.58</v>
      </c>
    </row>
    <row r="1771" spans="1:7" x14ac:dyDescent="0.25">
      <c r="A1771" s="5">
        <v>28506</v>
      </c>
      <c r="B1771">
        <v>89.69</v>
      </c>
      <c r="C1771">
        <v>91.04</v>
      </c>
      <c r="D1771">
        <v>88.88</v>
      </c>
      <c r="E1771">
        <v>89.89</v>
      </c>
      <c r="F1771">
        <v>17718000</v>
      </c>
      <c r="G1771">
        <v>89.89</v>
      </c>
    </row>
    <row r="1772" spans="1:7" x14ac:dyDescent="0.25">
      <c r="A1772" s="5">
        <v>28499</v>
      </c>
      <c r="B1772">
        <v>91.48</v>
      </c>
      <c r="C1772">
        <v>91.48</v>
      </c>
      <c r="D1772">
        <v>89.23</v>
      </c>
      <c r="E1772">
        <v>89.69</v>
      </c>
      <c r="F1772">
        <v>23358000</v>
      </c>
      <c r="G1772">
        <v>89.69</v>
      </c>
    </row>
    <row r="1773" spans="1:7" x14ac:dyDescent="0.25">
      <c r="A1773" s="5">
        <v>28493</v>
      </c>
      <c r="B1773">
        <v>95.1</v>
      </c>
      <c r="C1773">
        <v>95.15</v>
      </c>
      <c r="D1773">
        <v>91.05</v>
      </c>
      <c r="E1773">
        <v>91.62</v>
      </c>
      <c r="F1773">
        <v>22882500</v>
      </c>
      <c r="G1773">
        <v>91.62</v>
      </c>
    </row>
    <row r="1774" spans="1:7" x14ac:dyDescent="0.25">
      <c r="A1774" s="5">
        <v>28486</v>
      </c>
      <c r="B1774">
        <v>94.69</v>
      </c>
      <c r="C1774">
        <v>95.67</v>
      </c>
      <c r="D1774">
        <v>93.99</v>
      </c>
      <c r="E1774">
        <v>95.1</v>
      </c>
      <c r="F1774">
        <v>20887500</v>
      </c>
      <c r="G1774">
        <v>95.1</v>
      </c>
    </row>
    <row r="1775" spans="1:7" x14ac:dyDescent="0.25">
      <c r="A1775" s="5">
        <v>28478</v>
      </c>
      <c r="B1775">
        <v>93.4</v>
      </c>
      <c r="C1775">
        <v>94.99</v>
      </c>
      <c r="D1775">
        <v>91.76</v>
      </c>
      <c r="E1775">
        <v>94.69</v>
      </c>
      <c r="F1775">
        <v>23418000</v>
      </c>
      <c r="G1775">
        <v>94.69</v>
      </c>
    </row>
    <row r="1776" spans="1:7" x14ac:dyDescent="0.25">
      <c r="A1776" s="5">
        <v>28471</v>
      </c>
      <c r="B1776">
        <v>93.65</v>
      </c>
      <c r="C1776">
        <v>94.42</v>
      </c>
      <c r="D1776">
        <v>92.9</v>
      </c>
      <c r="E1776">
        <v>93.4</v>
      </c>
      <c r="F1776">
        <v>20272000</v>
      </c>
      <c r="G1776">
        <v>93.4</v>
      </c>
    </row>
    <row r="1777" spans="1:7" x14ac:dyDescent="0.25">
      <c r="A1777" s="5">
        <v>28464</v>
      </c>
      <c r="B1777">
        <v>94.67</v>
      </c>
      <c r="C1777">
        <v>95.01</v>
      </c>
      <c r="D1777">
        <v>92.15</v>
      </c>
      <c r="E1777">
        <v>93.65</v>
      </c>
      <c r="F1777">
        <v>20718000</v>
      </c>
      <c r="G1777">
        <v>93.65</v>
      </c>
    </row>
    <row r="1778" spans="1:7" x14ac:dyDescent="0.25">
      <c r="A1778" s="5">
        <v>28457</v>
      </c>
      <c r="B1778">
        <v>96.69</v>
      </c>
      <c r="C1778">
        <v>96.98</v>
      </c>
      <c r="D1778">
        <v>93.78</v>
      </c>
      <c r="E1778">
        <v>94.67</v>
      </c>
      <c r="F1778">
        <v>22514000</v>
      </c>
      <c r="G1778">
        <v>94.67</v>
      </c>
    </row>
    <row r="1779" spans="1:7" x14ac:dyDescent="0.25">
      <c r="A1779" s="5">
        <v>28450</v>
      </c>
      <c r="B1779">
        <v>95.33</v>
      </c>
      <c r="C1779">
        <v>97.11</v>
      </c>
      <c r="D1779">
        <v>94.59</v>
      </c>
      <c r="E1779">
        <v>96.69</v>
      </c>
      <c r="F1779">
        <v>23942500</v>
      </c>
      <c r="G1779">
        <v>96.69</v>
      </c>
    </row>
    <row r="1780" spans="1:7" x14ac:dyDescent="0.25">
      <c r="A1780" s="5">
        <v>28443</v>
      </c>
      <c r="B1780">
        <v>95.98</v>
      </c>
      <c r="C1780">
        <v>96.47</v>
      </c>
      <c r="D1780">
        <v>94.59</v>
      </c>
      <c r="E1780">
        <v>95.33</v>
      </c>
      <c r="F1780">
        <v>24990000</v>
      </c>
      <c r="G1780">
        <v>95.33</v>
      </c>
    </row>
    <row r="1781" spans="1:7" x14ac:dyDescent="0.25">
      <c r="A1781" s="5">
        <v>28436</v>
      </c>
      <c r="B1781">
        <v>91.58</v>
      </c>
      <c r="C1781">
        <v>96.49</v>
      </c>
      <c r="D1781">
        <v>91.32</v>
      </c>
      <c r="E1781">
        <v>95.98</v>
      </c>
      <c r="F1781">
        <v>25810000</v>
      </c>
      <c r="G1781">
        <v>95.98</v>
      </c>
    </row>
    <row r="1782" spans="1:7" x14ac:dyDescent="0.25">
      <c r="A1782" s="5">
        <v>28429</v>
      </c>
      <c r="B1782">
        <v>92.61</v>
      </c>
      <c r="C1782">
        <v>93.03</v>
      </c>
      <c r="D1782">
        <v>90.01</v>
      </c>
      <c r="E1782">
        <v>91.58</v>
      </c>
      <c r="F1782">
        <v>18958000</v>
      </c>
      <c r="G1782">
        <v>91.58</v>
      </c>
    </row>
    <row r="1783" spans="1:7" x14ac:dyDescent="0.25">
      <c r="A1783" s="5">
        <v>28422</v>
      </c>
      <c r="B1783">
        <v>92.32</v>
      </c>
      <c r="C1783">
        <v>93.15</v>
      </c>
      <c r="D1783">
        <v>90.2</v>
      </c>
      <c r="E1783">
        <v>92.61</v>
      </c>
      <c r="F1783">
        <v>21526000</v>
      </c>
      <c r="G1783">
        <v>92.61</v>
      </c>
    </row>
    <row r="1784" spans="1:7" x14ac:dyDescent="0.25">
      <c r="A1784" s="5">
        <v>28415</v>
      </c>
      <c r="B1784">
        <v>93.56</v>
      </c>
      <c r="C1784">
        <v>94.19</v>
      </c>
      <c r="D1784">
        <v>91.6</v>
      </c>
      <c r="E1784">
        <v>92.32</v>
      </c>
      <c r="F1784">
        <v>20050000</v>
      </c>
      <c r="G1784">
        <v>92.32</v>
      </c>
    </row>
    <row r="1785" spans="1:7" x14ac:dyDescent="0.25">
      <c r="A1785" s="5">
        <v>28408</v>
      </c>
      <c r="B1785">
        <v>95.97</v>
      </c>
      <c r="C1785">
        <v>96.15</v>
      </c>
      <c r="D1785">
        <v>92.88</v>
      </c>
      <c r="E1785">
        <v>93.56</v>
      </c>
      <c r="F1785">
        <v>19034000</v>
      </c>
      <c r="G1785">
        <v>93.56</v>
      </c>
    </row>
    <row r="1786" spans="1:7" x14ac:dyDescent="0.25">
      <c r="A1786" s="5">
        <v>28401</v>
      </c>
      <c r="B1786">
        <v>96.53</v>
      </c>
      <c r="C1786">
        <v>97.27</v>
      </c>
      <c r="D1786">
        <v>95.2</v>
      </c>
      <c r="E1786">
        <v>95.97</v>
      </c>
      <c r="F1786">
        <v>18670000</v>
      </c>
      <c r="G1786">
        <v>95.97</v>
      </c>
    </row>
    <row r="1787" spans="1:7" x14ac:dyDescent="0.25">
      <c r="A1787" s="5">
        <v>28394</v>
      </c>
      <c r="B1787">
        <v>95.04</v>
      </c>
      <c r="C1787">
        <v>96.85</v>
      </c>
      <c r="D1787">
        <v>94.44</v>
      </c>
      <c r="E1787">
        <v>96.53</v>
      </c>
      <c r="F1787">
        <v>19520000</v>
      </c>
      <c r="G1787">
        <v>96.53</v>
      </c>
    </row>
    <row r="1788" spans="1:7" x14ac:dyDescent="0.25">
      <c r="A1788" s="5">
        <v>28387</v>
      </c>
      <c r="B1788">
        <v>96.48</v>
      </c>
      <c r="C1788">
        <v>96.59</v>
      </c>
      <c r="D1788">
        <v>94.51</v>
      </c>
      <c r="E1788">
        <v>95.04</v>
      </c>
      <c r="F1788">
        <v>18708000</v>
      </c>
      <c r="G1788">
        <v>95.04</v>
      </c>
    </row>
    <row r="1789" spans="1:7" x14ac:dyDescent="0.25">
      <c r="A1789" s="5">
        <v>28380</v>
      </c>
      <c r="B1789">
        <v>96.37</v>
      </c>
      <c r="C1789">
        <v>97.31</v>
      </c>
      <c r="D1789">
        <v>95.37</v>
      </c>
      <c r="E1789">
        <v>96.48</v>
      </c>
      <c r="F1789">
        <v>17500000</v>
      </c>
      <c r="G1789">
        <v>96.48</v>
      </c>
    </row>
    <row r="1790" spans="1:7" x14ac:dyDescent="0.25">
      <c r="A1790" s="5">
        <v>28374</v>
      </c>
      <c r="B1790">
        <v>97.45</v>
      </c>
      <c r="C1790">
        <v>98.43</v>
      </c>
      <c r="D1790">
        <v>95.97</v>
      </c>
      <c r="E1790">
        <v>96.37</v>
      </c>
      <c r="F1790">
        <v>17647500</v>
      </c>
      <c r="G1790">
        <v>96.37</v>
      </c>
    </row>
    <row r="1791" spans="1:7" x14ac:dyDescent="0.25">
      <c r="A1791" s="5">
        <v>28366</v>
      </c>
      <c r="B1791">
        <v>96.06</v>
      </c>
      <c r="C1791">
        <v>97.76</v>
      </c>
      <c r="D1791">
        <v>95.59</v>
      </c>
      <c r="E1791">
        <v>97.45</v>
      </c>
      <c r="F1791">
        <v>17404000</v>
      </c>
      <c r="G1791">
        <v>97.45</v>
      </c>
    </row>
    <row r="1792" spans="1:7" x14ac:dyDescent="0.25">
      <c r="A1792" s="5">
        <v>28359</v>
      </c>
      <c r="B1792">
        <v>97.51</v>
      </c>
      <c r="C1792">
        <v>98.52</v>
      </c>
      <c r="D1792">
        <v>95.04</v>
      </c>
      <c r="E1792">
        <v>96.06</v>
      </c>
      <c r="F1792">
        <v>18842000</v>
      </c>
      <c r="G1792">
        <v>96.06</v>
      </c>
    </row>
    <row r="1793" spans="1:7" x14ac:dyDescent="0.25">
      <c r="A1793" s="5">
        <v>28352</v>
      </c>
      <c r="B1793">
        <v>97.88</v>
      </c>
      <c r="C1793">
        <v>98.69</v>
      </c>
      <c r="D1793">
        <v>96.78</v>
      </c>
      <c r="E1793">
        <v>97.51</v>
      </c>
      <c r="F1793">
        <v>19570000</v>
      </c>
      <c r="G1793">
        <v>97.51</v>
      </c>
    </row>
    <row r="1794" spans="1:7" x14ac:dyDescent="0.25">
      <c r="A1794" s="5">
        <v>28345</v>
      </c>
      <c r="B1794">
        <v>98.76</v>
      </c>
      <c r="C1794">
        <v>99.45</v>
      </c>
      <c r="D1794">
        <v>97.31</v>
      </c>
      <c r="E1794">
        <v>97.88</v>
      </c>
      <c r="F1794">
        <v>18532000</v>
      </c>
      <c r="G1794">
        <v>97.88</v>
      </c>
    </row>
    <row r="1795" spans="1:7" x14ac:dyDescent="0.25">
      <c r="A1795" s="5">
        <v>28338</v>
      </c>
      <c r="B1795">
        <v>98.85</v>
      </c>
      <c r="C1795">
        <v>99.84</v>
      </c>
      <c r="D1795">
        <v>97.53</v>
      </c>
      <c r="E1795">
        <v>98.76</v>
      </c>
      <c r="F1795">
        <v>19270000</v>
      </c>
      <c r="G1795">
        <v>98.76</v>
      </c>
    </row>
    <row r="1796" spans="1:7" x14ac:dyDescent="0.25">
      <c r="A1796" s="5">
        <v>28331</v>
      </c>
      <c r="B1796">
        <v>101.67</v>
      </c>
      <c r="C1796">
        <v>101.85</v>
      </c>
      <c r="D1796">
        <v>97.71</v>
      </c>
      <c r="E1796">
        <v>98.85</v>
      </c>
      <c r="F1796">
        <v>22990000</v>
      </c>
      <c r="G1796">
        <v>98.85</v>
      </c>
    </row>
    <row r="1797" spans="1:7" x14ac:dyDescent="0.25">
      <c r="A1797" s="5">
        <v>28324</v>
      </c>
      <c r="B1797">
        <v>100.18</v>
      </c>
      <c r="C1797">
        <v>102.57</v>
      </c>
      <c r="D1797">
        <v>99.94</v>
      </c>
      <c r="E1797">
        <v>101.67</v>
      </c>
      <c r="F1797">
        <v>28238000</v>
      </c>
      <c r="G1797">
        <v>101.67</v>
      </c>
    </row>
    <row r="1798" spans="1:7" x14ac:dyDescent="0.25">
      <c r="A1798" s="5">
        <v>28317</v>
      </c>
      <c r="B1798">
        <v>99.79</v>
      </c>
      <c r="C1798">
        <v>100.68</v>
      </c>
      <c r="D1798">
        <v>98.81</v>
      </c>
      <c r="E1798">
        <v>100.18</v>
      </c>
      <c r="F1798">
        <v>23635000</v>
      </c>
      <c r="G1798">
        <v>100.18</v>
      </c>
    </row>
    <row r="1799" spans="1:7" x14ac:dyDescent="0.25">
      <c r="A1799" s="5">
        <v>28311</v>
      </c>
      <c r="B1799">
        <v>100.1</v>
      </c>
      <c r="C1799">
        <v>100.72</v>
      </c>
      <c r="D1799">
        <v>99.12</v>
      </c>
      <c r="E1799">
        <v>99.79</v>
      </c>
      <c r="F1799">
        <v>20910000</v>
      </c>
      <c r="G1799">
        <v>99.79</v>
      </c>
    </row>
    <row r="1800" spans="1:7" x14ac:dyDescent="0.25">
      <c r="A1800" s="5">
        <v>28303</v>
      </c>
      <c r="B1800">
        <v>101.19</v>
      </c>
      <c r="C1800">
        <v>101.63</v>
      </c>
      <c r="D1800">
        <v>99.3</v>
      </c>
      <c r="E1800">
        <v>100.1</v>
      </c>
      <c r="F1800">
        <v>19822000</v>
      </c>
      <c r="G1800">
        <v>100.1</v>
      </c>
    </row>
    <row r="1801" spans="1:7" x14ac:dyDescent="0.25">
      <c r="A1801" s="5">
        <v>28296</v>
      </c>
      <c r="B1801">
        <v>99.97</v>
      </c>
      <c r="C1801">
        <v>101.65</v>
      </c>
      <c r="D1801">
        <v>99.56</v>
      </c>
      <c r="E1801">
        <v>101.19</v>
      </c>
      <c r="F1801">
        <v>25914000</v>
      </c>
      <c r="G1801">
        <v>101.19</v>
      </c>
    </row>
    <row r="1802" spans="1:7" x14ac:dyDescent="0.25">
      <c r="A1802" s="5">
        <v>28289</v>
      </c>
      <c r="B1802">
        <v>98.46</v>
      </c>
      <c r="C1802">
        <v>100.47</v>
      </c>
      <c r="D1802">
        <v>98.06</v>
      </c>
      <c r="E1802">
        <v>99.97</v>
      </c>
      <c r="F1802">
        <v>22910000</v>
      </c>
      <c r="G1802">
        <v>99.97</v>
      </c>
    </row>
    <row r="1803" spans="1:7" x14ac:dyDescent="0.25">
      <c r="A1803" s="5">
        <v>28282</v>
      </c>
      <c r="B1803">
        <v>97.69</v>
      </c>
      <c r="C1803">
        <v>98.86</v>
      </c>
      <c r="D1803">
        <v>96.6</v>
      </c>
      <c r="E1803">
        <v>98.46</v>
      </c>
      <c r="F1803">
        <v>20562000</v>
      </c>
      <c r="G1803">
        <v>98.46</v>
      </c>
    </row>
    <row r="1804" spans="1:7" x14ac:dyDescent="0.25">
      <c r="A1804" s="5">
        <v>28276</v>
      </c>
      <c r="B1804">
        <v>96.27</v>
      </c>
      <c r="C1804">
        <v>98.12</v>
      </c>
      <c r="D1804">
        <v>95.52</v>
      </c>
      <c r="E1804">
        <v>97.69</v>
      </c>
      <c r="F1804">
        <v>18767500</v>
      </c>
      <c r="G1804">
        <v>97.69</v>
      </c>
    </row>
    <row r="1805" spans="1:7" x14ac:dyDescent="0.25">
      <c r="A1805" s="5">
        <v>28268</v>
      </c>
      <c r="B1805">
        <v>99.35</v>
      </c>
      <c r="C1805">
        <v>99.35</v>
      </c>
      <c r="D1805">
        <v>95.92</v>
      </c>
      <c r="E1805">
        <v>96.27</v>
      </c>
      <c r="F1805">
        <v>18680000</v>
      </c>
      <c r="G1805">
        <v>96.27</v>
      </c>
    </row>
    <row r="1806" spans="1:7" x14ac:dyDescent="0.25">
      <c r="A1806" s="5">
        <v>28261</v>
      </c>
      <c r="B1806">
        <v>99.03</v>
      </c>
      <c r="C1806">
        <v>100.93</v>
      </c>
      <c r="D1806">
        <v>98.76</v>
      </c>
      <c r="E1806">
        <v>99.45</v>
      </c>
      <c r="F1806">
        <v>22298000</v>
      </c>
      <c r="G1806">
        <v>99.45</v>
      </c>
    </row>
    <row r="1807" spans="1:7" x14ac:dyDescent="0.25">
      <c r="A1807" s="5">
        <v>28254</v>
      </c>
      <c r="B1807">
        <v>99.49</v>
      </c>
      <c r="C1807">
        <v>100.09</v>
      </c>
      <c r="D1807">
        <v>97.91</v>
      </c>
      <c r="E1807">
        <v>99.03</v>
      </c>
      <c r="F1807">
        <v>19412000</v>
      </c>
      <c r="G1807">
        <v>99.03</v>
      </c>
    </row>
    <row r="1808" spans="1:7" x14ac:dyDescent="0.25">
      <c r="A1808" s="5">
        <v>28247</v>
      </c>
      <c r="B1808">
        <v>98.44</v>
      </c>
      <c r="C1808">
        <v>100.79</v>
      </c>
      <c r="D1808">
        <v>97.97</v>
      </c>
      <c r="E1808">
        <v>99.49</v>
      </c>
      <c r="F1808">
        <v>21214000</v>
      </c>
      <c r="G1808">
        <v>99.49</v>
      </c>
    </row>
    <row r="1809" spans="1:7" x14ac:dyDescent="0.25">
      <c r="A1809" s="5">
        <v>28240</v>
      </c>
      <c r="B1809">
        <v>98.32</v>
      </c>
      <c r="C1809">
        <v>98.87</v>
      </c>
      <c r="D1809">
        <v>96.53</v>
      </c>
      <c r="E1809">
        <v>98.44</v>
      </c>
      <c r="F1809">
        <v>19554000</v>
      </c>
      <c r="G1809">
        <v>98.44</v>
      </c>
    </row>
    <row r="1810" spans="1:7" x14ac:dyDescent="0.25">
      <c r="A1810" s="5">
        <v>28233</v>
      </c>
      <c r="B1810">
        <v>101.04</v>
      </c>
      <c r="C1810">
        <v>101.36</v>
      </c>
      <c r="D1810">
        <v>98.08</v>
      </c>
      <c r="E1810">
        <v>98.44</v>
      </c>
      <c r="F1810">
        <v>21174000</v>
      </c>
      <c r="G1810">
        <v>98.44</v>
      </c>
    </row>
    <row r="1811" spans="1:7" x14ac:dyDescent="0.25">
      <c r="A1811" s="5">
        <v>28226</v>
      </c>
      <c r="B1811">
        <v>98.35</v>
      </c>
      <c r="C1811">
        <v>102.07</v>
      </c>
      <c r="D1811">
        <v>98.08</v>
      </c>
      <c r="E1811">
        <v>101.04</v>
      </c>
      <c r="F1811">
        <v>22786000</v>
      </c>
      <c r="G1811">
        <v>101.04</v>
      </c>
    </row>
    <row r="1812" spans="1:7" x14ac:dyDescent="0.25">
      <c r="A1812" s="5">
        <v>28219</v>
      </c>
      <c r="B1812">
        <v>99.21</v>
      </c>
      <c r="C1812">
        <v>99.5</v>
      </c>
      <c r="D1812">
        <v>97.43</v>
      </c>
      <c r="E1812">
        <v>98.35</v>
      </c>
      <c r="F1812">
        <v>17110000</v>
      </c>
      <c r="G1812">
        <v>98.35</v>
      </c>
    </row>
    <row r="1813" spans="1:7" x14ac:dyDescent="0.25">
      <c r="A1813" s="5">
        <v>28212</v>
      </c>
      <c r="B1813">
        <v>99.06</v>
      </c>
      <c r="C1813">
        <v>100.12</v>
      </c>
      <c r="D1813">
        <v>97.8</v>
      </c>
      <c r="E1813">
        <v>99.21</v>
      </c>
      <c r="F1813">
        <v>17222000</v>
      </c>
      <c r="G1813">
        <v>99.21</v>
      </c>
    </row>
    <row r="1814" spans="1:7" x14ac:dyDescent="0.25">
      <c r="A1814" s="5">
        <v>28205</v>
      </c>
      <c r="B1814">
        <v>101.86</v>
      </c>
      <c r="C1814">
        <v>102.13</v>
      </c>
      <c r="D1814">
        <v>98.71</v>
      </c>
      <c r="E1814">
        <v>99.06</v>
      </c>
      <c r="F1814">
        <v>18452000</v>
      </c>
      <c r="G1814">
        <v>99.06</v>
      </c>
    </row>
    <row r="1815" spans="1:7" x14ac:dyDescent="0.25">
      <c r="A1815" s="5">
        <v>28198</v>
      </c>
      <c r="B1815">
        <v>100.65</v>
      </c>
      <c r="C1815">
        <v>102.7</v>
      </c>
      <c r="D1815">
        <v>100.24</v>
      </c>
      <c r="E1815">
        <v>101.86</v>
      </c>
      <c r="F1815">
        <v>21182000</v>
      </c>
      <c r="G1815">
        <v>101.86</v>
      </c>
    </row>
    <row r="1816" spans="1:7" x14ac:dyDescent="0.25">
      <c r="A1816" s="5">
        <v>28191</v>
      </c>
      <c r="B1816">
        <v>101.2</v>
      </c>
      <c r="C1816">
        <v>101.85</v>
      </c>
      <c r="D1816">
        <v>99.49</v>
      </c>
      <c r="E1816">
        <v>100.65</v>
      </c>
      <c r="F1816">
        <v>18692000</v>
      </c>
      <c r="G1816">
        <v>100.65</v>
      </c>
    </row>
    <row r="1817" spans="1:7" x14ac:dyDescent="0.25">
      <c r="A1817" s="5">
        <v>28184</v>
      </c>
      <c r="B1817">
        <v>99.48</v>
      </c>
      <c r="C1817">
        <v>101.67</v>
      </c>
      <c r="D1817">
        <v>98.91</v>
      </c>
      <c r="E1817">
        <v>101.2</v>
      </c>
      <c r="F1817">
        <v>18044000</v>
      </c>
      <c r="G1817">
        <v>101.2</v>
      </c>
    </row>
    <row r="1818" spans="1:7" x14ac:dyDescent="0.25">
      <c r="A1818" s="5">
        <v>28178</v>
      </c>
      <c r="B1818">
        <v>100.49</v>
      </c>
      <c r="C1818">
        <v>101.22</v>
      </c>
      <c r="D1818">
        <v>98.82</v>
      </c>
      <c r="E1818">
        <v>99.48</v>
      </c>
      <c r="F1818">
        <v>18327500</v>
      </c>
      <c r="G1818">
        <v>99.48</v>
      </c>
    </row>
    <row r="1819" spans="1:7" x14ac:dyDescent="0.25">
      <c r="A1819" s="5">
        <v>28170</v>
      </c>
      <c r="B1819">
        <v>100.22</v>
      </c>
      <c r="C1819">
        <v>102.22</v>
      </c>
      <c r="D1819">
        <v>99.51</v>
      </c>
      <c r="E1819">
        <v>100.49</v>
      </c>
      <c r="F1819">
        <v>20272000</v>
      </c>
      <c r="G1819">
        <v>100.49</v>
      </c>
    </row>
    <row r="1820" spans="1:7" x14ac:dyDescent="0.25">
      <c r="A1820" s="5">
        <v>28163</v>
      </c>
      <c r="B1820">
        <v>101.88</v>
      </c>
      <c r="C1820">
        <v>102.65</v>
      </c>
      <c r="D1820">
        <v>99.74</v>
      </c>
      <c r="E1820">
        <v>100.22</v>
      </c>
      <c r="F1820">
        <v>22246000</v>
      </c>
      <c r="G1820">
        <v>100.22</v>
      </c>
    </row>
    <row r="1821" spans="1:7" x14ac:dyDescent="0.25">
      <c r="A1821" s="5">
        <v>28156</v>
      </c>
      <c r="B1821">
        <v>101.93</v>
      </c>
      <c r="C1821">
        <v>103.32</v>
      </c>
      <c r="D1821">
        <v>100.91</v>
      </c>
      <c r="E1821">
        <v>101.88</v>
      </c>
      <c r="F1821">
        <v>23848000</v>
      </c>
      <c r="G1821">
        <v>101.88</v>
      </c>
    </row>
    <row r="1822" spans="1:7" x14ac:dyDescent="0.25">
      <c r="A1822" s="5">
        <v>28149</v>
      </c>
      <c r="B1822">
        <v>103.32</v>
      </c>
      <c r="C1822">
        <v>104.08</v>
      </c>
      <c r="D1822">
        <v>101.08</v>
      </c>
      <c r="E1822">
        <v>101.93</v>
      </c>
      <c r="F1822">
        <v>24826000</v>
      </c>
      <c r="G1822">
        <v>101.93</v>
      </c>
    </row>
    <row r="1823" spans="1:7" x14ac:dyDescent="0.25">
      <c r="A1823" s="5">
        <v>28142</v>
      </c>
      <c r="B1823">
        <v>104.01</v>
      </c>
      <c r="C1823">
        <v>104.45</v>
      </c>
      <c r="D1823">
        <v>102.35</v>
      </c>
      <c r="E1823">
        <v>103.32</v>
      </c>
      <c r="F1823">
        <v>24602000</v>
      </c>
      <c r="G1823">
        <v>103.32</v>
      </c>
    </row>
    <row r="1824" spans="1:7" x14ac:dyDescent="0.25">
      <c r="A1824" s="5">
        <v>28135</v>
      </c>
      <c r="B1824">
        <v>105.01</v>
      </c>
      <c r="C1824">
        <v>105.75</v>
      </c>
      <c r="D1824">
        <v>102.75</v>
      </c>
      <c r="E1824">
        <v>104.01</v>
      </c>
      <c r="F1824">
        <v>23378000</v>
      </c>
      <c r="G1824">
        <v>104.01</v>
      </c>
    </row>
    <row r="1825" spans="1:7" x14ac:dyDescent="0.25">
      <c r="A1825" s="5">
        <v>28128</v>
      </c>
      <c r="B1825">
        <v>107.46</v>
      </c>
      <c r="C1825">
        <v>107.97</v>
      </c>
      <c r="D1825">
        <v>104.3</v>
      </c>
      <c r="E1825">
        <v>105.01</v>
      </c>
      <c r="F1825">
        <v>22934000</v>
      </c>
      <c r="G1825">
        <v>105.01</v>
      </c>
    </row>
    <row r="1826" spans="1:7" x14ac:dyDescent="0.25">
      <c r="A1826" s="5">
        <v>28121</v>
      </c>
      <c r="B1826">
        <v>104.84</v>
      </c>
      <c r="C1826">
        <v>107.82</v>
      </c>
      <c r="D1826">
        <v>104.58</v>
      </c>
      <c r="E1826">
        <v>107.46</v>
      </c>
      <c r="F1826">
        <v>22140000</v>
      </c>
      <c r="G1826">
        <v>107.46</v>
      </c>
    </row>
    <row r="1827" spans="1:7" x14ac:dyDescent="0.25">
      <c r="A1827" s="5">
        <v>28114</v>
      </c>
      <c r="B1827">
        <v>104.26</v>
      </c>
      <c r="C1827">
        <v>105.59</v>
      </c>
      <c r="D1827">
        <v>102.99</v>
      </c>
      <c r="E1827">
        <v>104.84</v>
      </c>
      <c r="F1827">
        <v>24152500</v>
      </c>
      <c r="G1827">
        <v>104.84</v>
      </c>
    </row>
    <row r="1828" spans="1:7" x14ac:dyDescent="0.25">
      <c r="A1828" s="5">
        <v>28107</v>
      </c>
      <c r="B1828">
        <v>104.7</v>
      </c>
      <c r="C1828">
        <v>105.89</v>
      </c>
      <c r="D1828">
        <v>103.8</v>
      </c>
      <c r="E1828">
        <v>104.26</v>
      </c>
      <c r="F1828">
        <v>25210000</v>
      </c>
      <c r="G1828">
        <v>104.26</v>
      </c>
    </row>
    <row r="1829" spans="1:7" x14ac:dyDescent="0.25">
      <c r="A1829" s="5">
        <v>28100</v>
      </c>
      <c r="B1829">
        <v>102.76</v>
      </c>
      <c r="C1829">
        <v>105.36</v>
      </c>
      <c r="D1829">
        <v>102.53</v>
      </c>
      <c r="E1829">
        <v>104.7</v>
      </c>
      <c r="F1829">
        <v>26658000</v>
      </c>
      <c r="G1829">
        <v>104.7</v>
      </c>
    </row>
    <row r="1830" spans="1:7" x14ac:dyDescent="0.25">
      <c r="A1830" s="5">
        <v>28093</v>
      </c>
      <c r="B1830">
        <v>103.15</v>
      </c>
      <c r="C1830">
        <v>103.46</v>
      </c>
      <c r="D1830">
        <v>101.46</v>
      </c>
      <c r="E1830">
        <v>102.76</v>
      </c>
      <c r="F1830">
        <v>20736000</v>
      </c>
      <c r="G1830">
        <v>102.76</v>
      </c>
    </row>
    <row r="1831" spans="1:7" x14ac:dyDescent="0.25">
      <c r="A1831" s="5">
        <v>28086</v>
      </c>
      <c r="B1831">
        <v>101.92</v>
      </c>
      <c r="C1831">
        <v>103.51</v>
      </c>
      <c r="D1831">
        <v>101.41</v>
      </c>
      <c r="E1831">
        <v>103.15</v>
      </c>
      <c r="F1831">
        <v>18860000</v>
      </c>
      <c r="G1831">
        <v>103.15</v>
      </c>
    </row>
    <row r="1832" spans="1:7" x14ac:dyDescent="0.25">
      <c r="A1832" s="5">
        <v>28079</v>
      </c>
      <c r="B1832">
        <v>99.24</v>
      </c>
      <c r="C1832">
        <v>102.77</v>
      </c>
      <c r="D1832">
        <v>98.53</v>
      </c>
      <c r="E1832">
        <v>101.92</v>
      </c>
      <c r="F1832">
        <v>21236000</v>
      </c>
      <c r="G1832">
        <v>101.92</v>
      </c>
    </row>
    <row r="1833" spans="1:7" x14ac:dyDescent="0.25">
      <c r="A1833" s="5">
        <v>28072</v>
      </c>
      <c r="B1833">
        <v>100.62</v>
      </c>
      <c r="C1833">
        <v>100.62</v>
      </c>
      <c r="D1833">
        <v>98.18</v>
      </c>
      <c r="E1833">
        <v>99.24</v>
      </c>
      <c r="F1833">
        <v>16680000</v>
      </c>
      <c r="G1833">
        <v>99.24</v>
      </c>
    </row>
    <row r="1834" spans="1:7" x14ac:dyDescent="0.25">
      <c r="A1834" s="5">
        <v>28065</v>
      </c>
      <c r="B1834">
        <v>102.9</v>
      </c>
      <c r="C1834">
        <v>103.78</v>
      </c>
      <c r="D1834">
        <v>100.48</v>
      </c>
      <c r="E1834">
        <v>100.82</v>
      </c>
      <c r="F1834">
        <v>20055000</v>
      </c>
      <c r="G1834">
        <v>100.82</v>
      </c>
    </row>
    <row r="1835" spans="1:7" x14ac:dyDescent="0.25">
      <c r="A1835" s="5">
        <v>28058</v>
      </c>
      <c r="B1835">
        <v>99.96</v>
      </c>
      <c r="C1835">
        <v>103.1</v>
      </c>
      <c r="D1835">
        <v>99.21</v>
      </c>
      <c r="E1835">
        <v>102.9</v>
      </c>
      <c r="F1835">
        <v>15708000</v>
      </c>
      <c r="G1835">
        <v>102.9</v>
      </c>
    </row>
    <row r="1836" spans="1:7" x14ac:dyDescent="0.25">
      <c r="A1836" s="5">
        <v>28051</v>
      </c>
      <c r="B1836">
        <v>100.88</v>
      </c>
      <c r="C1836">
        <v>102.32</v>
      </c>
      <c r="D1836">
        <v>99.24</v>
      </c>
      <c r="E1836">
        <v>99.96</v>
      </c>
      <c r="F1836">
        <v>16724000</v>
      </c>
      <c r="G1836">
        <v>99.96</v>
      </c>
    </row>
    <row r="1837" spans="1:7" x14ac:dyDescent="0.25">
      <c r="A1837" s="5">
        <v>28044</v>
      </c>
      <c r="B1837">
        <v>102.48</v>
      </c>
      <c r="C1837">
        <v>102.48</v>
      </c>
      <c r="D1837">
        <v>100.02</v>
      </c>
      <c r="E1837">
        <v>100.88</v>
      </c>
      <c r="F1837">
        <v>17868000</v>
      </c>
      <c r="G1837">
        <v>100.88</v>
      </c>
    </row>
    <row r="1838" spans="1:7" x14ac:dyDescent="0.25">
      <c r="A1838" s="5">
        <v>28037</v>
      </c>
      <c r="B1838">
        <v>104.17</v>
      </c>
      <c r="C1838">
        <v>104.62</v>
      </c>
      <c r="D1838">
        <v>102.05</v>
      </c>
      <c r="E1838">
        <v>102.56</v>
      </c>
      <c r="F1838">
        <v>17854000</v>
      </c>
      <c r="G1838">
        <v>102.56</v>
      </c>
    </row>
    <row r="1839" spans="1:7" x14ac:dyDescent="0.25">
      <c r="A1839" s="5">
        <v>28030</v>
      </c>
      <c r="B1839">
        <v>106.8</v>
      </c>
      <c r="C1839">
        <v>107.7</v>
      </c>
      <c r="D1839">
        <v>103.6</v>
      </c>
      <c r="E1839">
        <v>104.17</v>
      </c>
      <c r="F1839">
        <v>18256000</v>
      </c>
      <c r="G1839">
        <v>104.17</v>
      </c>
    </row>
    <row r="1840" spans="1:7" x14ac:dyDescent="0.25">
      <c r="A1840" s="5">
        <v>28023</v>
      </c>
      <c r="B1840">
        <v>106.27</v>
      </c>
      <c r="C1840">
        <v>108.72</v>
      </c>
      <c r="D1840">
        <v>105.74</v>
      </c>
      <c r="E1840">
        <v>106.8</v>
      </c>
      <c r="F1840">
        <v>25322000</v>
      </c>
      <c r="G1840">
        <v>106.8</v>
      </c>
    </row>
    <row r="1841" spans="1:7" x14ac:dyDescent="0.25">
      <c r="A1841" s="5">
        <v>28016</v>
      </c>
      <c r="B1841">
        <v>104.65</v>
      </c>
      <c r="C1841">
        <v>106.81</v>
      </c>
      <c r="D1841">
        <v>103.28</v>
      </c>
      <c r="E1841">
        <v>106.27</v>
      </c>
      <c r="F1841">
        <v>19422000</v>
      </c>
      <c r="G1841">
        <v>106.27</v>
      </c>
    </row>
    <row r="1842" spans="1:7" x14ac:dyDescent="0.25">
      <c r="A1842" s="5">
        <v>28010</v>
      </c>
      <c r="B1842">
        <v>104.3</v>
      </c>
      <c r="C1842">
        <v>105.73</v>
      </c>
      <c r="D1842">
        <v>103.79</v>
      </c>
      <c r="E1842">
        <v>104.65</v>
      </c>
      <c r="F1842">
        <v>17382500</v>
      </c>
      <c r="G1842">
        <v>104.65</v>
      </c>
    </row>
    <row r="1843" spans="1:7" x14ac:dyDescent="0.25">
      <c r="A1843" s="5">
        <v>28002</v>
      </c>
      <c r="B1843">
        <v>101.48</v>
      </c>
      <c r="C1843">
        <v>104.84</v>
      </c>
      <c r="D1843">
        <v>101.22</v>
      </c>
      <c r="E1843">
        <v>104.3</v>
      </c>
      <c r="F1843">
        <v>15492000</v>
      </c>
      <c r="G1843">
        <v>104.3</v>
      </c>
    </row>
    <row r="1844" spans="1:7" x14ac:dyDescent="0.25">
      <c r="A1844" s="5">
        <v>27995</v>
      </c>
      <c r="B1844">
        <v>102.37</v>
      </c>
      <c r="C1844">
        <v>102.65</v>
      </c>
      <c r="D1844">
        <v>100.43</v>
      </c>
      <c r="E1844">
        <v>101.48</v>
      </c>
      <c r="F1844">
        <v>15396000</v>
      </c>
      <c r="G1844">
        <v>101.48</v>
      </c>
    </row>
    <row r="1845" spans="1:7" x14ac:dyDescent="0.25">
      <c r="A1845" s="5">
        <v>27988</v>
      </c>
      <c r="B1845">
        <v>104.25</v>
      </c>
      <c r="C1845">
        <v>105.41</v>
      </c>
      <c r="D1845">
        <v>101.96</v>
      </c>
      <c r="E1845">
        <v>102.37</v>
      </c>
      <c r="F1845">
        <v>16802000</v>
      </c>
      <c r="G1845">
        <v>102.37</v>
      </c>
    </row>
    <row r="1846" spans="1:7" x14ac:dyDescent="0.25">
      <c r="A1846" s="5">
        <v>27981</v>
      </c>
      <c r="B1846">
        <v>103.79</v>
      </c>
      <c r="C1846">
        <v>105.24</v>
      </c>
      <c r="D1846">
        <v>103.01</v>
      </c>
      <c r="E1846">
        <v>104.25</v>
      </c>
      <c r="F1846">
        <v>15318000</v>
      </c>
      <c r="G1846">
        <v>104.25</v>
      </c>
    </row>
    <row r="1847" spans="1:7" x14ac:dyDescent="0.25">
      <c r="A1847" s="5">
        <v>27974</v>
      </c>
      <c r="B1847">
        <v>103.44</v>
      </c>
      <c r="C1847">
        <v>105.18</v>
      </c>
      <c r="D1847">
        <v>102.64</v>
      </c>
      <c r="E1847">
        <v>103.79</v>
      </c>
      <c r="F1847">
        <v>16496000</v>
      </c>
      <c r="G1847">
        <v>103.79</v>
      </c>
    </row>
    <row r="1848" spans="1:7" x14ac:dyDescent="0.25">
      <c r="A1848" s="5">
        <v>27967</v>
      </c>
      <c r="B1848">
        <v>104.06</v>
      </c>
      <c r="C1848">
        <v>104.69</v>
      </c>
      <c r="D1848">
        <v>102.31</v>
      </c>
      <c r="E1848">
        <v>103.44</v>
      </c>
      <c r="F1848">
        <v>14654000</v>
      </c>
      <c r="G1848">
        <v>103.44</v>
      </c>
    </row>
    <row r="1849" spans="1:7" x14ac:dyDescent="0.25">
      <c r="A1849" s="5">
        <v>27960</v>
      </c>
      <c r="B1849">
        <v>104.68</v>
      </c>
      <c r="C1849">
        <v>105.32</v>
      </c>
      <c r="D1849">
        <v>103.05</v>
      </c>
      <c r="E1849">
        <v>104.06</v>
      </c>
      <c r="F1849">
        <v>17366000</v>
      </c>
      <c r="G1849">
        <v>104.06</v>
      </c>
    </row>
    <row r="1850" spans="1:7" x14ac:dyDescent="0.25">
      <c r="A1850" s="5">
        <v>27953</v>
      </c>
      <c r="B1850">
        <v>104.98</v>
      </c>
      <c r="C1850">
        <v>106.78</v>
      </c>
      <c r="D1850">
        <v>103.87</v>
      </c>
      <c r="E1850">
        <v>104.68</v>
      </c>
      <c r="F1850">
        <v>23198000</v>
      </c>
      <c r="G1850">
        <v>104.68</v>
      </c>
    </row>
    <row r="1851" spans="1:7" x14ac:dyDescent="0.25">
      <c r="A1851" s="5">
        <v>27947</v>
      </c>
      <c r="B1851">
        <v>104.11</v>
      </c>
      <c r="C1851">
        <v>105.41</v>
      </c>
      <c r="D1851">
        <v>102.8</v>
      </c>
      <c r="E1851">
        <v>104.98</v>
      </c>
      <c r="F1851">
        <v>19952500</v>
      </c>
      <c r="G1851">
        <v>104.98</v>
      </c>
    </row>
    <row r="1852" spans="1:7" x14ac:dyDescent="0.25">
      <c r="A1852" s="5">
        <v>27939</v>
      </c>
      <c r="B1852">
        <v>103.72</v>
      </c>
      <c r="C1852">
        <v>105.07</v>
      </c>
      <c r="D1852">
        <v>102.95</v>
      </c>
      <c r="E1852">
        <v>104.11</v>
      </c>
      <c r="F1852">
        <v>19760000</v>
      </c>
      <c r="G1852">
        <v>104.11</v>
      </c>
    </row>
    <row r="1853" spans="1:7" x14ac:dyDescent="0.25">
      <c r="A1853" s="5">
        <v>27932</v>
      </c>
      <c r="B1853">
        <v>103.76</v>
      </c>
      <c r="C1853">
        <v>104.82</v>
      </c>
      <c r="D1853">
        <v>102.4</v>
      </c>
      <c r="E1853">
        <v>103.72</v>
      </c>
      <c r="F1853">
        <v>19058000</v>
      </c>
      <c r="G1853">
        <v>103.72</v>
      </c>
    </row>
    <row r="1854" spans="1:7" x14ac:dyDescent="0.25">
      <c r="A1854" s="5">
        <v>27925</v>
      </c>
      <c r="B1854">
        <v>101</v>
      </c>
      <c r="C1854">
        <v>104.8</v>
      </c>
      <c r="D1854">
        <v>100.84</v>
      </c>
      <c r="E1854">
        <v>103.76</v>
      </c>
      <c r="F1854">
        <v>22968000</v>
      </c>
      <c r="G1854">
        <v>103.76</v>
      </c>
    </row>
    <row r="1855" spans="1:7" x14ac:dyDescent="0.25">
      <c r="A1855" s="5">
        <v>27918</v>
      </c>
      <c r="B1855">
        <v>99.15</v>
      </c>
      <c r="C1855">
        <v>101.22</v>
      </c>
      <c r="D1855">
        <v>97.97</v>
      </c>
      <c r="E1855">
        <v>100.92</v>
      </c>
      <c r="F1855">
        <v>16260000</v>
      </c>
      <c r="G1855">
        <v>100.92</v>
      </c>
    </row>
    <row r="1856" spans="1:7" x14ac:dyDescent="0.25">
      <c r="A1856" s="5">
        <v>27912</v>
      </c>
      <c r="B1856">
        <v>100.18</v>
      </c>
      <c r="C1856">
        <v>101.1</v>
      </c>
      <c r="D1856">
        <v>98.79</v>
      </c>
      <c r="E1856">
        <v>99.15</v>
      </c>
      <c r="F1856">
        <v>16215000</v>
      </c>
      <c r="G1856">
        <v>99.15</v>
      </c>
    </row>
    <row r="1857" spans="1:7" x14ac:dyDescent="0.25">
      <c r="A1857" s="5">
        <v>27904</v>
      </c>
      <c r="B1857">
        <v>101.07</v>
      </c>
      <c r="C1857">
        <v>101.07</v>
      </c>
      <c r="D1857">
        <v>98.26</v>
      </c>
      <c r="E1857">
        <v>100.18</v>
      </c>
      <c r="F1857">
        <v>16850000</v>
      </c>
      <c r="G1857">
        <v>100.18</v>
      </c>
    </row>
    <row r="1858" spans="1:7" x14ac:dyDescent="0.25">
      <c r="A1858" s="5">
        <v>27897</v>
      </c>
      <c r="B1858">
        <v>101.34</v>
      </c>
      <c r="C1858">
        <v>102.53</v>
      </c>
      <c r="D1858">
        <v>100.41</v>
      </c>
      <c r="E1858">
        <v>101.26</v>
      </c>
      <c r="F1858">
        <v>18374000</v>
      </c>
      <c r="G1858">
        <v>101.26</v>
      </c>
    </row>
    <row r="1859" spans="1:7" x14ac:dyDescent="0.25">
      <c r="A1859" s="5">
        <v>27890</v>
      </c>
      <c r="B1859">
        <v>101.88</v>
      </c>
      <c r="C1859">
        <v>103.99</v>
      </c>
      <c r="D1859">
        <v>100.82</v>
      </c>
      <c r="E1859">
        <v>101.34</v>
      </c>
      <c r="F1859">
        <v>19678000</v>
      </c>
      <c r="G1859">
        <v>101.34</v>
      </c>
    </row>
    <row r="1860" spans="1:7" x14ac:dyDescent="0.25">
      <c r="A1860" s="5">
        <v>27883</v>
      </c>
      <c r="B1860">
        <v>101.64</v>
      </c>
      <c r="C1860">
        <v>102.27</v>
      </c>
      <c r="D1860">
        <v>100.14</v>
      </c>
      <c r="E1860">
        <v>101.88</v>
      </c>
      <c r="F1860">
        <v>16280000</v>
      </c>
      <c r="G1860">
        <v>101.88</v>
      </c>
    </row>
    <row r="1861" spans="1:7" x14ac:dyDescent="0.25">
      <c r="A1861" s="5">
        <v>27876</v>
      </c>
      <c r="B1861">
        <v>102.29</v>
      </c>
      <c r="C1861">
        <v>103.18</v>
      </c>
      <c r="D1861">
        <v>100.91</v>
      </c>
      <c r="E1861">
        <v>101.64</v>
      </c>
      <c r="F1861">
        <v>16268000</v>
      </c>
      <c r="G1861">
        <v>101.64</v>
      </c>
    </row>
    <row r="1862" spans="1:7" x14ac:dyDescent="0.25">
      <c r="A1862" s="5">
        <v>27869</v>
      </c>
      <c r="B1862">
        <v>100.67</v>
      </c>
      <c r="C1862">
        <v>104.04</v>
      </c>
      <c r="D1862">
        <v>100.32</v>
      </c>
      <c r="E1862">
        <v>102.29</v>
      </c>
      <c r="F1862">
        <v>20764000</v>
      </c>
      <c r="G1862">
        <v>102.29</v>
      </c>
    </row>
    <row r="1863" spans="1:7" x14ac:dyDescent="0.25">
      <c r="A1863" s="5">
        <v>27862</v>
      </c>
      <c r="B1863">
        <v>100.35</v>
      </c>
      <c r="C1863">
        <v>101.77</v>
      </c>
      <c r="D1863">
        <v>99.57</v>
      </c>
      <c r="E1863">
        <v>100.67</v>
      </c>
      <c r="F1863">
        <v>16390000</v>
      </c>
      <c r="G1863">
        <v>100.67</v>
      </c>
    </row>
    <row r="1864" spans="1:7" x14ac:dyDescent="0.25">
      <c r="A1864" s="5">
        <v>27855</v>
      </c>
      <c r="B1864">
        <v>102.32</v>
      </c>
      <c r="C1864">
        <v>104.63</v>
      </c>
      <c r="D1864">
        <v>99.87</v>
      </c>
      <c r="E1864">
        <v>100.35</v>
      </c>
      <c r="F1864">
        <v>21242000</v>
      </c>
      <c r="G1864">
        <v>100.35</v>
      </c>
    </row>
    <row r="1865" spans="1:7" x14ac:dyDescent="0.25">
      <c r="A1865" s="5">
        <v>27848</v>
      </c>
      <c r="B1865">
        <v>102.85</v>
      </c>
      <c r="C1865">
        <v>103.36</v>
      </c>
      <c r="D1865">
        <v>101.23</v>
      </c>
      <c r="E1865">
        <v>102.25</v>
      </c>
      <c r="F1865">
        <v>17376000</v>
      </c>
      <c r="G1865">
        <v>102.25</v>
      </c>
    </row>
    <row r="1866" spans="1:7" x14ac:dyDescent="0.25">
      <c r="A1866" s="5">
        <v>27841</v>
      </c>
      <c r="B1866">
        <v>100.58</v>
      </c>
      <c r="C1866">
        <v>104.39</v>
      </c>
      <c r="D1866">
        <v>100.14</v>
      </c>
      <c r="E1866">
        <v>102.85</v>
      </c>
      <c r="F1866">
        <v>23098000</v>
      </c>
      <c r="G1866">
        <v>102.85</v>
      </c>
    </row>
    <row r="1867" spans="1:7" x14ac:dyDescent="0.25">
      <c r="A1867" s="5">
        <v>27834</v>
      </c>
      <c r="B1867">
        <v>100.86</v>
      </c>
      <c r="C1867">
        <v>102.01</v>
      </c>
      <c r="D1867">
        <v>99.24</v>
      </c>
      <c r="E1867">
        <v>100.58</v>
      </c>
      <c r="F1867">
        <v>21392000</v>
      </c>
      <c r="G1867">
        <v>100.58</v>
      </c>
    </row>
    <row r="1868" spans="1:7" x14ac:dyDescent="0.25">
      <c r="A1868" s="5">
        <v>27827</v>
      </c>
      <c r="B1868">
        <v>99.11</v>
      </c>
      <c r="C1868">
        <v>102.46</v>
      </c>
      <c r="D1868">
        <v>98.93</v>
      </c>
      <c r="E1868">
        <v>100.86</v>
      </c>
      <c r="F1868">
        <v>27010000</v>
      </c>
      <c r="G1868">
        <v>100.86</v>
      </c>
    </row>
    <row r="1869" spans="1:7" x14ac:dyDescent="0.25">
      <c r="A1869" s="5">
        <v>27820</v>
      </c>
      <c r="B1869">
        <v>99.71</v>
      </c>
      <c r="C1869">
        <v>101.26</v>
      </c>
      <c r="D1869">
        <v>98.23</v>
      </c>
      <c r="E1869">
        <v>99.11</v>
      </c>
      <c r="F1869">
        <v>24110000</v>
      </c>
      <c r="G1869">
        <v>99.11</v>
      </c>
    </row>
    <row r="1870" spans="1:7" x14ac:dyDescent="0.25">
      <c r="A1870" s="5">
        <v>27813</v>
      </c>
      <c r="B1870">
        <v>102.1</v>
      </c>
      <c r="C1870">
        <v>102.92</v>
      </c>
      <c r="D1870">
        <v>98.6</v>
      </c>
      <c r="E1870">
        <v>99.71</v>
      </c>
      <c r="F1870">
        <v>32356000</v>
      </c>
      <c r="G1870">
        <v>99.71</v>
      </c>
    </row>
    <row r="1871" spans="1:7" x14ac:dyDescent="0.25">
      <c r="A1871" s="5">
        <v>27807</v>
      </c>
      <c r="B1871">
        <v>99.67</v>
      </c>
      <c r="C1871">
        <v>103.07</v>
      </c>
      <c r="D1871">
        <v>98.5</v>
      </c>
      <c r="E1871">
        <v>102.1</v>
      </c>
      <c r="F1871">
        <v>34770000</v>
      </c>
      <c r="G1871">
        <v>102.1</v>
      </c>
    </row>
    <row r="1872" spans="1:7" x14ac:dyDescent="0.25">
      <c r="A1872" s="5">
        <v>27799</v>
      </c>
      <c r="B1872">
        <v>99.46</v>
      </c>
      <c r="C1872">
        <v>101.8</v>
      </c>
      <c r="D1872">
        <v>98.77</v>
      </c>
      <c r="E1872">
        <v>99.67</v>
      </c>
      <c r="F1872">
        <v>27556000</v>
      </c>
      <c r="G1872">
        <v>99.67</v>
      </c>
    </row>
    <row r="1873" spans="1:7" x14ac:dyDescent="0.25">
      <c r="A1873" s="5">
        <v>27792</v>
      </c>
      <c r="B1873">
        <v>100.86</v>
      </c>
      <c r="C1873">
        <v>102.57</v>
      </c>
      <c r="D1873">
        <v>98.64</v>
      </c>
      <c r="E1873">
        <v>99.46</v>
      </c>
      <c r="F1873">
        <v>31498000</v>
      </c>
      <c r="G1873">
        <v>99.46</v>
      </c>
    </row>
    <row r="1874" spans="1:7" x14ac:dyDescent="0.25">
      <c r="A1874" s="5">
        <v>27785</v>
      </c>
      <c r="B1874">
        <v>99.21</v>
      </c>
      <c r="C1874">
        <v>101.99</v>
      </c>
      <c r="D1874">
        <v>97.66</v>
      </c>
      <c r="E1874">
        <v>100.86</v>
      </c>
      <c r="F1874">
        <v>32444000</v>
      </c>
      <c r="G1874">
        <v>100.86</v>
      </c>
    </row>
    <row r="1875" spans="1:7" x14ac:dyDescent="0.25">
      <c r="A1875" s="5">
        <v>27778</v>
      </c>
      <c r="B1875">
        <v>97</v>
      </c>
      <c r="C1875">
        <v>99.88</v>
      </c>
      <c r="D1875">
        <v>96.36</v>
      </c>
      <c r="E1875">
        <v>99.21</v>
      </c>
      <c r="F1875">
        <v>32334000</v>
      </c>
      <c r="G1875">
        <v>99.21</v>
      </c>
    </row>
    <row r="1876" spans="1:7" x14ac:dyDescent="0.25">
      <c r="A1876" s="5">
        <v>27771</v>
      </c>
      <c r="B1876">
        <v>94.95</v>
      </c>
      <c r="C1876">
        <v>98.34</v>
      </c>
      <c r="D1876">
        <v>94.38</v>
      </c>
      <c r="E1876">
        <v>97</v>
      </c>
      <c r="F1876">
        <v>31940000</v>
      </c>
      <c r="G1876">
        <v>97</v>
      </c>
    </row>
    <row r="1877" spans="1:7" x14ac:dyDescent="0.25">
      <c r="A1877" s="5">
        <v>27764</v>
      </c>
      <c r="B1877">
        <v>90.9</v>
      </c>
      <c r="C1877">
        <v>95.71</v>
      </c>
      <c r="D1877">
        <v>90.85</v>
      </c>
      <c r="E1877">
        <v>94.95</v>
      </c>
      <c r="F1877">
        <v>28388000</v>
      </c>
      <c r="G1877">
        <v>94.95</v>
      </c>
    </row>
    <row r="1878" spans="1:7" x14ac:dyDescent="0.25">
      <c r="A1878" s="5">
        <v>27757</v>
      </c>
      <c r="B1878">
        <v>90.25</v>
      </c>
      <c r="C1878">
        <v>91.18</v>
      </c>
      <c r="D1878">
        <v>89.17</v>
      </c>
      <c r="E1878">
        <v>90.9</v>
      </c>
      <c r="F1878">
        <v>15095000</v>
      </c>
      <c r="G1878">
        <v>90.9</v>
      </c>
    </row>
    <row r="1879" spans="1:7" x14ac:dyDescent="0.25">
      <c r="A1879" s="5">
        <v>27750</v>
      </c>
      <c r="B1879">
        <v>88.8</v>
      </c>
      <c r="C1879">
        <v>90.45</v>
      </c>
      <c r="D1879">
        <v>87.64</v>
      </c>
      <c r="E1879">
        <v>90.25</v>
      </c>
      <c r="F1879">
        <v>13565000</v>
      </c>
      <c r="G1879">
        <v>90.25</v>
      </c>
    </row>
    <row r="1880" spans="1:7" x14ac:dyDescent="0.25">
      <c r="A1880" s="5">
        <v>27743</v>
      </c>
      <c r="B1880">
        <v>87.83</v>
      </c>
      <c r="C1880">
        <v>90.09</v>
      </c>
      <c r="D1880">
        <v>87.32</v>
      </c>
      <c r="E1880">
        <v>88.8</v>
      </c>
      <c r="F1880">
        <v>16926000</v>
      </c>
      <c r="G1880">
        <v>88.8</v>
      </c>
    </row>
    <row r="1881" spans="1:7" x14ac:dyDescent="0.25">
      <c r="A1881" s="5">
        <v>27736</v>
      </c>
      <c r="B1881">
        <v>86.82</v>
      </c>
      <c r="C1881">
        <v>88.79</v>
      </c>
      <c r="D1881">
        <v>86.15</v>
      </c>
      <c r="E1881">
        <v>87.83</v>
      </c>
      <c r="F1881">
        <v>14854000</v>
      </c>
      <c r="G1881">
        <v>87.83</v>
      </c>
    </row>
    <row r="1882" spans="1:7" x14ac:dyDescent="0.25">
      <c r="A1882" s="5">
        <v>27729</v>
      </c>
      <c r="B1882">
        <v>91.24</v>
      </c>
      <c r="C1882">
        <v>91.9</v>
      </c>
      <c r="D1882">
        <v>86.54</v>
      </c>
      <c r="E1882">
        <v>86.82</v>
      </c>
      <c r="F1882">
        <v>17146000</v>
      </c>
      <c r="G1882">
        <v>86.82</v>
      </c>
    </row>
    <row r="1883" spans="1:7" x14ac:dyDescent="0.25">
      <c r="A1883" s="5">
        <v>27722</v>
      </c>
      <c r="B1883">
        <v>89.53</v>
      </c>
      <c r="C1883">
        <v>91.74</v>
      </c>
      <c r="D1883">
        <v>88.65</v>
      </c>
      <c r="E1883">
        <v>91.24</v>
      </c>
      <c r="F1883">
        <v>15767500</v>
      </c>
      <c r="G1883">
        <v>91.24</v>
      </c>
    </row>
    <row r="1884" spans="1:7" x14ac:dyDescent="0.25">
      <c r="A1884" s="5">
        <v>27715</v>
      </c>
      <c r="B1884">
        <v>90.97</v>
      </c>
      <c r="C1884">
        <v>92.3</v>
      </c>
      <c r="D1884">
        <v>88.79</v>
      </c>
      <c r="E1884">
        <v>89.53</v>
      </c>
      <c r="F1884">
        <v>17162000</v>
      </c>
      <c r="G1884">
        <v>89.53</v>
      </c>
    </row>
    <row r="1885" spans="1:7" x14ac:dyDescent="0.25">
      <c r="A1885" s="5">
        <v>27708</v>
      </c>
      <c r="B1885">
        <v>89.33</v>
      </c>
      <c r="C1885">
        <v>92.33</v>
      </c>
      <c r="D1885">
        <v>88.35</v>
      </c>
      <c r="E1885">
        <v>90.97</v>
      </c>
      <c r="F1885">
        <v>19008000</v>
      </c>
      <c r="G1885">
        <v>90.97</v>
      </c>
    </row>
    <row r="1886" spans="1:7" x14ac:dyDescent="0.25">
      <c r="A1886" s="5">
        <v>27701</v>
      </c>
      <c r="B1886">
        <v>89.04</v>
      </c>
      <c r="C1886">
        <v>90.18</v>
      </c>
      <c r="D1886">
        <v>87.63</v>
      </c>
      <c r="E1886">
        <v>89.33</v>
      </c>
      <c r="F1886">
        <v>14978000</v>
      </c>
      <c r="G1886">
        <v>89.33</v>
      </c>
    </row>
    <row r="1887" spans="1:7" x14ac:dyDescent="0.25">
      <c r="A1887" s="5">
        <v>27694</v>
      </c>
      <c r="B1887">
        <v>89.83</v>
      </c>
      <c r="C1887">
        <v>91.01</v>
      </c>
      <c r="D1887">
        <v>88.35</v>
      </c>
      <c r="E1887">
        <v>89.04</v>
      </c>
      <c r="F1887">
        <v>14852000</v>
      </c>
      <c r="G1887">
        <v>89.04</v>
      </c>
    </row>
    <row r="1888" spans="1:7" x14ac:dyDescent="0.25">
      <c r="A1888" s="5">
        <v>27687</v>
      </c>
      <c r="B1888">
        <v>88.86</v>
      </c>
      <c r="C1888">
        <v>91.75</v>
      </c>
      <c r="D1888">
        <v>88.43</v>
      </c>
      <c r="E1888">
        <v>89.83</v>
      </c>
      <c r="F1888">
        <v>17226000</v>
      </c>
      <c r="G1888">
        <v>89.83</v>
      </c>
    </row>
    <row r="1889" spans="1:7" x14ac:dyDescent="0.25">
      <c r="A1889" s="5">
        <v>27680</v>
      </c>
      <c r="B1889">
        <v>88.21</v>
      </c>
      <c r="C1889">
        <v>90.8</v>
      </c>
      <c r="D1889">
        <v>87.73</v>
      </c>
      <c r="E1889">
        <v>88.86</v>
      </c>
      <c r="F1889">
        <v>16196000</v>
      </c>
      <c r="G1889">
        <v>88.86</v>
      </c>
    </row>
    <row r="1890" spans="1:7" x14ac:dyDescent="0.25">
      <c r="A1890" s="5">
        <v>27673</v>
      </c>
      <c r="B1890">
        <v>85.98</v>
      </c>
      <c r="C1890">
        <v>89.42</v>
      </c>
      <c r="D1890">
        <v>85.56</v>
      </c>
      <c r="E1890">
        <v>88.21</v>
      </c>
      <c r="F1890">
        <v>15890000</v>
      </c>
      <c r="G1890">
        <v>88.21</v>
      </c>
    </row>
    <row r="1891" spans="1:7" x14ac:dyDescent="0.25">
      <c r="A1891" s="5">
        <v>27666</v>
      </c>
      <c r="B1891">
        <v>86.19</v>
      </c>
      <c r="C1891">
        <v>86.38</v>
      </c>
      <c r="D1891">
        <v>82.57</v>
      </c>
      <c r="E1891">
        <v>85.95</v>
      </c>
      <c r="F1891">
        <v>13564000</v>
      </c>
      <c r="G1891">
        <v>85.95</v>
      </c>
    </row>
    <row r="1892" spans="1:7" x14ac:dyDescent="0.25">
      <c r="A1892" s="5">
        <v>27659</v>
      </c>
      <c r="B1892">
        <v>85.88</v>
      </c>
      <c r="C1892">
        <v>86.86</v>
      </c>
      <c r="D1892">
        <v>83.8</v>
      </c>
      <c r="E1892">
        <v>86.19</v>
      </c>
      <c r="F1892">
        <v>13814000</v>
      </c>
      <c r="G1892">
        <v>86.19</v>
      </c>
    </row>
    <row r="1893" spans="1:7" x14ac:dyDescent="0.25">
      <c r="A1893" s="5">
        <v>27652</v>
      </c>
      <c r="B1893">
        <v>83.3</v>
      </c>
      <c r="C1893">
        <v>86.39</v>
      </c>
      <c r="D1893">
        <v>81.569999999999993</v>
      </c>
      <c r="E1893">
        <v>85.88</v>
      </c>
      <c r="F1893">
        <v>13868000</v>
      </c>
      <c r="G1893">
        <v>85.88</v>
      </c>
    </row>
    <row r="1894" spans="1:7" x14ac:dyDescent="0.25">
      <c r="A1894" s="5">
        <v>27645</v>
      </c>
      <c r="B1894">
        <v>85.62</v>
      </c>
      <c r="C1894">
        <v>86.73</v>
      </c>
      <c r="D1894">
        <v>82.84</v>
      </c>
      <c r="E1894">
        <v>83.3</v>
      </c>
      <c r="F1894">
        <v>13080000</v>
      </c>
      <c r="G1894">
        <v>83.3</v>
      </c>
    </row>
    <row r="1895" spans="1:7" x14ac:dyDescent="0.25">
      <c r="A1895" s="5">
        <v>27639</v>
      </c>
      <c r="B1895">
        <v>86.88</v>
      </c>
      <c r="C1895">
        <v>87.42</v>
      </c>
      <c r="D1895">
        <v>84.62</v>
      </c>
      <c r="E1895">
        <v>85.62</v>
      </c>
      <c r="F1895">
        <v>12052500</v>
      </c>
      <c r="G1895">
        <v>85.62</v>
      </c>
    </row>
    <row r="1896" spans="1:7" x14ac:dyDescent="0.25">
      <c r="A1896" s="5">
        <v>27631</v>
      </c>
      <c r="B1896">
        <v>84.28</v>
      </c>
      <c r="C1896">
        <v>87.73</v>
      </c>
      <c r="D1896">
        <v>83.35</v>
      </c>
      <c r="E1896">
        <v>86.88</v>
      </c>
      <c r="F1896">
        <v>12742000</v>
      </c>
      <c r="G1896">
        <v>86.88</v>
      </c>
    </row>
    <row r="1897" spans="1:7" x14ac:dyDescent="0.25">
      <c r="A1897" s="5">
        <v>27624</v>
      </c>
      <c r="B1897">
        <v>86.36</v>
      </c>
      <c r="C1897">
        <v>87.21</v>
      </c>
      <c r="D1897">
        <v>82.21</v>
      </c>
      <c r="E1897">
        <v>84.28</v>
      </c>
      <c r="F1897">
        <v>14818000</v>
      </c>
      <c r="G1897">
        <v>84.28</v>
      </c>
    </row>
    <row r="1898" spans="1:7" x14ac:dyDescent="0.25">
      <c r="A1898" s="5">
        <v>27617</v>
      </c>
      <c r="B1898">
        <v>86.02</v>
      </c>
      <c r="C1898">
        <v>88.17</v>
      </c>
      <c r="D1898">
        <v>85.02</v>
      </c>
      <c r="E1898">
        <v>86.36</v>
      </c>
      <c r="F1898">
        <v>12386000</v>
      </c>
      <c r="G1898">
        <v>86.36</v>
      </c>
    </row>
    <row r="1899" spans="1:7" x14ac:dyDescent="0.25">
      <c r="A1899" s="5">
        <v>27610</v>
      </c>
      <c r="B1899">
        <v>87.99</v>
      </c>
      <c r="C1899">
        <v>88.17</v>
      </c>
      <c r="D1899">
        <v>85.34</v>
      </c>
      <c r="E1899">
        <v>86.02</v>
      </c>
      <c r="F1899">
        <v>13684000</v>
      </c>
      <c r="G1899">
        <v>86.02</v>
      </c>
    </row>
    <row r="1900" spans="1:7" x14ac:dyDescent="0.25">
      <c r="A1900" s="5">
        <v>27603</v>
      </c>
      <c r="B1900">
        <v>89.29</v>
      </c>
      <c r="C1900">
        <v>90.07</v>
      </c>
      <c r="D1900">
        <v>87.46</v>
      </c>
      <c r="E1900">
        <v>87.99</v>
      </c>
      <c r="F1900">
        <v>15572000</v>
      </c>
      <c r="G1900">
        <v>87.99</v>
      </c>
    </row>
    <row r="1901" spans="1:7" x14ac:dyDescent="0.25">
      <c r="A1901" s="5">
        <v>27596</v>
      </c>
      <c r="B1901">
        <v>93.2</v>
      </c>
      <c r="C1901">
        <v>93.93</v>
      </c>
      <c r="D1901">
        <v>88.72</v>
      </c>
      <c r="E1901">
        <v>89.29</v>
      </c>
      <c r="F1901">
        <v>18632000</v>
      </c>
      <c r="G1901">
        <v>89.29</v>
      </c>
    </row>
    <row r="1902" spans="1:7" x14ac:dyDescent="0.25">
      <c r="A1902" s="5">
        <v>27589</v>
      </c>
      <c r="B1902">
        <v>94.66</v>
      </c>
      <c r="C1902">
        <v>96.58</v>
      </c>
      <c r="D1902">
        <v>92.39</v>
      </c>
      <c r="E1902">
        <v>93.2</v>
      </c>
      <c r="F1902">
        <v>22756000</v>
      </c>
      <c r="G1902">
        <v>93.2</v>
      </c>
    </row>
    <row r="1903" spans="1:7" x14ac:dyDescent="0.25">
      <c r="A1903" s="5">
        <v>27582</v>
      </c>
      <c r="B1903">
        <v>94.36</v>
      </c>
      <c r="C1903">
        <v>96.19</v>
      </c>
      <c r="D1903">
        <v>92.51</v>
      </c>
      <c r="E1903">
        <v>94.66</v>
      </c>
      <c r="F1903">
        <v>22456000</v>
      </c>
      <c r="G1903">
        <v>94.66</v>
      </c>
    </row>
    <row r="1904" spans="1:7" x14ac:dyDescent="0.25">
      <c r="A1904" s="5">
        <v>27575</v>
      </c>
      <c r="B1904">
        <v>94.81</v>
      </c>
      <c r="C1904">
        <v>95.85</v>
      </c>
      <c r="D1904">
        <v>93.37</v>
      </c>
      <c r="E1904">
        <v>94.36</v>
      </c>
      <c r="F1904">
        <v>19337500</v>
      </c>
      <c r="G1904">
        <v>94.36</v>
      </c>
    </row>
    <row r="1905" spans="1:7" x14ac:dyDescent="0.25">
      <c r="A1905" s="5">
        <v>27568</v>
      </c>
      <c r="B1905">
        <v>92.61</v>
      </c>
      <c r="C1905">
        <v>95.72</v>
      </c>
      <c r="D1905">
        <v>91.81</v>
      </c>
      <c r="E1905">
        <v>94.81</v>
      </c>
      <c r="F1905">
        <v>22466000</v>
      </c>
      <c r="G1905">
        <v>94.81</v>
      </c>
    </row>
    <row r="1906" spans="1:7" x14ac:dyDescent="0.25">
      <c r="A1906" s="5">
        <v>27561</v>
      </c>
      <c r="B1906">
        <v>90.52</v>
      </c>
      <c r="C1906">
        <v>93.75</v>
      </c>
      <c r="D1906">
        <v>89.6</v>
      </c>
      <c r="E1906">
        <v>92.61</v>
      </c>
      <c r="F1906">
        <v>19880000</v>
      </c>
      <c r="G1906">
        <v>92.61</v>
      </c>
    </row>
    <row r="1907" spans="1:7" x14ac:dyDescent="0.25">
      <c r="A1907" s="5">
        <v>27554</v>
      </c>
      <c r="B1907">
        <v>92.48</v>
      </c>
      <c r="C1907">
        <v>92.87</v>
      </c>
      <c r="D1907">
        <v>89.3</v>
      </c>
      <c r="E1907">
        <v>90.52</v>
      </c>
      <c r="F1907">
        <v>18460000</v>
      </c>
      <c r="G1907">
        <v>90.52</v>
      </c>
    </row>
    <row r="1908" spans="1:7" x14ac:dyDescent="0.25">
      <c r="A1908" s="5">
        <v>27547</v>
      </c>
      <c r="B1908">
        <v>91.32</v>
      </c>
      <c r="C1908">
        <v>93.76</v>
      </c>
      <c r="D1908">
        <v>91.32</v>
      </c>
      <c r="E1908">
        <v>92.48</v>
      </c>
      <c r="F1908">
        <v>24708000</v>
      </c>
      <c r="G1908">
        <v>92.48</v>
      </c>
    </row>
    <row r="1909" spans="1:7" x14ac:dyDescent="0.25">
      <c r="A1909" s="5">
        <v>27541</v>
      </c>
      <c r="B1909">
        <v>90.58</v>
      </c>
      <c r="C1909">
        <v>91.62</v>
      </c>
      <c r="D1909">
        <v>88.83</v>
      </c>
      <c r="E1909">
        <v>91.15</v>
      </c>
      <c r="F1909">
        <v>20035000</v>
      </c>
      <c r="G1909">
        <v>91.15</v>
      </c>
    </row>
    <row r="1910" spans="1:7" x14ac:dyDescent="0.25">
      <c r="A1910" s="5">
        <v>27533</v>
      </c>
      <c r="B1910">
        <v>90.43</v>
      </c>
      <c r="C1910">
        <v>91.45</v>
      </c>
      <c r="D1910">
        <v>88.35</v>
      </c>
      <c r="E1910">
        <v>90.58</v>
      </c>
      <c r="F1910">
        <v>17860000</v>
      </c>
      <c r="G1910">
        <v>90.58</v>
      </c>
    </row>
    <row r="1911" spans="1:7" x14ac:dyDescent="0.25">
      <c r="A1911" s="5">
        <v>27526</v>
      </c>
      <c r="B1911">
        <v>90.53</v>
      </c>
      <c r="C1911">
        <v>93.51</v>
      </c>
      <c r="D1911">
        <v>89.74</v>
      </c>
      <c r="E1911">
        <v>90.43</v>
      </c>
      <c r="F1911">
        <v>24146000</v>
      </c>
      <c r="G1911">
        <v>90.43</v>
      </c>
    </row>
    <row r="1912" spans="1:7" x14ac:dyDescent="0.25">
      <c r="A1912" s="5">
        <v>27519</v>
      </c>
      <c r="B1912">
        <v>89.22</v>
      </c>
      <c r="C1912">
        <v>91.24</v>
      </c>
      <c r="D1912">
        <v>87.6</v>
      </c>
      <c r="E1912">
        <v>90.53</v>
      </c>
      <c r="F1912">
        <v>24290000</v>
      </c>
      <c r="G1912">
        <v>90.53</v>
      </c>
    </row>
    <row r="1913" spans="1:7" x14ac:dyDescent="0.25">
      <c r="A1913" s="5">
        <v>27512</v>
      </c>
      <c r="B1913">
        <v>86.62</v>
      </c>
      <c r="C1913">
        <v>89.98</v>
      </c>
      <c r="D1913">
        <v>85</v>
      </c>
      <c r="E1913">
        <v>89.22</v>
      </c>
      <c r="F1913">
        <v>19904000</v>
      </c>
      <c r="G1913">
        <v>89.22</v>
      </c>
    </row>
    <row r="1914" spans="1:7" x14ac:dyDescent="0.25">
      <c r="A1914" s="5">
        <v>27505</v>
      </c>
      <c r="B1914">
        <v>86.3</v>
      </c>
      <c r="C1914">
        <v>88.64</v>
      </c>
      <c r="D1914">
        <v>85</v>
      </c>
      <c r="E1914">
        <v>86.62</v>
      </c>
      <c r="F1914">
        <v>21886000</v>
      </c>
      <c r="G1914">
        <v>86.62</v>
      </c>
    </row>
    <row r="1915" spans="1:7" x14ac:dyDescent="0.25">
      <c r="A1915" s="5">
        <v>27498</v>
      </c>
      <c r="B1915">
        <v>84.18</v>
      </c>
      <c r="C1915">
        <v>88.79</v>
      </c>
      <c r="D1915">
        <v>83.98</v>
      </c>
      <c r="E1915">
        <v>86.3</v>
      </c>
      <c r="F1915">
        <v>27730000</v>
      </c>
      <c r="G1915">
        <v>86.3</v>
      </c>
    </row>
    <row r="1916" spans="1:7" x14ac:dyDescent="0.25">
      <c r="A1916" s="5">
        <v>27491</v>
      </c>
      <c r="B1916">
        <v>80.88</v>
      </c>
      <c r="C1916">
        <v>84.7</v>
      </c>
      <c r="D1916">
        <v>79.66</v>
      </c>
      <c r="E1916">
        <v>84.18</v>
      </c>
      <c r="F1916">
        <v>18290000</v>
      </c>
      <c r="G1916">
        <v>84.18</v>
      </c>
    </row>
    <row r="1917" spans="1:7" x14ac:dyDescent="0.25">
      <c r="A1917" s="5">
        <v>27484</v>
      </c>
      <c r="B1917">
        <v>83.85</v>
      </c>
      <c r="C1917">
        <v>84.62</v>
      </c>
      <c r="D1917">
        <v>80.290000000000006</v>
      </c>
      <c r="E1917">
        <v>80.88</v>
      </c>
      <c r="F1917">
        <v>14888000</v>
      </c>
      <c r="G1917">
        <v>80.88</v>
      </c>
    </row>
    <row r="1918" spans="1:7" x14ac:dyDescent="0.25">
      <c r="A1918" s="5">
        <v>27477</v>
      </c>
      <c r="B1918">
        <v>82.39</v>
      </c>
      <c r="C1918">
        <v>84.88</v>
      </c>
      <c r="D1918">
        <v>80.08</v>
      </c>
      <c r="E1918">
        <v>83.85</v>
      </c>
      <c r="F1918">
        <v>18297500</v>
      </c>
      <c r="G1918">
        <v>83.85</v>
      </c>
    </row>
    <row r="1919" spans="1:7" x14ac:dyDescent="0.25">
      <c r="A1919" s="5">
        <v>27470</v>
      </c>
      <c r="B1919">
        <v>84.76</v>
      </c>
      <c r="C1919">
        <v>87.08</v>
      </c>
      <c r="D1919">
        <v>82.52</v>
      </c>
      <c r="E1919">
        <v>83.39</v>
      </c>
      <c r="F1919">
        <v>22378000</v>
      </c>
      <c r="G1919">
        <v>83.39</v>
      </c>
    </row>
    <row r="1920" spans="1:7" x14ac:dyDescent="0.25">
      <c r="A1920" s="5">
        <v>27463</v>
      </c>
      <c r="B1920">
        <v>84.3</v>
      </c>
      <c r="C1920">
        <v>85.89</v>
      </c>
      <c r="D1920">
        <v>82.52</v>
      </c>
      <c r="E1920">
        <v>84.76</v>
      </c>
      <c r="F1920">
        <v>24438000</v>
      </c>
      <c r="G1920">
        <v>84.76</v>
      </c>
    </row>
    <row r="1921" spans="1:7" x14ac:dyDescent="0.25">
      <c r="A1921" s="5">
        <v>27456</v>
      </c>
      <c r="B1921">
        <v>81.59</v>
      </c>
      <c r="C1921">
        <v>85.43</v>
      </c>
      <c r="D1921">
        <v>81.319999999999993</v>
      </c>
      <c r="E1921">
        <v>84.3</v>
      </c>
      <c r="F1921">
        <v>26014000</v>
      </c>
      <c r="G1921">
        <v>84.3</v>
      </c>
    </row>
    <row r="1922" spans="1:7" x14ac:dyDescent="0.25">
      <c r="A1922" s="5">
        <v>27449</v>
      </c>
      <c r="B1922">
        <v>82.62</v>
      </c>
      <c r="C1922">
        <v>82.71</v>
      </c>
      <c r="D1922">
        <v>78.91</v>
      </c>
      <c r="E1922">
        <v>81.59</v>
      </c>
      <c r="F1922">
        <v>18568000</v>
      </c>
      <c r="G1922">
        <v>81.59</v>
      </c>
    </row>
    <row r="1923" spans="1:7" x14ac:dyDescent="0.25">
      <c r="A1923" s="5">
        <v>27443</v>
      </c>
      <c r="B1923">
        <v>81.5</v>
      </c>
      <c r="C1923">
        <v>83.56</v>
      </c>
      <c r="D1923">
        <v>79.83</v>
      </c>
      <c r="E1923">
        <v>82.62</v>
      </c>
      <c r="F1923">
        <v>23155000</v>
      </c>
      <c r="G1923">
        <v>82.62</v>
      </c>
    </row>
    <row r="1924" spans="1:7" x14ac:dyDescent="0.25">
      <c r="A1924" s="5">
        <v>27435</v>
      </c>
      <c r="B1924">
        <v>78.63</v>
      </c>
      <c r="C1924">
        <v>82.53</v>
      </c>
      <c r="D1924">
        <v>77.38</v>
      </c>
      <c r="E1924">
        <v>81.5</v>
      </c>
      <c r="F1924">
        <v>22166000</v>
      </c>
      <c r="G1924">
        <v>81.5</v>
      </c>
    </row>
    <row r="1925" spans="1:7" x14ac:dyDescent="0.25">
      <c r="A1925" s="5">
        <v>27428</v>
      </c>
      <c r="B1925">
        <v>76.98</v>
      </c>
      <c r="C1925">
        <v>80.72</v>
      </c>
      <c r="D1925">
        <v>76</v>
      </c>
      <c r="E1925">
        <v>78.63</v>
      </c>
      <c r="F1925">
        <v>25470000</v>
      </c>
      <c r="G1925">
        <v>78.63</v>
      </c>
    </row>
    <row r="1926" spans="1:7" x14ac:dyDescent="0.25">
      <c r="A1926" s="5">
        <v>27421</v>
      </c>
      <c r="B1926">
        <v>73.760000000000005</v>
      </c>
      <c r="C1926">
        <v>78.69</v>
      </c>
      <c r="D1926">
        <v>73.760000000000005</v>
      </c>
      <c r="E1926">
        <v>76.98</v>
      </c>
      <c r="F1926">
        <v>29136000</v>
      </c>
      <c r="G1926">
        <v>76.98</v>
      </c>
    </row>
    <row r="1927" spans="1:7" x14ac:dyDescent="0.25">
      <c r="A1927" s="5">
        <v>27414</v>
      </c>
      <c r="B1927">
        <v>70.959999999999994</v>
      </c>
      <c r="C1927">
        <v>73.569999999999993</v>
      </c>
      <c r="D1927">
        <v>69.8</v>
      </c>
      <c r="E1927">
        <v>72.98</v>
      </c>
      <c r="F1927">
        <v>16438000</v>
      </c>
      <c r="G1927">
        <v>72.98</v>
      </c>
    </row>
    <row r="1928" spans="1:7" x14ac:dyDescent="0.25">
      <c r="A1928" s="5">
        <v>27407</v>
      </c>
      <c r="B1928">
        <v>72.61</v>
      </c>
      <c r="C1928">
        <v>73.81</v>
      </c>
      <c r="D1928">
        <v>70.45</v>
      </c>
      <c r="E1928">
        <v>70.959999999999994</v>
      </c>
      <c r="F1928">
        <v>16868000</v>
      </c>
      <c r="G1928">
        <v>70.959999999999994</v>
      </c>
    </row>
    <row r="1929" spans="1:7" x14ac:dyDescent="0.25">
      <c r="A1929" s="5">
        <v>27400</v>
      </c>
      <c r="B1929">
        <v>70.709999999999994</v>
      </c>
      <c r="C1929">
        <v>73.75</v>
      </c>
      <c r="D1929">
        <v>69.040000000000006</v>
      </c>
      <c r="E1929">
        <v>72.61</v>
      </c>
      <c r="F1929">
        <v>18054000</v>
      </c>
      <c r="G1929">
        <v>72.61</v>
      </c>
    </row>
    <row r="1930" spans="1:7" x14ac:dyDescent="0.25">
      <c r="A1930" s="5">
        <v>27393</v>
      </c>
      <c r="B1930">
        <v>67.14</v>
      </c>
      <c r="C1930">
        <v>71.64</v>
      </c>
      <c r="D1930">
        <v>66.23</v>
      </c>
      <c r="E1930">
        <v>70.709999999999994</v>
      </c>
      <c r="F1930">
        <v>17390000</v>
      </c>
      <c r="G1930">
        <v>70.709999999999994</v>
      </c>
    </row>
    <row r="1931" spans="1:7" x14ac:dyDescent="0.25">
      <c r="A1931" s="5">
        <v>27386</v>
      </c>
      <c r="B1931">
        <v>66.91</v>
      </c>
      <c r="C1931">
        <v>68.19</v>
      </c>
      <c r="D1931">
        <v>65.34</v>
      </c>
      <c r="E1931">
        <v>67.14</v>
      </c>
      <c r="F1931">
        <v>13112500</v>
      </c>
      <c r="G1931">
        <v>67.14</v>
      </c>
    </row>
    <row r="1932" spans="1:7" x14ac:dyDescent="0.25">
      <c r="A1932" s="5">
        <v>27379</v>
      </c>
      <c r="B1932">
        <v>67.069999999999993</v>
      </c>
      <c r="C1932">
        <v>69.010000000000005</v>
      </c>
      <c r="D1932">
        <v>65.86</v>
      </c>
      <c r="E1932">
        <v>66.91</v>
      </c>
      <c r="F1932">
        <v>16408000</v>
      </c>
      <c r="G1932">
        <v>66.91</v>
      </c>
    </row>
    <row r="1933" spans="1:7" x14ac:dyDescent="0.25">
      <c r="A1933" s="5">
        <v>27372</v>
      </c>
      <c r="B1933">
        <v>65.010000000000005</v>
      </c>
      <c r="C1933">
        <v>69.03</v>
      </c>
      <c r="D1933">
        <v>64.13</v>
      </c>
      <c r="E1933">
        <v>67.069999999999993</v>
      </c>
      <c r="F1933">
        <v>15088000</v>
      </c>
      <c r="G1933">
        <v>67.069999999999993</v>
      </c>
    </row>
    <row r="1934" spans="1:7" x14ac:dyDescent="0.25">
      <c r="A1934" s="5">
        <v>27365</v>
      </c>
      <c r="B1934">
        <v>69.8</v>
      </c>
      <c r="C1934">
        <v>69.8</v>
      </c>
      <c r="D1934">
        <v>64.400000000000006</v>
      </c>
      <c r="E1934">
        <v>65.010000000000005</v>
      </c>
      <c r="F1934">
        <v>13146000</v>
      </c>
      <c r="G1934">
        <v>65.010000000000005</v>
      </c>
    </row>
    <row r="1935" spans="1:7" x14ac:dyDescent="0.25">
      <c r="A1935" s="5">
        <v>27358</v>
      </c>
      <c r="B1935">
        <v>68.900000000000006</v>
      </c>
      <c r="C1935">
        <v>71.31</v>
      </c>
      <c r="D1935">
        <v>67.790000000000006</v>
      </c>
      <c r="E1935">
        <v>69.97</v>
      </c>
      <c r="F1935">
        <v>11777500</v>
      </c>
      <c r="G1935">
        <v>69.97</v>
      </c>
    </row>
    <row r="1936" spans="1:7" x14ac:dyDescent="0.25">
      <c r="A1936" s="5">
        <v>27351</v>
      </c>
      <c r="B1936">
        <v>71.099999999999994</v>
      </c>
      <c r="C1936">
        <v>71.099999999999994</v>
      </c>
      <c r="D1936">
        <v>66.849999999999994</v>
      </c>
      <c r="E1936">
        <v>68.900000000000006</v>
      </c>
      <c r="F1936">
        <v>14044000</v>
      </c>
      <c r="G1936">
        <v>68.900000000000006</v>
      </c>
    </row>
    <row r="1937" spans="1:7" x14ac:dyDescent="0.25">
      <c r="A1937" s="5">
        <v>27344</v>
      </c>
      <c r="B1937">
        <v>74.91</v>
      </c>
      <c r="C1937">
        <v>75.7</v>
      </c>
      <c r="D1937">
        <v>71.41</v>
      </c>
      <c r="E1937">
        <v>71.91</v>
      </c>
      <c r="F1937">
        <v>14064000</v>
      </c>
      <c r="G1937">
        <v>71.91</v>
      </c>
    </row>
    <row r="1938" spans="1:7" x14ac:dyDescent="0.25">
      <c r="A1938" s="5">
        <v>27337</v>
      </c>
      <c r="B1938">
        <v>73.8</v>
      </c>
      <c r="C1938">
        <v>77.41</v>
      </c>
      <c r="D1938">
        <v>71.930000000000007</v>
      </c>
      <c r="E1938">
        <v>74.91</v>
      </c>
      <c r="F1938">
        <v>17134000</v>
      </c>
      <c r="G1938">
        <v>74.91</v>
      </c>
    </row>
    <row r="1939" spans="1:7" x14ac:dyDescent="0.25">
      <c r="A1939" s="5">
        <v>27330</v>
      </c>
      <c r="B1939">
        <v>70.12</v>
      </c>
      <c r="C1939">
        <v>75.900000000000006</v>
      </c>
      <c r="D1939">
        <v>68.89</v>
      </c>
      <c r="E1939">
        <v>73.88</v>
      </c>
      <c r="F1939">
        <v>15718000</v>
      </c>
      <c r="G1939">
        <v>73.88</v>
      </c>
    </row>
    <row r="1940" spans="1:7" x14ac:dyDescent="0.25">
      <c r="A1940" s="5">
        <v>27323</v>
      </c>
      <c r="B1940">
        <v>72.28</v>
      </c>
      <c r="C1940">
        <v>75.09</v>
      </c>
      <c r="D1940">
        <v>68.8</v>
      </c>
      <c r="E1940">
        <v>70.12</v>
      </c>
      <c r="F1940">
        <v>15038000</v>
      </c>
      <c r="G1940">
        <v>70.12</v>
      </c>
    </row>
    <row r="1941" spans="1:7" x14ac:dyDescent="0.25">
      <c r="A1941" s="5">
        <v>27316</v>
      </c>
      <c r="B1941">
        <v>71.17</v>
      </c>
      <c r="C1941">
        <v>74.430000000000007</v>
      </c>
      <c r="D1941">
        <v>69.41</v>
      </c>
      <c r="E1941">
        <v>72.28</v>
      </c>
      <c r="F1941">
        <v>16576000</v>
      </c>
      <c r="G1941">
        <v>72.28</v>
      </c>
    </row>
    <row r="1942" spans="1:7" x14ac:dyDescent="0.25">
      <c r="A1942" s="5">
        <v>27309</v>
      </c>
      <c r="B1942">
        <v>62.78</v>
      </c>
      <c r="C1942">
        <v>71.989999999999995</v>
      </c>
      <c r="D1942">
        <v>62.78</v>
      </c>
      <c r="E1942">
        <v>71.14</v>
      </c>
      <c r="F1942">
        <v>19146000</v>
      </c>
      <c r="G1942">
        <v>71.14</v>
      </c>
    </row>
    <row r="1943" spans="1:7" x14ac:dyDescent="0.25">
      <c r="A1943" s="5">
        <v>27302</v>
      </c>
      <c r="B1943">
        <v>64.849999999999994</v>
      </c>
      <c r="C1943">
        <v>64.849999999999994</v>
      </c>
      <c r="D1943">
        <v>60.96</v>
      </c>
      <c r="E1943">
        <v>62.34</v>
      </c>
      <c r="F1943">
        <v>14636000</v>
      </c>
      <c r="G1943">
        <v>62.34</v>
      </c>
    </row>
    <row r="1944" spans="1:7" x14ac:dyDescent="0.25">
      <c r="A1944" s="5">
        <v>27295</v>
      </c>
      <c r="B1944">
        <v>70.14</v>
      </c>
      <c r="C1944">
        <v>71.02</v>
      </c>
      <c r="D1944">
        <v>64.58</v>
      </c>
      <c r="E1944">
        <v>64.94</v>
      </c>
      <c r="F1944">
        <v>12194000</v>
      </c>
      <c r="G1944">
        <v>64.94</v>
      </c>
    </row>
    <row r="1945" spans="1:7" x14ac:dyDescent="0.25">
      <c r="A1945" s="5">
        <v>27288</v>
      </c>
      <c r="B1945">
        <v>65.2</v>
      </c>
      <c r="C1945">
        <v>71.12</v>
      </c>
      <c r="D1945">
        <v>64.150000000000006</v>
      </c>
      <c r="E1945">
        <v>70.14</v>
      </c>
      <c r="F1945">
        <v>15422000</v>
      </c>
      <c r="G1945">
        <v>70.14</v>
      </c>
    </row>
    <row r="1946" spans="1:7" x14ac:dyDescent="0.25">
      <c r="A1946" s="5">
        <v>27281</v>
      </c>
      <c r="B1946">
        <v>71.349999999999994</v>
      </c>
      <c r="C1946">
        <v>71.349999999999994</v>
      </c>
      <c r="D1946">
        <v>64.739999999999995</v>
      </c>
      <c r="E1946">
        <v>65.2</v>
      </c>
      <c r="F1946">
        <v>13590000</v>
      </c>
      <c r="G1946">
        <v>65.2</v>
      </c>
    </row>
    <row r="1947" spans="1:7" x14ac:dyDescent="0.25">
      <c r="A1947" s="5">
        <v>27275</v>
      </c>
      <c r="B1947">
        <v>72.150000000000006</v>
      </c>
      <c r="C1947">
        <v>73.010000000000005</v>
      </c>
      <c r="D1947">
        <v>67.64</v>
      </c>
      <c r="E1947">
        <v>71.42</v>
      </c>
      <c r="F1947">
        <v>14755000</v>
      </c>
      <c r="G1947">
        <v>71.42</v>
      </c>
    </row>
    <row r="1948" spans="1:7" x14ac:dyDescent="0.25">
      <c r="A1948" s="5">
        <v>27267</v>
      </c>
      <c r="B1948">
        <v>71.55</v>
      </c>
      <c r="C1948">
        <v>73.17</v>
      </c>
      <c r="D1948">
        <v>69.37</v>
      </c>
      <c r="E1948">
        <v>72.150000000000006</v>
      </c>
      <c r="F1948">
        <v>14838000</v>
      </c>
      <c r="G1948">
        <v>72.150000000000006</v>
      </c>
    </row>
    <row r="1949" spans="1:7" x14ac:dyDescent="0.25">
      <c r="A1949" s="5">
        <v>27260</v>
      </c>
      <c r="B1949">
        <v>75.650000000000006</v>
      </c>
      <c r="C1949">
        <v>76.11</v>
      </c>
      <c r="D1949">
        <v>70.75</v>
      </c>
      <c r="E1949">
        <v>71.55</v>
      </c>
      <c r="F1949">
        <v>13284000</v>
      </c>
      <c r="G1949">
        <v>71.55</v>
      </c>
    </row>
    <row r="1950" spans="1:7" x14ac:dyDescent="0.25">
      <c r="A1950" s="5">
        <v>27253</v>
      </c>
      <c r="B1950">
        <v>80.86</v>
      </c>
      <c r="C1950">
        <v>81.260000000000005</v>
      </c>
      <c r="D1950">
        <v>75.19</v>
      </c>
      <c r="E1950">
        <v>75.67</v>
      </c>
      <c r="F1950">
        <v>10262000</v>
      </c>
      <c r="G1950">
        <v>75.67</v>
      </c>
    </row>
    <row r="1951" spans="1:7" x14ac:dyDescent="0.25">
      <c r="A1951" s="5">
        <v>27246</v>
      </c>
      <c r="B1951">
        <v>78.59</v>
      </c>
      <c r="C1951">
        <v>83.53</v>
      </c>
      <c r="D1951">
        <v>78.03</v>
      </c>
      <c r="E1951">
        <v>80.86</v>
      </c>
      <c r="F1951">
        <v>13320000</v>
      </c>
      <c r="G1951">
        <v>80.86</v>
      </c>
    </row>
    <row r="1952" spans="1:7" x14ac:dyDescent="0.25">
      <c r="A1952" s="5">
        <v>27239</v>
      </c>
      <c r="B1952">
        <v>82.02</v>
      </c>
      <c r="C1952">
        <v>82.02</v>
      </c>
      <c r="D1952">
        <v>77.84</v>
      </c>
      <c r="E1952">
        <v>78.59</v>
      </c>
      <c r="F1952">
        <v>11092000</v>
      </c>
      <c r="G1952">
        <v>78.59</v>
      </c>
    </row>
    <row r="1953" spans="1:7" x14ac:dyDescent="0.25">
      <c r="A1953" s="5">
        <v>27232</v>
      </c>
      <c r="B1953">
        <v>83.54</v>
      </c>
      <c r="C1953">
        <v>85.67</v>
      </c>
      <c r="D1953">
        <v>82</v>
      </c>
      <c r="E1953">
        <v>82.4</v>
      </c>
      <c r="F1953">
        <v>11760000</v>
      </c>
      <c r="G1953">
        <v>82.4</v>
      </c>
    </row>
    <row r="1954" spans="1:7" x14ac:dyDescent="0.25">
      <c r="A1954" s="5">
        <v>27225</v>
      </c>
      <c r="B1954">
        <v>83.15</v>
      </c>
      <c r="C1954">
        <v>85.39</v>
      </c>
      <c r="D1954">
        <v>81.7</v>
      </c>
      <c r="E1954">
        <v>83.54</v>
      </c>
      <c r="F1954">
        <v>11972000</v>
      </c>
      <c r="G1954">
        <v>83.54</v>
      </c>
    </row>
    <row r="1955" spans="1:7" x14ac:dyDescent="0.25">
      <c r="A1955" s="5">
        <v>27218</v>
      </c>
      <c r="B1955">
        <v>83.13</v>
      </c>
      <c r="C1955">
        <v>83.65</v>
      </c>
      <c r="D1955">
        <v>79.08</v>
      </c>
      <c r="E1955">
        <v>83.15</v>
      </c>
      <c r="F1955">
        <v>15398000</v>
      </c>
      <c r="G1955">
        <v>83.15</v>
      </c>
    </row>
    <row r="1956" spans="1:7" x14ac:dyDescent="0.25">
      <c r="A1956" s="5">
        <v>27211</v>
      </c>
      <c r="B1956">
        <v>86</v>
      </c>
      <c r="C1956">
        <v>86.89</v>
      </c>
      <c r="D1956">
        <v>83.17</v>
      </c>
      <c r="E1956">
        <v>83.66</v>
      </c>
      <c r="F1956">
        <v>11140000</v>
      </c>
      <c r="G1956">
        <v>83.66</v>
      </c>
    </row>
    <row r="1957" spans="1:7" x14ac:dyDescent="0.25">
      <c r="A1957" s="5">
        <v>27204</v>
      </c>
      <c r="B1957">
        <v>87.46</v>
      </c>
      <c r="C1957">
        <v>89.48</v>
      </c>
      <c r="D1957">
        <v>85.13</v>
      </c>
      <c r="E1957">
        <v>86</v>
      </c>
      <c r="F1957">
        <v>11590000</v>
      </c>
      <c r="G1957">
        <v>86</v>
      </c>
    </row>
    <row r="1958" spans="1:7" x14ac:dyDescent="0.25">
      <c r="A1958" s="5">
        <v>27197</v>
      </c>
      <c r="B1958">
        <v>91.3</v>
      </c>
      <c r="C1958">
        <v>91.34</v>
      </c>
      <c r="D1958">
        <v>86.77</v>
      </c>
      <c r="E1958">
        <v>87.46</v>
      </c>
      <c r="F1958">
        <v>10832000</v>
      </c>
      <c r="G1958">
        <v>87.46</v>
      </c>
    </row>
    <row r="1959" spans="1:7" x14ac:dyDescent="0.25">
      <c r="A1959" s="5">
        <v>27190</v>
      </c>
      <c r="B1959">
        <v>92.55</v>
      </c>
      <c r="C1959">
        <v>93.64</v>
      </c>
      <c r="D1959">
        <v>90.73</v>
      </c>
      <c r="E1959">
        <v>91.3</v>
      </c>
      <c r="F1959">
        <v>11728000</v>
      </c>
      <c r="G1959">
        <v>91.3</v>
      </c>
    </row>
    <row r="1960" spans="1:7" x14ac:dyDescent="0.25">
      <c r="A1960" s="5">
        <v>27183</v>
      </c>
      <c r="B1960">
        <v>87.28</v>
      </c>
      <c r="C1960">
        <v>93.76</v>
      </c>
      <c r="D1960">
        <v>86.78</v>
      </c>
      <c r="E1960">
        <v>92.55</v>
      </c>
      <c r="F1960">
        <v>14918000</v>
      </c>
      <c r="G1960">
        <v>92.55</v>
      </c>
    </row>
    <row r="1961" spans="1:7" x14ac:dyDescent="0.25">
      <c r="A1961" s="5">
        <v>27177</v>
      </c>
      <c r="B1961">
        <v>88.58</v>
      </c>
      <c r="C1961">
        <v>89.37</v>
      </c>
      <c r="D1961">
        <v>85.87</v>
      </c>
      <c r="E1961">
        <v>87.28</v>
      </c>
      <c r="F1961">
        <v>11817500</v>
      </c>
      <c r="G1961">
        <v>87.28</v>
      </c>
    </row>
    <row r="1962" spans="1:7" x14ac:dyDescent="0.25">
      <c r="A1962" s="5">
        <v>27169</v>
      </c>
      <c r="B1962">
        <v>88.21</v>
      </c>
      <c r="C1962">
        <v>89.27</v>
      </c>
      <c r="D1962">
        <v>86.12</v>
      </c>
      <c r="E1962">
        <v>88.58</v>
      </c>
      <c r="F1962">
        <v>13340000</v>
      </c>
      <c r="G1962">
        <v>88.58</v>
      </c>
    </row>
    <row r="1963" spans="1:7" x14ac:dyDescent="0.25">
      <c r="A1963" s="5">
        <v>27162</v>
      </c>
      <c r="B1963">
        <v>91.47</v>
      </c>
      <c r="C1963">
        <v>91.72</v>
      </c>
      <c r="D1963">
        <v>87.67</v>
      </c>
      <c r="E1963">
        <v>88.21</v>
      </c>
      <c r="F1963">
        <v>11874000</v>
      </c>
      <c r="G1963">
        <v>88.21</v>
      </c>
    </row>
    <row r="1964" spans="1:7" x14ac:dyDescent="0.25">
      <c r="A1964" s="5">
        <v>27155</v>
      </c>
      <c r="B1964">
        <v>91.29</v>
      </c>
      <c r="C1964">
        <v>93.57</v>
      </c>
      <c r="D1964">
        <v>90.13</v>
      </c>
      <c r="E1964">
        <v>91.47</v>
      </c>
      <c r="F1964">
        <v>12398000</v>
      </c>
      <c r="G1964">
        <v>91.47</v>
      </c>
    </row>
    <row r="1965" spans="1:7" x14ac:dyDescent="0.25">
      <c r="A1965" s="5">
        <v>27148</v>
      </c>
      <c r="B1965">
        <v>90.18</v>
      </c>
      <c r="C1965">
        <v>93.59</v>
      </c>
      <c r="D1965">
        <v>89.02</v>
      </c>
      <c r="E1965">
        <v>91.29</v>
      </c>
      <c r="F1965">
        <v>12194000</v>
      </c>
      <c r="G1965">
        <v>91.29</v>
      </c>
    </row>
    <row r="1966" spans="1:7" x14ac:dyDescent="0.25">
      <c r="A1966" s="5">
        <v>27141</v>
      </c>
      <c r="B1966">
        <v>93.75</v>
      </c>
      <c r="C1966">
        <v>94.12</v>
      </c>
      <c r="D1966">
        <v>88.62</v>
      </c>
      <c r="E1966">
        <v>90.18</v>
      </c>
      <c r="F1966">
        <v>13952000</v>
      </c>
      <c r="G1966">
        <v>90.18</v>
      </c>
    </row>
    <row r="1967" spans="1:7" x14ac:dyDescent="0.25">
      <c r="A1967" s="5">
        <v>27134</v>
      </c>
      <c r="B1967">
        <v>92.12</v>
      </c>
      <c r="C1967">
        <v>95.42</v>
      </c>
      <c r="D1967">
        <v>91.49</v>
      </c>
      <c r="E1967">
        <v>93.75</v>
      </c>
      <c r="F1967">
        <v>12372000</v>
      </c>
      <c r="G1967">
        <v>93.75</v>
      </c>
    </row>
    <row r="1968" spans="1:7" x14ac:dyDescent="0.25">
      <c r="A1968" s="5">
        <v>27127</v>
      </c>
      <c r="B1968">
        <v>93</v>
      </c>
      <c r="C1968">
        <v>93.52</v>
      </c>
      <c r="D1968">
        <v>91.5</v>
      </c>
      <c r="E1968">
        <v>92.12</v>
      </c>
      <c r="F1968">
        <v>10800000</v>
      </c>
      <c r="G1968">
        <v>92.12</v>
      </c>
    </row>
    <row r="1969" spans="1:7" x14ac:dyDescent="0.25">
      <c r="A1969" s="5">
        <v>27120</v>
      </c>
      <c r="B1969">
        <v>93.98</v>
      </c>
      <c r="C1969">
        <v>95.14</v>
      </c>
      <c r="D1969">
        <v>92.55</v>
      </c>
      <c r="E1969">
        <v>93.01</v>
      </c>
      <c r="F1969">
        <v>11660000</v>
      </c>
      <c r="G1969">
        <v>93.01</v>
      </c>
    </row>
    <row r="1970" spans="1:7" x14ac:dyDescent="0.25">
      <c r="A1970" s="5">
        <v>27113</v>
      </c>
      <c r="B1970">
        <v>97.27</v>
      </c>
      <c r="C1970">
        <v>98.66</v>
      </c>
      <c r="D1970">
        <v>93.44</v>
      </c>
      <c r="E1970">
        <v>93.98</v>
      </c>
      <c r="F1970">
        <v>12232000</v>
      </c>
      <c r="G1970">
        <v>93.98</v>
      </c>
    </row>
    <row r="1971" spans="1:7" x14ac:dyDescent="0.25">
      <c r="A1971" s="5">
        <v>27106</v>
      </c>
      <c r="B1971">
        <v>99.28</v>
      </c>
      <c r="C1971">
        <v>99.71</v>
      </c>
      <c r="D1971">
        <v>96.35</v>
      </c>
      <c r="E1971">
        <v>97.27</v>
      </c>
      <c r="F1971">
        <v>12930000</v>
      </c>
      <c r="G1971">
        <v>97.27</v>
      </c>
    </row>
    <row r="1972" spans="1:7" x14ac:dyDescent="0.25">
      <c r="A1972" s="5">
        <v>27099</v>
      </c>
      <c r="B1972">
        <v>97.78</v>
      </c>
      <c r="C1972">
        <v>101.05</v>
      </c>
      <c r="D1972">
        <v>96.38</v>
      </c>
      <c r="E1972">
        <v>99.28</v>
      </c>
      <c r="F1972">
        <v>17362000</v>
      </c>
      <c r="G1972">
        <v>99.28</v>
      </c>
    </row>
    <row r="1973" spans="1:7" x14ac:dyDescent="0.25">
      <c r="A1973" s="5">
        <v>27092</v>
      </c>
      <c r="B1973">
        <v>95.53</v>
      </c>
      <c r="C1973">
        <v>98.57</v>
      </c>
      <c r="D1973">
        <v>94.19</v>
      </c>
      <c r="E1973">
        <v>97.78</v>
      </c>
      <c r="F1973">
        <v>16820000</v>
      </c>
      <c r="G1973">
        <v>97.78</v>
      </c>
    </row>
    <row r="1974" spans="1:7" x14ac:dyDescent="0.25">
      <c r="A1974" s="5">
        <v>27085</v>
      </c>
      <c r="B1974">
        <v>95.39</v>
      </c>
      <c r="C1974">
        <v>97.43</v>
      </c>
      <c r="D1974">
        <v>94.2</v>
      </c>
      <c r="E1974">
        <v>95.53</v>
      </c>
      <c r="F1974">
        <v>14810000</v>
      </c>
      <c r="G1974">
        <v>95.53</v>
      </c>
    </row>
    <row r="1975" spans="1:7" x14ac:dyDescent="0.25">
      <c r="A1975" s="5">
        <v>27079</v>
      </c>
      <c r="B1975">
        <v>92.27</v>
      </c>
      <c r="C1975">
        <v>96.19</v>
      </c>
      <c r="D1975">
        <v>91.34</v>
      </c>
      <c r="E1975">
        <v>95.39</v>
      </c>
      <c r="F1975">
        <v>14475000</v>
      </c>
      <c r="G1975">
        <v>95.39</v>
      </c>
    </row>
    <row r="1976" spans="1:7" x14ac:dyDescent="0.25">
      <c r="A1976" s="5">
        <v>27071</v>
      </c>
      <c r="B1976">
        <v>92.33</v>
      </c>
      <c r="C1976">
        <v>92.98</v>
      </c>
      <c r="D1976">
        <v>89.53</v>
      </c>
      <c r="E1976">
        <v>92.27</v>
      </c>
      <c r="F1976">
        <v>12342000</v>
      </c>
      <c r="G1976">
        <v>92.27</v>
      </c>
    </row>
    <row r="1977" spans="1:7" x14ac:dyDescent="0.25">
      <c r="A1977" s="5">
        <v>27064</v>
      </c>
      <c r="B1977">
        <v>94.89</v>
      </c>
      <c r="C1977">
        <v>94.89</v>
      </c>
      <c r="D1977">
        <v>91.87</v>
      </c>
      <c r="E1977">
        <v>92.33</v>
      </c>
      <c r="F1977">
        <v>12710000</v>
      </c>
      <c r="G1977">
        <v>92.33</v>
      </c>
    </row>
    <row r="1978" spans="1:7" x14ac:dyDescent="0.25">
      <c r="A1978" s="5">
        <v>27057</v>
      </c>
      <c r="B1978">
        <v>96.63</v>
      </c>
      <c r="C1978">
        <v>98.06</v>
      </c>
      <c r="D1978">
        <v>94.66</v>
      </c>
      <c r="E1978">
        <v>95.32</v>
      </c>
      <c r="F1978">
        <v>13910000</v>
      </c>
      <c r="G1978">
        <v>95.32</v>
      </c>
    </row>
    <row r="1979" spans="1:7" x14ac:dyDescent="0.25">
      <c r="A1979" s="5">
        <v>27050</v>
      </c>
      <c r="B1979">
        <v>95.56</v>
      </c>
      <c r="C1979">
        <v>98.11</v>
      </c>
      <c r="D1979">
        <v>93.23</v>
      </c>
      <c r="E1979">
        <v>96.63</v>
      </c>
      <c r="F1979">
        <v>16138000</v>
      </c>
      <c r="G1979">
        <v>96.63</v>
      </c>
    </row>
    <row r="1980" spans="1:7" x14ac:dyDescent="0.25">
      <c r="A1980" s="5">
        <v>27043</v>
      </c>
      <c r="B1980">
        <v>93.66</v>
      </c>
      <c r="C1980">
        <v>98.35</v>
      </c>
      <c r="D1980">
        <v>92.35</v>
      </c>
      <c r="E1980">
        <v>95.56</v>
      </c>
      <c r="F1980">
        <v>16060000</v>
      </c>
      <c r="G1980">
        <v>95.56</v>
      </c>
    </row>
    <row r="1981" spans="1:7" x14ac:dyDescent="0.25">
      <c r="A1981" s="5">
        <v>27036</v>
      </c>
      <c r="B1981">
        <v>98.9</v>
      </c>
      <c r="C1981">
        <v>99.31</v>
      </c>
      <c r="D1981">
        <v>91.62</v>
      </c>
      <c r="E1981">
        <v>93.66</v>
      </c>
      <c r="F1981">
        <v>17296000</v>
      </c>
      <c r="G1981">
        <v>93.66</v>
      </c>
    </row>
    <row r="1982" spans="1:7" x14ac:dyDescent="0.25">
      <c r="A1982" s="5">
        <v>27029</v>
      </c>
      <c r="B1982">
        <v>97.54</v>
      </c>
      <c r="C1982">
        <v>100.94</v>
      </c>
      <c r="D1982">
        <v>95.95</v>
      </c>
      <c r="E1982">
        <v>98.9</v>
      </c>
      <c r="F1982">
        <v>20520000</v>
      </c>
      <c r="G1982">
        <v>98.9</v>
      </c>
    </row>
    <row r="1983" spans="1:7" x14ac:dyDescent="0.25">
      <c r="A1983" s="5">
        <v>27022</v>
      </c>
      <c r="B1983">
        <v>93.54</v>
      </c>
      <c r="C1983">
        <v>98.76</v>
      </c>
      <c r="D1983">
        <v>91.68</v>
      </c>
      <c r="E1983">
        <v>97.54</v>
      </c>
      <c r="F1983">
        <v>18547500</v>
      </c>
      <c r="G1983">
        <v>97.54</v>
      </c>
    </row>
    <row r="1984" spans="1:7" x14ac:dyDescent="0.25">
      <c r="A1984" s="5">
        <v>27015</v>
      </c>
      <c r="B1984">
        <v>93.29</v>
      </c>
      <c r="C1984">
        <v>96.83</v>
      </c>
      <c r="D1984">
        <v>91.87</v>
      </c>
      <c r="E1984">
        <v>93.54</v>
      </c>
      <c r="F1984">
        <v>17822000</v>
      </c>
      <c r="G1984">
        <v>93.54</v>
      </c>
    </row>
    <row r="1985" spans="1:7" x14ac:dyDescent="0.25">
      <c r="A1985" s="5">
        <v>27008</v>
      </c>
      <c r="B1985">
        <v>96.51</v>
      </c>
      <c r="C1985">
        <v>99.09</v>
      </c>
      <c r="D1985">
        <v>91.05</v>
      </c>
      <c r="E1985">
        <v>93.29</v>
      </c>
      <c r="F1985">
        <v>19002000</v>
      </c>
      <c r="G1985">
        <v>93.29</v>
      </c>
    </row>
    <row r="1986" spans="1:7" x14ac:dyDescent="0.25">
      <c r="A1986" s="5">
        <v>27001</v>
      </c>
      <c r="B1986">
        <v>95.83</v>
      </c>
      <c r="C1986">
        <v>97.58</v>
      </c>
      <c r="D1986">
        <v>91.55</v>
      </c>
      <c r="E1986">
        <v>96.51</v>
      </c>
      <c r="F1986">
        <v>20520000</v>
      </c>
      <c r="G1986">
        <v>96.51</v>
      </c>
    </row>
    <row r="1987" spans="1:7" x14ac:dyDescent="0.25">
      <c r="A1987" s="5">
        <v>26994</v>
      </c>
      <c r="B1987">
        <v>98.64</v>
      </c>
      <c r="C1987">
        <v>98.72</v>
      </c>
      <c r="D1987">
        <v>94.88</v>
      </c>
      <c r="E1987">
        <v>95.96</v>
      </c>
      <c r="F1987">
        <v>18764000</v>
      </c>
      <c r="G1987">
        <v>95.96</v>
      </c>
    </row>
    <row r="1988" spans="1:7" x14ac:dyDescent="0.25">
      <c r="A1988" s="5">
        <v>26987</v>
      </c>
      <c r="B1988">
        <v>103.65</v>
      </c>
      <c r="C1988">
        <v>103.65</v>
      </c>
      <c r="D1988">
        <v>97.64</v>
      </c>
      <c r="E1988">
        <v>99.44</v>
      </c>
      <c r="F1988">
        <v>19097500</v>
      </c>
      <c r="G1988">
        <v>99.44</v>
      </c>
    </row>
    <row r="1989" spans="1:7" x14ac:dyDescent="0.25">
      <c r="A1989" s="5">
        <v>26980</v>
      </c>
      <c r="B1989">
        <v>105.3</v>
      </c>
      <c r="C1989">
        <v>105.75</v>
      </c>
      <c r="D1989">
        <v>100.69</v>
      </c>
      <c r="E1989">
        <v>103.88</v>
      </c>
      <c r="F1989">
        <v>21862000</v>
      </c>
      <c r="G1989">
        <v>103.88</v>
      </c>
    </row>
    <row r="1990" spans="1:7" x14ac:dyDescent="0.25">
      <c r="A1990" s="5">
        <v>26973</v>
      </c>
      <c r="B1990">
        <v>106.97</v>
      </c>
      <c r="C1990">
        <v>108.45</v>
      </c>
      <c r="D1990">
        <v>104.52</v>
      </c>
      <c r="E1990">
        <v>105.3</v>
      </c>
      <c r="F1990">
        <v>17424000</v>
      </c>
      <c r="G1990">
        <v>105.3</v>
      </c>
    </row>
    <row r="1991" spans="1:7" x14ac:dyDescent="0.25">
      <c r="A1991" s="5">
        <v>26966</v>
      </c>
      <c r="B1991">
        <v>111.38</v>
      </c>
      <c r="C1991">
        <v>112.56</v>
      </c>
      <c r="D1991">
        <v>106.33</v>
      </c>
      <c r="E1991">
        <v>107.07</v>
      </c>
      <c r="F1991">
        <v>17338000</v>
      </c>
      <c r="G1991">
        <v>107.07</v>
      </c>
    </row>
    <row r="1992" spans="1:7" x14ac:dyDescent="0.25">
      <c r="A1992" s="5">
        <v>26959</v>
      </c>
      <c r="B1992">
        <v>110.22</v>
      </c>
      <c r="C1992">
        <v>112.31</v>
      </c>
      <c r="D1992">
        <v>107.4</v>
      </c>
      <c r="E1992">
        <v>111.38</v>
      </c>
      <c r="F1992">
        <v>16148000</v>
      </c>
      <c r="G1992">
        <v>111.38</v>
      </c>
    </row>
    <row r="1993" spans="1:7" x14ac:dyDescent="0.25">
      <c r="A1993" s="5">
        <v>26952</v>
      </c>
      <c r="B1993">
        <v>111.32</v>
      </c>
      <c r="C1993">
        <v>111.56</v>
      </c>
      <c r="D1993">
        <v>108.5</v>
      </c>
      <c r="E1993">
        <v>110.22</v>
      </c>
      <c r="F1993">
        <v>18126000</v>
      </c>
      <c r="G1993">
        <v>110.22</v>
      </c>
    </row>
    <row r="1994" spans="1:7" x14ac:dyDescent="0.25">
      <c r="A1994" s="5">
        <v>26945</v>
      </c>
      <c r="B1994">
        <v>109.85</v>
      </c>
      <c r="C1994">
        <v>112.82</v>
      </c>
      <c r="D1994">
        <v>108.02</v>
      </c>
      <c r="E1994">
        <v>111.44</v>
      </c>
      <c r="F1994">
        <v>20182000</v>
      </c>
      <c r="G1994">
        <v>111.44</v>
      </c>
    </row>
    <row r="1995" spans="1:7" x14ac:dyDescent="0.25">
      <c r="A1995" s="5">
        <v>26938</v>
      </c>
      <c r="B1995">
        <v>108.43</v>
      </c>
      <c r="C1995">
        <v>110.46</v>
      </c>
      <c r="D1995">
        <v>107.08</v>
      </c>
      <c r="E1995">
        <v>109.85</v>
      </c>
      <c r="F1995">
        <v>19438000</v>
      </c>
      <c r="G1995">
        <v>109.85</v>
      </c>
    </row>
    <row r="1996" spans="1:7" x14ac:dyDescent="0.25">
      <c r="A1996" s="5">
        <v>26931</v>
      </c>
      <c r="B1996">
        <v>107.2</v>
      </c>
      <c r="C1996">
        <v>110.45</v>
      </c>
      <c r="D1996">
        <v>106.21</v>
      </c>
      <c r="E1996">
        <v>108.43</v>
      </c>
      <c r="F1996">
        <v>20422000</v>
      </c>
      <c r="G1996">
        <v>108.43</v>
      </c>
    </row>
    <row r="1997" spans="1:7" x14ac:dyDescent="0.25">
      <c r="A1997" s="5">
        <v>26924</v>
      </c>
      <c r="B1997">
        <v>104.44</v>
      </c>
      <c r="C1997">
        <v>108.02</v>
      </c>
      <c r="D1997">
        <v>102.41</v>
      </c>
      <c r="E1997">
        <v>107.2</v>
      </c>
      <c r="F1997">
        <v>21158000</v>
      </c>
      <c r="G1997">
        <v>107.2</v>
      </c>
    </row>
    <row r="1998" spans="1:7" x14ac:dyDescent="0.25">
      <c r="A1998" s="5">
        <v>26917</v>
      </c>
      <c r="B1998">
        <v>104.76</v>
      </c>
      <c r="C1998">
        <v>105.12</v>
      </c>
      <c r="D1998">
        <v>102.13</v>
      </c>
      <c r="E1998">
        <v>104.44</v>
      </c>
      <c r="F1998">
        <v>12356000</v>
      </c>
      <c r="G1998">
        <v>104.44</v>
      </c>
    </row>
    <row r="1999" spans="1:7" x14ac:dyDescent="0.25">
      <c r="A1999" s="5">
        <v>26911</v>
      </c>
      <c r="B1999">
        <v>104.25</v>
      </c>
      <c r="C1999">
        <v>105.95</v>
      </c>
      <c r="D1999">
        <v>103.6</v>
      </c>
      <c r="E1999">
        <v>104.76</v>
      </c>
      <c r="F1999">
        <v>14847500</v>
      </c>
      <c r="G1999">
        <v>104.76</v>
      </c>
    </row>
    <row r="2000" spans="1:7" x14ac:dyDescent="0.25">
      <c r="A2000" s="5">
        <v>26903</v>
      </c>
      <c r="B2000">
        <v>101.62</v>
      </c>
      <c r="C2000">
        <v>104.92</v>
      </c>
      <c r="D2000">
        <v>101.09</v>
      </c>
      <c r="E2000">
        <v>104.25</v>
      </c>
      <c r="F2000">
        <v>11974000</v>
      </c>
      <c r="G2000">
        <v>104.25</v>
      </c>
    </row>
    <row r="2001" spans="1:7" x14ac:dyDescent="0.25">
      <c r="A2001" s="5">
        <v>26896</v>
      </c>
      <c r="B2001">
        <v>102.31</v>
      </c>
      <c r="C2001">
        <v>102.65</v>
      </c>
      <c r="D2001">
        <v>99.74</v>
      </c>
      <c r="E2001">
        <v>101.62</v>
      </c>
      <c r="F2001">
        <v>10762000</v>
      </c>
      <c r="G2001">
        <v>101.62</v>
      </c>
    </row>
    <row r="2002" spans="1:7" x14ac:dyDescent="0.25">
      <c r="A2002" s="5">
        <v>26889</v>
      </c>
      <c r="B2002">
        <v>104.77</v>
      </c>
      <c r="C2002">
        <v>104.83</v>
      </c>
      <c r="D2002">
        <v>101.38</v>
      </c>
      <c r="E2002">
        <v>102.31</v>
      </c>
      <c r="F2002">
        <v>11842000</v>
      </c>
      <c r="G2002">
        <v>102.31</v>
      </c>
    </row>
    <row r="2003" spans="1:7" x14ac:dyDescent="0.25">
      <c r="A2003" s="5">
        <v>26882</v>
      </c>
      <c r="B2003">
        <v>106.49</v>
      </c>
      <c r="C2003">
        <v>107.57</v>
      </c>
      <c r="D2003">
        <v>104.21</v>
      </c>
      <c r="E2003">
        <v>104.77</v>
      </c>
      <c r="F2003">
        <v>12404000</v>
      </c>
      <c r="G2003">
        <v>104.77</v>
      </c>
    </row>
    <row r="2004" spans="1:7" x14ac:dyDescent="0.25">
      <c r="A2004" s="5">
        <v>26875</v>
      </c>
      <c r="B2004">
        <v>109.59</v>
      </c>
      <c r="C2004">
        <v>110.12</v>
      </c>
      <c r="D2004">
        <v>105.51</v>
      </c>
      <c r="E2004">
        <v>106.49</v>
      </c>
      <c r="F2004">
        <v>12850000</v>
      </c>
      <c r="G2004">
        <v>106.49</v>
      </c>
    </row>
    <row r="2005" spans="1:7" x14ac:dyDescent="0.25">
      <c r="A2005" s="5">
        <v>26868</v>
      </c>
      <c r="B2005">
        <v>107.14</v>
      </c>
      <c r="C2005">
        <v>111.04</v>
      </c>
      <c r="D2005">
        <v>106.31</v>
      </c>
      <c r="E2005">
        <v>109.59</v>
      </c>
      <c r="F2005">
        <v>17080000</v>
      </c>
      <c r="G2005">
        <v>109.59</v>
      </c>
    </row>
    <row r="2006" spans="1:7" x14ac:dyDescent="0.25">
      <c r="A2006" s="5">
        <v>26861</v>
      </c>
      <c r="B2006">
        <v>104.09</v>
      </c>
      <c r="C2006">
        <v>108.02</v>
      </c>
      <c r="D2006">
        <v>103.42</v>
      </c>
      <c r="E2006">
        <v>107.14</v>
      </c>
      <c r="F2006">
        <v>16728000</v>
      </c>
      <c r="G2006">
        <v>107.14</v>
      </c>
    </row>
    <row r="2007" spans="1:7" x14ac:dyDescent="0.25">
      <c r="A2007" s="5">
        <v>26854</v>
      </c>
      <c r="B2007">
        <v>101.28</v>
      </c>
      <c r="C2007">
        <v>106.62</v>
      </c>
      <c r="D2007">
        <v>100.44</v>
      </c>
      <c r="E2007">
        <v>104.09</v>
      </c>
      <c r="F2007">
        <v>14634000</v>
      </c>
      <c r="G2007">
        <v>104.09</v>
      </c>
    </row>
    <row r="2008" spans="1:7" x14ac:dyDescent="0.25">
      <c r="A2008" s="5">
        <v>26847</v>
      </c>
      <c r="B2008">
        <v>104.1</v>
      </c>
      <c r="C2008">
        <v>104.1</v>
      </c>
      <c r="D2008">
        <v>100.67</v>
      </c>
      <c r="E2008">
        <v>101.28</v>
      </c>
      <c r="F2008">
        <v>10217500</v>
      </c>
      <c r="G2008">
        <v>101.28</v>
      </c>
    </row>
    <row r="2009" spans="1:7" x14ac:dyDescent="0.25">
      <c r="A2009" s="5">
        <v>26840</v>
      </c>
      <c r="B2009">
        <v>103.64</v>
      </c>
      <c r="C2009">
        <v>105.3</v>
      </c>
      <c r="D2009">
        <v>101.45</v>
      </c>
      <c r="E2009">
        <v>104.26</v>
      </c>
      <c r="F2009">
        <v>12380000</v>
      </c>
      <c r="G2009">
        <v>104.26</v>
      </c>
    </row>
    <row r="2010" spans="1:7" x14ac:dyDescent="0.25">
      <c r="A2010" s="5">
        <v>26833</v>
      </c>
      <c r="B2010">
        <v>104.96</v>
      </c>
      <c r="C2010">
        <v>105.66</v>
      </c>
      <c r="D2010">
        <v>102.46</v>
      </c>
      <c r="E2010">
        <v>103.7</v>
      </c>
      <c r="F2010">
        <v>13026000</v>
      </c>
      <c r="G2010">
        <v>103.7</v>
      </c>
    </row>
    <row r="2011" spans="1:7" x14ac:dyDescent="0.25">
      <c r="A2011" s="5">
        <v>26826</v>
      </c>
      <c r="B2011">
        <v>107.03</v>
      </c>
      <c r="C2011">
        <v>109.52</v>
      </c>
      <c r="D2011">
        <v>104.37</v>
      </c>
      <c r="E2011">
        <v>105.1</v>
      </c>
      <c r="F2011">
        <v>12932000</v>
      </c>
      <c r="G2011">
        <v>105.1</v>
      </c>
    </row>
    <row r="2012" spans="1:7" x14ac:dyDescent="0.25">
      <c r="A2012" s="5">
        <v>26819</v>
      </c>
      <c r="B2012">
        <v>103.93</v>
      </c>
      <c r="C2012">
        <v>107.75</v>
      </c>
      <c r="D2012">
        <v>102.33</v>
      </c>
      <c r="E2012">
        <v>107.03</v>
      </c>
      <c r="F2012">
        <v>13320000</v>
      </c>
      <c r="G2012">
        <v>107.03</v>
      </c>
    </row>
    <row r="2013" spans="1:7" x14ac:dyDescent="0.25">
      <c r="A2013" s="5">
        <v>26813</v>
      </c>
      <c r="B2013">
        <v>107.94</v>
      </c>
      <c r="C2013">
        <v>108.58</v>
      </c>
      <c r="D2013">
        <v>103.31</v>
      </c>
      <c r="E2013">
        <v>103.93</v>
      </c>
      <c r="F2013">
        <v>11407500</v>
      </c>
      <c r="G2013">
        <v>103.93</v>
      </c>
    </row>
    <row r="2014" spans="1:7" x14ac:dyDescent="0.25">
      <c r="A2014" s="5">
        <v>26805</v>
      </c>
      <c r="B2014">
        <v>103.77</v>
      </c>
      <c r="C2014">
        <v>108.86</v>
      </c>
      <c r="D2014">
        <v>101.36</v>
      </c>
      <c r="E2014">
        <v>107.94</v>
      </c>
      <c r="F2014">
        <v>18048000</v>
      </c>
      <c r="G2014">
        <v>107.94</v>
      </c>
    </row>
    <row r="2015" spans="1:7" x14ac:dyDescent="0.25">
      <c r="A2015" s="5">
        <v>26798</v>
      </c>
      <c r="B2015">
        <v>107.74</v>
      </c>
      <c r="C2015">
        <v>107.74</v>
      </c>
      <c r="D2015">
        <v>103.18</v>
      </c>
      <c r="E2015">
        <v>103.86</v>
      </c>
      <c r="F2015">
        <v>15198000</v>
      </c>
      <c r="G2015">
        <v>103.86</v>
      </c>
    </row>
    <row r="2016" spans="1:7" x14ac:dyDescent="0.25">
      <c r="A2016" s="5">
        <v>26791</v>
      </c>
      <c r="B2016">
        <v>111</v>
      </c>
      <c r="C2016">
        <v>112.25</v>
      </c>
      <c r="D2016">
        <v>107.7</v>
      </c>
      <c r="E2016">
        <v>108.17</v>
      </c>
      <c r="F2016">
        <v>13756000</v>
      </c>
      <c r="G2016">
        <v>108.17</v>
      </c>
    </row>
    <row r="2017" spans="1:7" x14ac:dyDescent="0.25">
      <c r="A2017" s="5">
        <v>26784</v>
      </c>
      <c r="B2017">
        <v>107.23</v>
      </c>
      <c r="C2017">
        <v>111.99</v>
      </c>
      <c r="D2017">
        <v>105.34</v>
      </c>
      <c r="E2017">
        <v>111</v>
      </c>
      <c r="F2017">
        <v>16370000</v>
      </c>
      <c r="G2017">
        <v>111</v>
      </c>
    </row>
    <row r="2018" spans="1:7" x14ac:dyDescent="0.25">
      <c r="A2018" s="5">
        <v>26777</v>
      </c>
      <c r="B2018">
        <v>112.17</v>
      </c>
      <c r="C2018">
        <v>112.66</v>
      </c>
      <c r="D2018">
        <v>106.76</v>
      </c>
      <c r="E2018">
        <v>107.23</v>
      </c>
      <c r="F2018">
        <v>14462000</v>
      </c>
      <c r="G2018">
        <v>107.23</v>
      </c>
    </row>
    <row r="2019" spans="1:7" x14ac:dyDescent="0.25">
      <c r="A2019" s="5">
        <v>26770</v>
      </c>
      <c r="B2019">
        <v>112.08</v>
      </c>
      <c r="C2019">
        <v>112.93</v>
      </c>
      <c r="D2019">
        <v>109.99</v>
      </c>
      <c r="E2019">
        <v>112.17</v>
      </c>
      <c r="F2019">
        <v>13157500</v>
      </c>
      <c r="G2019">
        <v>112.17</v>
      </c>
    </row>
    <row r="2020" spans="1:7" x14ac:dyDescent="0.25">
      <c r="A2020" s="5">
        <v>26763</v>
      </c>
      <c r="B2020">
        <v>109.28</v>
      </c>
      <c r="C2020">
        <v>113.65</v>
      </c>
      <c r="D2020">
        <v>108.74</v>
      </c>
      <c r="E2020">
        <v>112.08</v>
      </c>
      <c r="F2020">
        <v>15230000</v>
      </c>
      <c r="G2020">
        <v>112.08</v>
      </c>
    </row>
    <row r="2021" spans="1:7" x14ac:dyDescent="0.25">
      <c r="A2021" s="5">
        <v>26756</v>
      </c>
      <c r="B2021">
        <v>111.52</v>
      </c>
      <c r="C2021">
        <v>111.7</v>
      </c>
      <c r="D2021">
        <v>107.44</v>
      </c>
      <c r="E2021">
        <v>109.28</v>
      </c>
      <c r="F2021">
        <v>12416000</v>
      </c>
      <c r="G2021">
        <v>109.28</v>
      </c>
    </row>
    <row r="2022" spans="1:7" x14ac:dyDescent="0.25">
      <c r="A2022" s="5">
        <v>26749</v>
      </c>
      <c r="B2022">
        <v>108.88</v>
      </c>
      <c r="C2022">
        <v>113.22</v>
      </c>
      <c r="D2022">
        <v>108.29</v>
      </c>
      <c r="E2022">
        <v>111.52</v>
      </c>
      <c r="F2022">
        <v>15624000</v>
      </c>
      <c r="G2022">
        <v>111.52</v>
      </c>
    </row>
    <row r="2023" spans="1:7" x14ac:dyDescent="0.25">
      <c r="A2023" s="5">
        <v>26742</v>
      </c>
      <c r="B2023">
        <v>113.5</v>
      </c>
      <c r="C2023">
        <v>113.5</v>
      </c>
      <c r="D2023">
        <v>107.41</v>
      </c>
      <c r="E2023">
        <v>108.88</v>
      </c>
      <c r="F2023">
        <v>15478000</v>
      </c>
      <c r="G2023">
        <v>108.88</v>
      </c>
    </row>
    <row r="2024" spans="1:7" x14ac:dyDescent="0.25">
      <c r="A2024" s="5">
        <v>26735</v>
      </c>
      <c r="B2024">
        <v>113.79</v>
      </c>
      <c r="C2024">
        <v>115.61</v>
      </c>
      <c r="D2024">
        <v>112.84</v>
      </c>
      <c r="E2024">
        <v>113.54</v>
      </c>
      <c r="F2024">
        <v>14412000</v>
      </c>
      <c r="G2024">
        <v>113.54</v>
      </c>
    </row>
    <row r="2025" spans="1:7" x14ac:dyDescent="0.25">
      <c r="A2025" s="5">
        <v>26728</v>
      </c>
      <c r="B2025">
        <v>112.28</v>
      </c>
      <c r="C2025">
        <v>115.23</v>
      </c>
      <c r="D2025">
        <v>111.33</v>
      </c>
      <c r="E2025">
        <v>113.79</v>
      </c>
      <c r="F2025">
        <v>15982000</v>
      </c>
      <c r="G2025">
        <v>113.79</v>
      </c>
    </row>
    <row r="2026" spans="1:7" x14ac:dyDescent="0.25">
      <c r="A2026" s="5">
        <v>26721</v>
      </c>
      <c r="B2026">
        <v>113.16</v>
      </c>
      <c r="C2026">
        <v>113.26</v>
      </c>
      <c r="D2026">
        <v>109.45</v>
      </c>
      <c r="E2026">
        <v>112.28</v>
      </c>
      <c r="F2026">
        <v>17172000</v>
      </c>
      <c r="G2026">
        <v>112.28</v>
      </c>
    </row>
    <row r="2027" spans="1:7" x14ac:dyDescent="0.25">
      <c r="A2027" s="5">
        <v>26715</v>
      </c>
      <c r="B2027">
        <v>114.98</v>
      </c>
      <c r="C2027">
        <v>116.26</v>
      </c>
      <c r="D2027">
        <v>112.77</v>
      </c>
      <c r="E2027">
        <v>113.16</v>
      </c>
      <c r="F2027">
        <v>14730000</v>
      </c>
      <c r="G2027">
        <v>113.16</v>
      </c>
    </row>
    <row r="2028" spans="1:7" x14ac:dyDescent="0.25">
      <c r="A2028" s="5">
        <v>26707</v>
      </c>
      <c r="B2028">
        <v>114.69</v>
      </c>
      <c r="C2028">
        <v>118.98</v>
      </c>
      <c r="D2028">
        <v>113.7</v>
      </c>
      <c r="E2028">
        <v>114.98</v>
      </c>
      <c r="F2028">
        <v>17046000</v>
      </c>
      <c r="G2028">
        <v>114.98</v>
      </c>
    </row>
    <row r="2029" spans="1:7" x14ac:dyDescent="0.25">
      <c r="A2029" s="5">
        <v>26700</v>
      </c>
      <c r="B2029">
        <v>114.35</v>
      </c>
      <c r="C2029">
        <v>115.48</v>
      </c>
      <c r="D2029">
        <v>111.85</v>
      </c>
      <c r="E2029">
        <v>114.68</v>
      </c>
      <c r="F2029">
        <v>17192000</v>
      </c>
      <c r="G2029">
        <v>114.68</v>
      </c>
    </row>
    <row r="2030" spans="1:7" x14ac:dyDescent="0.25">
      <c r="A2030" s="5">
        <v>26693</v>
      </c>
      <c r="B2030">
        <v>116.45</v>
      </c>
      <c r="C2030">
        <v>117.18</v>
      </c>
      <c r="D2030">
        <v>113.45</v>
      </c>
      <c r="E2030">
        <v>114.35</v>
      </c>
      <c r="F2030">
        <v>16592000</v>
      </c>
      <c r="G2030">
        <v>114.35</v>
      </c>
    </row>
    <row r="2031" spans="1:7" x14ac:dyDescent="0.25">
      <c r="A2031" s="5">
        <v>26686</v>
      </c>
      <c r="B2031">
        <v>118.78</v>
      </c>
      <c r="C2031">
        <v>119.63</v>
      </c>
      <c r="D2031">
        <v>114.97</v>
      </c>
      <c r="E2031">
        <v>116.45</v>
      </c>
      <c r="F2031">
        <v>19157500</v>
      </c>
      <c r="G2031">
        <v>116.45</v>
      </c>
    </row>
    <row r="2032" spans="1:7" x14ac:dyDescent="0.25">
      <c r="A2032" s="5">
        <v>26679</v>
      </c>
      <c r="B2032">
        <v>119.3</v>
      </c>
      <c r="C2032">
        <v>120.82</v>
      </c>
      <c r="D2032">
        <v>117.04</v>
      </c>
      <c r="E2032">
        <v>118.78</v>
      </c>
      <c r="F2032">
        <v>18640000</v>
      </c>
      <c r="G2032">
        <v>118.78</v>
      </c>
    </row>
    <row r="2033" spans="1:7" x14ac:dyDescent="0.25">
      <c r="A2033" s="5">
        <v>26672</v>
      </c>
      <c r="B2033">
        <v>119.87</v>
      </c>
      <c r="C2033">
        <v>121.74</v>
      </c>
      <c r="D2033">
        <v>118.69</v>
      </c>
      <c r="E2033">
        <v>119.3</v>
      </c>
      <c r="F2033">
        <v>20366000</v>
      </c>
      <c r="G2033">
        <v>119.3</v>
      </c>
    </row>
    <row r="2034" spans="1:7" x14ac:dyDescent="0.25">
      <c r="A2034" s="5">
        <v>26666</v>
      </c>
      <c r="B2034">
        <v>118.06</v>
      </c>
      <c r="C2034">
        <v>120.71</v>
      </c>
      <c r="D2034">
        <v>118.06</v>
      </c>
      <c r="E2034">
        <v>119.87</v>
      </c>
      <c r="F2034">
        <v>19317500</v>
      </c>
      <c r="G2034">
        <v>119.87</v>
      </c>
    </row>
    <row r="2035" spans="1:7" x14ac:dyDescent="0.25">
      <c r="A2035" s="5">
        <v>26659</v>
      </c>
      <c r="B2035">
        <v>115.83</v>
      </c>
      <c r="C2035">
        <v>118.77</v>
      </c>
      <c r="D2035">
        <v>115.54</v>
      </c>
      <c r="E2035">
        <v>118.05</v>
      </c>
      <c r="F2035">
        <v>19256600</v>
      </c>
      <c r="G2035">
        <v>118.05</v>
      </c>
    </row>
    <row r="2036" spans="1:7" x14ac:dyDescent="0.25">
      <c r="A2036" s="5">
        <v>26651</v>
      </c>
      <c r="B2036">
        <v>117.88</v>
      </c>
      <c r="C2036">
        <v>117.88</v>
      </c>
      <c r="D2036">
        <v>114.63</v>
      </c>
      <c r="E2036">
        <v>115.83</v>
      </c>
      <c r="F2036">
        <v>16772000</v>
      </c>
      <c r="G2036">
        <v>115.83</v>
      </c>
    </row>
    <row r="2037" spans="1:7" x14ac:dyDescent="0.25">
      <c r="A2037" s="5">
        <v>26644</v>
      </c>
      <c r="B2037">
        <v>118.86</v>
      </c>
      <c r="C2037">
        <v>119.79</v>
      </c>
      <c r="D2037">
        <v>117.37</v>
      </c>
      <c r="E2037">
        <v>118.26</v>
      </c>
      <c r="F2037">
        <v>17408000</v>
      </c>
      <c r="G2037">
        <v>118.26</v>
      </c>
    </row>
    <row r="2038" spans="1:7" x14ac:dyDescent="0.25">
      <c r="A2038" s="5">
        <v>26637</v>
      </c>
      <c r="B2038">
        <v>117.38</v>
      </c>
      <c r="C2038">
        <v>119.54</v>
      </c>
      <c r="D2038">
        <v>116.89</v>
      </c>
      <c r="E2038">
        <v>118.86</v>
      </c>
      <c r="F2038">
        <v>18698000</v>
      </c>
      <c r="G2038">
        <v>118.86</v>
      </c>
    </row>
    <row r="2039" spans="1:7" x14ac:dyDescent="0.25">
      <c r="A2039" s="5">
        <v>26630</v>
      </c>
      <c r="B2039">
        <v>117.27</v>
      </c>
      <c r="C2039">
        <v>118.18</v>
      </c>
      <c r="D2039">
        <v>115.56</v>
      </c>
      <c r="E2039">
        <v>117.38</v>
      </c>
      <c r="F2039">
        <v>19338000</v>
      </c>
      <c r="G2039">
        <v>117.38</v>
      </c>
    </row>
    <row r="2040" spans="1:7" x14ac:dyDescent="0.25">
      <c r="A2040" s="5">
        <v>26623</v>
      </c>
      <c r="B2040">
        <v>115.49</v>
      </c>
      <c r="C2040">
        <v>117.91</v>
      </c>
      <c r="D2040">
        <v>114.57</v>
      </c>
      <c r="E2040">
        <v>117.27</v>
      </c>
      <c r="F2040">
        <v>19765000</v>
      </c>
      <c r="G2040">
        <v>117.27</v>
      </c>
    </row>
    <row r="2041" spans="1:7" x14ac:dyDescent="0.25">
      <c r="A2041" s="5">
        <v>26616</v>
      </c>
      <c r="B2041">
        <v>113.73</v>
      </c>
      <c r="C2041">
        <v>116.23</v>
      </c>
      <c r="D2041">
        <v>112.91</v>
      </c>
      <c r="E2041">
        <v>115.49</v>
      </c>
      <c r="F2041">
        <v>20096000</v>
      </c>
      <c r="G2041">
        <v>115.49</v>
      </c>
    </row>
    <row r="2042" spans="1:7" x14ac:dyDescent="0.25">
      <c r="A2042" s="5">
        <v>26609</v>
      </c>
      <c r="B2042">
        <v>114.22</v>
      </c>
      <c r="C2042">
        <v>115.23</v>
      </c>
      <c r="D2042">
        <v>112.08</v>
      </c>
      <c r="E2042">
        <v>113.73</v>
      </c>
      <c r="F2042">
        <v>21837500</v>
      </c>
      <c r="G2042">
        <v>113.73</v>
      </c>
    </row>
    <row r="2043" spans="1:7" x14ac:dyDescent="0.25">
      <c r="A2043" s="5">
        <v>26602</v>
      </c>
      <c r="B2043">
        <v>110.62</v>
      </c>
      <c r="C2043">
        <v>114.81</v>
      </c>
      <c r="D2043">
        <v>109.66</v>
      </c>
      <c r="E2043">
        <v>114.22</v>
      </c>
      <c r="F2043">
        <v>18366000</v>
      </c>
      <c r="G2043">
        <v>114.22</v>
      </c>
    </row>
    <row r="2044" spans="1:7" x14ac:dyDescent="0.25">
      <c r="A2044" s="5">
        <v>26595</v>
      </c>
      <c r="B2044">
        <v>109.51</v>
      </c>
      <c r="C2044">
        <v>112.26</v>
      </c>
      <c r="D2044">
        <v>109.38</v>
      </c>
      <c r="E2044">
        <v>110.62</v>
      </c>
      <c r="F2044">
        <v>16624000</v>
      </c>
      <c r="G2044">
        <v>110.62</v>
      </c>
    </row>
    <row r="2045" spans="1:7" x14ac:dyDescent="0.25">
      <c r="A2045" s="5">
        <v>26588</v>
      </c>
      <c r="B2045">
        <v>107.92</v>
      </c>
      <c r="C2045">
        <v>109.79</v>
      </c>
      <c r="D2045">
        <v>106.27</v>
      </c>
      <c r="E2045">
        <v>109.24</v>
      </c>
      <c r="F2045">
        <v>14246000</v>
      </c>
      <c r="G2045">
        <v>109.24</v>
      </c>
    </row>
    <row r="2046" spans="1:7" x14ac:dyDescent="0.25">
      <c r="A2046" s="5">
        <v>26581</v>
      </c>
      <c r="B2046">
        <v>109.62</v>
      </c>
      <c r="C2046">
        <v>111.11</v>
      </c>
      <c r="D2046">
        <v>107.17</v>
      </c>
      <c r="E2046">
        <v>107.92</v>
      </c>
      <c r="F2046">
        <v>11830000</v>
      </c>
      <c r="G2046">
        <v>107.92</v>
      </c>
    </row>
    <row r="2047" spans="1:7" x14ac:dyDescent="0.25">
      <c r="A2047" s="5">
        <v>26574</v>
      </c>
      <c r="B2047">
        <v>110.55</v>
      </c>
      <c r="C2047">
        <v>111.35</v>
      </c>
      <c r="D2047">
        <v>107.78</v>
      </c>
      <c r="E2047">
        <v>109.62</v>
      </c>
      <c r="F2047">
        <v>15306000</v>
      </c>
      <c r="G2047">
        <v>109.62</v>
      </c>
    </row>
    <row r="2048" spans="1:7" x14ac:dyDescent="0.25">
      <c r="A2048" s="5">
        <v>26567</v>
      </c>
      <c r="B2048">
        <v>108.52</v>
      </c>
      <c r="C2048">
        <v>110.75</v>
      </c>
      <c r="D2048">
        <v>107.35</v>
      </c>
      <c r="E2048">
        <v>110.55</v>
      </c>
      <c r="F2048">
        <v>13930000</v>
      </c>
      <c r="G2048">
        <v>110.55</v>
      </c>
    </row>
    <row r="2049" spans="1:7" x14ac:dyDescent="0.25">
      <c r="A2049" s="5">
        <v>26560</v>
      </c>
      <c r="B2049">
        <v>108.81</v>
      </c>
      <c r="C2049">
        <v>109.57</v>
      </c>
      <c r="D2049">
        <v>107.72</v>
      </c>
      <c r="E2049">
        <v>108.52</v>
      </c>
      <c r="F2049">
        <v>11740000</v>
      </c>
      <c r="G2049">
        <v>108.52</v>
      </c>
    </row>
    <row r="2050" spans="1:7" x14ac:dyDescent="0.25">
      <c r="A2050" s="5">
        <v>26553</v>
      </c>
      <c r="B2050">
        <v>110.15</v>
      </c>
      <c r="C2050">
        <v>110.57</v>
      </c>
      <c r="D2050">
        <v>107.81</v>
      </c>
      <c r="E2050">
        <v>108.81</v>
      </c>
      <c r="F2050">
        <v>12306000</v>
      </c>
      <c r="G2050">
        <v>108.81</v>
      </c>
    </row>
    <row r="2051" spans="1:7" x14ac:dyDescent="0.25">
      <c r="A2051" s="5">
        <v>26547</v>
      </c>
      <c r="B2051">
        <v>111.51</v>
      </c>
      <c r="C2051">
        <v>112.08</v>
      </c>
      <c r="D2051">
        <v>109.67</v>
      </c>
      <c r="E2051">
        <v>110.15</v>
      </c>
      <c r="F2051">
        <v>11177500</v>
      </c>
      <c r="G2051">
        <v>110.15</v>
      </c>
    </row>
    <row r="2052" spans="1:7" x14ac:dyDescent="0.25">
      <c r="A2052" s="5">
        <v>26539</v>
      </c>
      <c r="B2052">
        <v>110.67</v>
      </c>
      <c r="C2052">
        <v>112.12</v>
      </c>
      <c r="D2052">
        <v>109.26</v>
      </c>
      <c r="E2052">
        <v>111.51</v>
      </c>
      <c r="F2052">
        <v>11886000</v>
      </c>
      <c r="G2052">
        <v>111.51</v>
      </c>
    </row>
    <row r="2053" spans="1:7" x14ac:dyDescent="0.25">
      <c r="A2053" s="5">
        <v>26532</v>
      </c>
      <c r="B2053">
        <v>111.76</v>
      </c>
      <c r="C2053">
        <v>113.27</v>
      </c>
      <c r="D2053">
        <v>109.78</v>
      </c>
      <c r="E2053">
        <v>110.67</v>
      </c>
      <c r="F2053">
        <v>16728000</v>
      </c>
      <c r="G2053">
        <v>110.67</v>
      </c>
    </row>
    <row r="2054" spans="1:7" x14ac:dyDescent="0.25">
      <c r="A2054" s="5">
        <v>26525</v>
      </c>
      <c r="B2054">
        <v>111.95</v>
      </c>
      <c r="C2054">
        <v>113.45</v>
      </c>
      <c r="D2054">
        <v>110.72</v>
      </c>
      <c r="E2054">
        <v>111.76</v>
      </c>
      <c r="F2054">
        <v>16200000</v>
      </c>
      <c r="G2054">
        <v>111.76</v>
      </c>
    </row>
    <row r="2055" spans="1:7" x14ac:dyDescent="0.25">
      <c r="A2055" s="5">
        <v>26518</v>
      </c>
      <c r="B2055">
        <v>110.43</v>
      </c>
      <c r="C2055">
        <v>112.4</v>
      </c>
      <c r="D2055">
        <v>109.67</v>
      </c>
      <c r="E2055">
        <v>111.95</v>
      </c>
      <c r="F2055">
        <v>15066000</v>
      </c>
      <c r="G2055">
        <v>111.95</v>
      </c>
    </row>
    <row r="2056" spans="1:7" x14ac:dyDescent="0.25">
      <c r="A2056" s="5">
        <v>26511</v>
      </c>
      <c r="B2056">
        <v>107.38</v>
      </c>
      <c r="C2056">
        <v>111.12</v>
      </c>
      <c r="D2056">
        <v>106.6</v>
      </c>
      <c r="E2056">
        <v>110.43</v>
      </c>
      <c r="F2056">
        <v>16050000</v>
      </c>
      <c r="G2056">
        <v>110.43</v>
      </c>
    </row>
    <row r="2057" spans="1:7" x14ac:dyDescent="0.25">
      <c r="A2057" s="5">
        <v>26504</v>
      </c>
      <c r="B2057">
        <v>106.66</v>
      </c>
      <c r="C2057">
        <v>108.88</v>
      </c>
      <c r="D2057">
        <v>106.52</v>
      </c>
      <c r="E2057">
        <v>107.38</v>
      </c>
      <c r="F2057">
        <v>15250000</v>
      </c>
      <c r="G2057">
        <v>107.38</v>
      </c>
    </row>
    <row r="2058" spans="1:7" x14ac:dyDescent="0.25">
      <c r="A2058" s="5">
        <v>26497</v>
      </c>
      <c r="B2058">
        <v>106.8</v>
      </c>
      <c r="C2058">
        <v>107.37</v>
      </c>
      <c r="D2058">
        <v>104.43</v>
      </c>
      <c r="E2058">
        <v>106.66</v>
      </c>
      <c r="F2058">
        <v>15386000</v>
      </c>
      <c r="G2058">
        <v>106.66</v>
      </c>
    </row>
    <row r="2059" spans="1:7" x14ac:dyDescent="0.25">
      <c r="A2059" s="5">
        <v>26490</v>
      </c>
      <c r="B2059">
        <v>108.69</v>
      </c>
      <c r="C2059">
        <v>109.16</v>
      </c>
      <c r="D2059">
        <v>105.62</v>
      </c>
      <c r="E2059">
        <v>106.8</v>
      </c>
      <c r="F2059">
        <v>13866000</v>
      </c>
      <c r="G2059">
        <v>106.8</v>
      </c>
    </row>
    <row r="2060" spans="1:7" x14ac:dyDescent="0.25">
      <c r="A2060" s="5">
        <v>26483</v>
      </c>
      <c r="B2060">
        <v>107.14</v>
      </c>
      <c r="C2060">
        <v>110.27</v>
      </c>
      <c r="D2060">
        <v>106.72</v>
      </c>
      <c r="E2060">
        <v>108.69</v>
      </c>
      <c r="F2060">
        <v>13817500</v>
      </c>
      <c r="G2060">
        <v>108.69</v>
      </c>
    </row>
    <row r="2061" spans="1:7" x14ac:dyDescent="0.25">
      <c r="A2061" s="5">
        <v>26476</v>
      </c>
      <c r="B2061">
        <v>108.23</v>
      </c>
      <c r="C2061">
        <v>108.29</v>
      </c>
      <c r="D2061">
        <v>105.94</v>
      </c>
      <c r="E2061">
        <v>107.14</v>
      </c>
      <c r="F2061">
        <v>13216000</v>
      </c>
      <c r="G2061">
        <v>107.14</v>
      </c>
    </row>
    <row r="2062" spans="1:7" x14ac:dyDescent="0.25">
      <c r="A2062" s="5">
        <v>26469</v>
      </c>
      <c r="B2062">
        <v>108.36</v>
      </c>
      <c r="C2062">
        <v>109.66</v>
      </c>
      <c r="D2062">
        <v>107.37</v>
      </c>
      <c r="E2062">
        <v>108.27</v>
      </c>
      <c r="F2062">
        <v>13898000</v>
      </c>
      <c r="G2062">
        <v>108.27</v>
      </c>
    </row>
    <row r="2063" spans="1:7" x14ac:dyDescent="0.25">
      <c r="A2063" s="5">
        <v>26462</v>
      </c>
      <c r="B2063">
        <v>106.86</v>
      </c>
      <c r="C2063">
        <v>109.52</v>
      </c>
      <c r="D2063">
        <v>106.29</v>
      </c>
      <c r="E2063">
        <v>108.36</v>
      </c>
      <c r="F2063">
        <v>15474000</v>
      </c>
      <c r="G2063">
        <v>108.36</v>
      </c>
    </row>
    <row r="2064" spans="1:7" x14ac:dyDescent="0.25">
      <c r="A2064" s="5">
        <v>26455</v>
      </c>
      <c r="B2064">
        <v>109.73</v>
      </c>
      <c r="C2064">
        <v>109.92</v>
      </c>
      <c r="D2064">
        <v>106.3</v>
      </c>
      <c r="E2064">
        <v>106.86</v>
      </c>
      <c r="F2064">
        <v>14252000</v>
      </c>
      <c r="G2064">
        <v>106.86</v>
      </c>
    </row>
    <row r="2065" spans="1:7" x14ac:dyDescent="0.25">
      <c r="A2065" s="5">
        <v>26449</v>
      </c>
      <c r="B2065">
        <v>110.66</v>
      </c>
      <c r="C2065">
        <v>111.48</v>
      </c>
      <c r="D2065">
        <v>108.92</v>
      </c>
      <c r="E2065">
        <v>109.73</v>
      </c>
      <c r="F2065">
        <v>15337500</v>
      </c>
      <c r="G2065">
        <v>109.73</v>
      </c>
    </row>
    <row r="2066" spans="1:7" x14ac:dyDescent="0.25">
      <c r="A2066" s="5">
        <v>26441</v>
      </c>
      <c r="B2066">
        <v>108.98</v>
      </c>
      <c r="C2066">
        <v>111.31</v>
      </c>
      <c r="D2066">
        <v>108.79</v>
      </c>
      <c r="E2066">
        <v>110.66</v>
      </c>
      <c r="F2066">
        <v>16504000</v>
      </c>
      <c r="G2066">
        <v>110.66</v>
      </c>
    </row>
    <row r="2067" spans="1:7" x14ac:dyDescent="0.25">
      <c r="A2067" s="5">
        <v>26434</v>
      </c>
      <c r="B2067">
        <v>106.38</v>
      </c>
      <c r="C2067">
        <v>109.59</v>
      </c>
      <c r="D2067">
        <v>106.02</v>
      </c>
      <c r="E2067">
        <v>108.98</v>
      </c>
      <c r="F2067">
        <v>15644000</v>
      </c>
      <c r="G2067">
        <v>108.98</v>
      </c>
    </row>
    <row r="2068" spans="1:7" x14ac:dyDescent="0.25">
      <c r="A2068" s="5">
        <v>26427</v>
      </c>
      <c r="B2068">
        <v>106.63</v>
      </c>
      <c r="C2068">
        <v>107.02</v>
      </c>
      <c r="D2068">
        <v>103.83</v>
      </c>
      <c r="E2068">
        <v>106.38</v>
      </c>
      <c r="F2068">
        <v>14384000</v>
      </c>
      <c r="G2068">
        <v>106.38</v>
      </c>
    </row>
    <row r="2069" spans="1:7" x14ac:dyDescent="0.25">
      <c r="A2069" s="5">
        <v>26420</v>
      </c>
      <c r="B2069">
        <v>107.67</v>
      </c>
      <c r="C2069">
        <v>108</v>
      </c>
      <c r="D2069">
        <v>105.14</v>
      </c>
      <c r="E2069">
        <v>106.63</v>
      </c>
      <c r="F2069">
        <v>14430000</v>
      </c>
      <c r="G2069">
        <v>106.63</v>
      </c>
    </row>
    <row r="2070" spans="1:7" x14ac:dyDescent="0.25">
      <c r="A2070" s="5">
        <v>26413</v>
      </c>
      <c r="B2070">
        <v>108.89</v>
      </c>
      <c r="C2070">
        <v>109.19</v>
      </c>
      <c r="D2070">
        <v>106.18</v>
      </c>
      <c r="E2070">
        <v>107.67</v>
      </c>
      <c r="F2070">
        <v>15858000</v>
      </c>
      <c r="G2070">
        <v>107.67</v>
      </c>
    </row>
    <row r="2071" spans="1:7" x14ac:dyDescent="0.25">
      <c r="A2071" s="5">
        <v>26406</v>
      </c>
      <c r="B2071">
        <v>109.84</v>
      </c>
      <c r="C2071">
        <v>110.64</v>
      </c>
      <c r="D2071">
        <v>108.08</v>
      </c>
      <c r="E2071">
        <v>108.89</v>
      </c>
      <c r="F2071">
        <v>18074000</v>
      </c>
      <c r="G2071">
        <v>108.89</v>
      </c>
    </row>
    <row r="2072" spans="1:7" x14ac:dyDescent="0.25">
      <c r="A2072" s="5">
        <v>26399</v>
      </c>
      <c r="B2072">
        <v>109.62</v>
      </c>
      <c r="C2072">
        <v>111.11</v>
      </c>
      <c r="D2072">
        <v>108.76</v>
      </c>
      <c r="E2072">
        <v>109.84</v>
      </c>
      <c r="F2072">
        <v>19908000</v>
      </c>
      <c r="G2072">
        <v>109.84</v>
      </c>
    </row>
    <row r="2073" spans="1:7" x14ac:dyDescent="0.25">
      <c r="A2073" s="5">
        <v>26392</v>
      </c>
      <c r="B2073">
        <v>107.2</v>
      </c>
      <c r="C2073">
        <v>110.29</v>
      </c>
      <c r="D2073">
        <v>106.75</v>
      </c>
      <c r="E2073">
        <v>109.62</v>
      </c>
      <c r="F2073">
        <v>19758000</v>
      </c>
      <c r="G2073">
        <v>109.62</v>
      </c>
    </row>
    <row r="2074" spans="1:7" x14ac:dyDescent="0.25">
      <c r="A2074" s="5">
        <v>26385</v>
      </c>
      <c r="B2074">
        <v>107.52</v>
      </c>
      <c r="C2074">
        <v>108.08</v>
      </c>
      <c r="D2074">
        <v>105.98</v>
      </c>
      <c r="E2074">
        <v>107.2</v>
      </c>
      <c r="F2074">
        <v>13945000</v>
      </c>
      <c r="G2074">
        <v>107.2</v>
      </c>
    </row>
    <row r="2075" spans="1:7" x14ac:dyDescent="0.25">
      <c r="A2075" s="5">
        <v>26378</v>
      </c>
      <c r="B2075">
        <v>107.92</v>
      </c>
      <c r="C2075">
        <v>108.81</v>
      </c>
      <c r="D2075">
        <v>105.86</v>
      </c>
      <c r="E2075">
        <v>107.52</v>
      </c>
      <c r="F2075">
        <v>16840000</v>
      </c>
      <c r="G2075">
        <v>107.52</v>
      </c>
    </row>
    <row r="2076" spans="1:7" x14ac:dyDescent="0.25">
      <c r="A2076" s="5">
        <v>26371</v>
      </c>
      <c r="B2076">
        <v>108.38</v>
      </c>
      <c r="C2076">
        <v>108.61</v>
      </c>
      <c r="D2076">
        <v>106.55</v>
      </c>
      <c r="E2076">
        <v>107.92</v>
      </c>
      <c r="F2076">
        <v>18260000</v>
      </c>
      <c r="G2076">
        <v>107.92</v>
      </c>
    </row>
    <row r="2077" spans="1:7" x14ac:dyDescent="0.25">
      <c r="A2077" s="5">
        <v>26364</v>
      </c>
      <c r="B2077">
        <v>107.94</v>
      </c>
      <c r="C2077">
        <v>109.75</v>
      </c>
      <c r="D2077">
        <v>107.64</v>
      </c>
      <c r="E2077">
        <v>108.38</v>
      </c>
      <c r="F2077">
        <v>21216000</v>
      </c>
      <c r="G2077">
        <v>108.38</v>
      </c>
    </row>
    <row r="2078" spans="1:7" x14ac:dyDescent="0.25">
      <c r="A2078" s="5">
        <v>26357</v>
      </c>
      <c r="B2078">
        <v>106.18</v>
      </c>
      <c r="C2078">
        <v>108.51</v>
      </c>
      <c r="D2078">
        <v>105.37</v>
      </c>
      <c r="E2078">
        <v>107.94</v>
      </c>
      <c r="F2078">
        <v>20962000</v>
      </c>
      <c r="G2078">
        <v>107.94</v>
      </c>
    </row>
    <row r="2079" spans="1:7" x14ac:dyDescent="0.25">
      <c r="A2079" s="5">
        <v>26351</v>
      </c>
      <c r="B2079">
        <v>105.28</v>
      </c>
      <c r="C2079">
        <v>106.73</v>
      </c>
      <c r="D2079">
        <v>104.65</v>
      </c>
      <c r="E2079">
        <v>106.18</v>
      </c>
      <c r="F2079">
        <v>16905000</v>
      </c>
      <c r="G2079">
        <v>106.18</v>
      </c>
    </row>
    <row r="2080" spans="1:7" x14ac:dyDescent="0.25">
      <c r="A2080" s="5">
        <v>26343</v>
      </c>
      <c r="B2080">
        <v>105.08</v>
      </c>
      <c r="C2080">
        <v>106.65</v>
      </c>
      <c r="D2080">
        <v>104.03</v>
      </c>
      <c r="E2080">
        <v>105.28</v>
      </c>
      <c r="F2080">
        <v>18640000</v>
      </c>
      <c r="G2080">
        <v>105.28</v>
      </c>
    </row>
    <row r="2081" spans="1:7" x14ac:dyDescent="0.25">
      <c r="A2081" s="5">
        <v>26336</v>
      </c>
      <c r="B2081">
        <v>104.86</v>
      </c>
      <c r="C2081">
        <v>106.69</v>
      </c>
      <c r="D2081">
        <v>103.9</v>
      </c>
      <c r="E2081">
        <v>105.08</v>
      </c>
      <c r="F2081">
        <v>19096000</v>
      </c>
      <c r="G2081">
        <v>105.08</v>
      </c>
    </row>
    <row r="2082" spans="1:7" x14ac:dyDescent="0.25">
      <c r="A2082" s="5">
        <v>26329</v>
      </c>
      <c r="B2082">
        <v>104.16</v>
      </c>
      <c r="C2082">
        <v>105.48</v>
      </c>
      <c r="D2082">
        <v>103.1</v>
      </c>
      <c r="E2082">
        <v>104.86</v>
      </c>
      <c r="F2082">
        <v>19938000</v>
      </c>
      <c r="G2082">
        <v>104.86</v>
      </c>
    </row>
    <row r="2083" spans="1:7" x14ac:dyDescent="0.25">
      <c r="A2083" s="5">
        <v>26322</v>
      </c>
      <c r="B2083">
        <v>103.65</v>
      </c>
      <c r="C2083">
        <v>104.98</v>
      </c>
      <c r="D2083">
        <v>101.63</v>
      </c>
      <c r="E2083">
        <v>104.16</v>
      </c>
      <c r="F2083">
        <v>18702000</v>
      </c>
      <c r="G2083">
        <v>104.16</v>
      </c>
    </row>
    <row r="2084" spans="1:7" x14ac:dyDescent="0.25">
      <c r="A2084" s="5">
        <v>26315</v>
      </c>
      <c r="B2084">
        <v>103.39</v>
      </c>
      <c r="C2084">
        <v>105</v>
      </c>
      <c r="D2084">
        <v>102.75</v>
      </c>
      <c r="E2084">
        <v>103.65</v>
      </c>
      <c r="F2084">
        <v>18950000</v>
      </c>
      <c r="G2084">
        <v>103.65</v>
      </c>
    </row>
    <row r="2085" spans="1:7" x14ac:dyDescent="0.25">
      <c r="A2085" s="5">
        <v>26308</v>
      </c>
      <c r="B2085">
        <v>103.47</v>
      </c>
      <c r="C2085">
        <v>104.66</v>
      </c>
      <c r="D2085">
        <v>102.29</v>
      </c>
      <c r="E2085">
        <v>103.39</v>
      </c>
      <c r="F2085">
        <v>17126000</v>
      </c>
      <c r="G2085">
        <v>103.39</v>
      </c>
    </row>
    <row r="2086" spans="1:7" x14ac:dyDescent="0.25">
      <c r="A2086" s="5">
        <v>26301</v>
      </c>
      <c r="B2086">
        <v>102.09</v>
      </c>
      <c r="C2086">
        <v>104.29</v>
      </c>
      <c r="D2086">
        <v>100.87</v>
      </c>
      <c r="E2086">
        <v>103.47</v>
      </c>
      <c r="F2086">
        <v>17470000</v>
      </c>
      <c r="G2086">
        <v>103.47</v>
      </c>
    </row>
    <row r="2087" spans="1:7" x14ac:dyDescent="0.25">
      <c r="A2087" s="5">
        <v>26294</v>
      </c>
      <c r="B2087">
        <v>100.95</v>
      </c>
      <c r="C2087">
        <v>102.21</v>
      </c>
      <c r="D2087">
        <v>100.95</v>
      </c>
      <c r="E2087">
        <v>102.09</v>
      </c>
      <c r="F2087">
        <v>14396000</v>
      </c>
      <c r="G2087">
        <v>102.09</v>
      </c>
    </row>
    <row r="2088" spans="1:7" x14ac:dyDescent="0.25">
      <c r="A2088" s="5">
        <v>26287</v>
      </c>
      <c r="B2088">
        <v>101.55</v>
      </c>
      <c r="C2088">
        <v>101.8</v>
      </c>
      <c r="D2088">
        <v>100.74</v>
      </c>
      <c r="E2088">
        <v>100.74</v>
      </c>
      <c r="F2088">
        <v>19800000</v>
      </c>
      <c r="G2088">
        <v>100.74</v>
      </c>
    </row>
    <row r="2089" spans="1:7" x14ac:dyDescent="0.25">
      <c r="A2089" s="5">
        <v>26280</v>
      </c>
      <c r="B2089">
        <v>97.97</v>
      </c>
      <c r="C2089">
        <v>100.26</v>
      </c>
      <c r="D2089">
        <v>97.67</v>
      </c>
      <c r="E2089">
        <v>100.26</v>
      </c>
      <c r="F2089">
        <v>17864000</v>
      </c>
      <c r="G2089">
        <v>100.26</v>
      </c>
    </row>
    <row r="2090" spans="1:7" x14ac:dyDescent="0.25">
      <c r="A2090" s="5">
        <v>26273</v>
      </c>
      <c r="B2090">
        <v>97.06</v>
      </c>
      <c r="C2090">
        <v>98.17</v>
      </c>
      <c r="D2090">
        <v>95.4</v>
      </c>
      <c r="E2090">
        <v>97.69</v>
      </c>
      <c r="F2090">
        <v>16320000</v>
      </c>
      <c r="G2090">
        <v>97.69</v>
      </c>
    </row>
    <row r="2091" spans="1:7" x14ac:dyDescent="0.25">
      <c r="A2091" s="5">
        <v>26266</v>
      </c>
      <c r="B2091">
        <v>92.04</v>
      </c>
      <c r="C2091">
        <v>97.57</v>
      </c>
      <c r="D2091">
        <v>92.04</v>
      </c>
      <c r="E2091">
        <v>97.06</v>
      </c>
      <c r="F2091">
        <v>18562000</v>
      </c>
      <c r="G2091">
        <v>97.06</v>
      </c>
    </row>
    <row r="2092" spans="1:7" x14ac:dyDescent="0.25">
      <c r="A2092" s="5">
        <v>26259</v>
      </c>
      <c r="B2092">
        <v>91.61</v>
      </c>
      <c r="C2092">
        <v>92.19</v>
      </c>
      <c r="D2092">
        <v>89.34</v>
      </c>
      <c r="E2092">
        <v>91.94</v>
      </c>
      <c r="F2092">
        <v>12742500</v>
      </c>
      <c r="G2092">
        <v>91.94</v>
      </c>
    </row>
    <row r="2093" spans="1:7" x14ac:dyDescent="0.25">
      <c r="A2093" s="5">
        <v>26252</v>
      </c>
      <c r="B2093">
        <v>92.12</v>
      </c>
      <c r="C2093">
        <v>93.62</v>
      </c>
      <c r="D2093">
        <v>90.95</v>
      </c>
      <c r="E2093">
        <v>91.61</v>
      </c>
      <c r="F2093">
        <v>12188000</v>
      </c>
      <c r="G2093">
        <v>91.61</v>
      </c>
    </row>
    <row r="2094" spans="1:7" x14ac:dyDescent="0.25">
      <c r="A2094" s="5">
        <v>26245</v>
      </c>
      <c r="B2094">
        <v>94.46</v>
      </c>
      <c r="C2094">
        <v>95.31</v>
      </c>
      <c r="D2094">
        <v>90.93</v>
      </c>
      <c r="E2094">
        <v>92.12</v>
      </c>
      <c r="F2094">
        <v>12372000</v>
      </c>
      <c r="G2094">
        <v>92.12</v>
      </c>
    </row>
    <row r="2095" spans="1:7" x14ac:dyDescent="0.25">
      <c r="A2095" s="5">
        <v>26238</v>
      </c>
      <c r="B2095">
        <v>94.23</v>
      </c>
      <c r="C2095">
        <v>96.08</v>
      </c>
      <c r="D2095">
        <v>91.84</v>
      </c>
      <c r="E2095">
        <v>94.46</v>
      </c>
      <c r="F2095">
        <v>13082000</v>
      </c>
      <c r="G2095">
        <v>94.46</v>
      </c>
    </row>
    <row r="2096" spans="1:7" x14ac:dyDescent="0.25">
      <c r="A2096" s="5">
        <v>26231</v>
      </c>
      <c r="B2096">
        <v>95.57</v>
      </c>
      <c r="C2096">
        <v>95.76</v>
      </c>
      <c r="D2096">
        <v>92.96</v>
      </c>
      <c r="E2096">
        <v>94.23</v>
      </c>
      <c r="F2096">
        <v>12290000</v>
      </c>
      <c r="G2096">
        <v>94.23</v>
      </c>
    </row>
    <row r="2097" spans="1:7" x14ac:dyDescent="0.25">
      <c r="A2097" s="5">
        <v>26224</v>
      </c>
      <c r="B2097">
        <v>97.79</v>
      </c>
      <c r="C2097">
        <v>98.33</v>
      </c>
      <c r="D2097">
        <v>94.59</v>
      </c>
      <c r="E2097">
        <v>95.57</v>
      </c>
      <c r="F2097">
        <v>13870000</v>
      </c>
      <c r="G2097">
        <v>95.57</v>
      </c>
    </row>
    <row r="2098" spans="1:7" x14ac:dyDescent="0.25">
      <c r="A2098" s="5">
        <v>26217</v>
      </c>
      <c r="B2098">
        <v>99.36</v>
      </c>
      <c r="C2098">
        <v>100.2</v>
      </c>
      <c r="D2098">
        <v>97.03</v>
      </c>
      <c r="E2098">
        <v>97.79</v>
      </c>
      <c r="F2098">
        <v>12334000</v>
      </c>
      <c r="G2098">
        <v>97.79</v>
      </c>
    </row>
    <row r="2099" spans="1:7" x14ac:dyDescent="0.25">
      <c r="A2099" s="5">
        <v>26210</v>
      </c>
      <c r="B2099">
        <v>98.93</v>
      </c>
      <c r="C2099">
        <v>100.96</v>
      </c>
      <c r="D2099">
        <v>98.34</v>
      </c>
      <c r="E2099">
        <v>99.36</v>
      </c>
      <c r="F2099">
        <v>14842000</v>
      </c>
      <c r="G2099">
        <v>99.36</v>
      </c>
    </row>
    <row r="2100" spans="1:7" x14ac:dyDescent="0.25">
      <c r="A2100" s="5">
        <v>26203</v>
      </c>
      <c r="B2100">
        <v>98.15</v>
      </c>
      <c r="C2100">
        <v>99.49</v>
      </c>
      <c r="D2100">
        <v>96.97</v>
      </c>
      <c r="E2100">
        <v>98.93</v>
      </c>
      <c r="F2100">
        <v>11388000</v>
      </c>
      <c r="G2100">
        <v>98.93</v>
      </c>
    </row>
    <row r="2101" spans="1:7" x14ac:dyDescent="0.25">
      <c r="A2101" s="5">
        <v>26196</v>
      </c>
      <c r="B2101">
        <v>99.96</v>
      </c>
      <c r="C2101">
        <v>100.4</v>
      </c>
      <c r="D2101">
        <v>97.61</v>
      </c>
      <c r="E2101">
        <v>98.15</v>
      </c>
      <c r="F2101">
        <v>12228000</v>
      </c>
      <c r="G2101">
        <v>98.15</v>
      </c>
    </row>
    <row r="2102" spans="1:7" x14ac:dyDescent="0.25">
      <c r="A2102" s="5">
        <v>26189</v>
      </c>
      <c r="B2102">
        <v>100.42</v>
      </c>
      <c r="C2102">
        <v>100.84</v>
      </c>
      <c r="D2102">
        <v>98.79</v>
      </c>
      <c r="E2102">
        <v>99.96</v>
      </c>
      <c r="F2102">
        <v>10812000</v>
      </c>
      <c r="G2102">
        <v>99.96</v>
      </c>
    </row>
    <row r="2103" spans="1:7" x14ac:dyDescent="0.25">
      <c r="A2103" s="5">
        <v>26183</v>
      </c>
      <c r="B2103">
        <v>100.69</v>
      </c>
      <c r="C2103">
        <v>102.25</v>
      </c>
      <c r="D2103">
        <v>99.69</v>
      </c>
      <c r="E2103">
        <v>100.42</v>
      </c>
      <c r="F2103">
        <v>14620000</v>
      </c>
      <c r="G2103">
        <v>100.42</v>
      </c>
    </row>
    <row r="2104" spans="1:7" x14ac:dyDescent="0.25">
      <c r="A2104" s="5">
        <v>26175</v>
      </c>
      <c r="B2104">
        <v>100.48</v>
      </c>
      <c r="C2104">
        <v>100.93</v>
      </c>
      <c r="D2104">
        <v>98.32</v>
      </c>
      <c r="E2104">
        <v>100.69</v>
      </c>
      <c r="F2104">
        <v>11414000</v>
      </c>
      <c r="G2104">
        <v>100.69</v>
      </c>
    </row>
    <row r="2105" spans="1:7" x14ac:dyDescent="0.25">
      <c r="A2105" s="5">
        <v>26168</v>
      </c>
      <c r="B2105">
        <v>98.33</v>
      </c>
      <c r="C2105">
        <v>101.51</v>
      </c>
      <c r="D2105">
        <v>98.09</v>
      </c>
      <c r="E2105">
        <v>100.48</v>
      </c>
      <c r="F2105">
        <v>15300000</v>
      </c>
      <c r="G2105">
        <v>100.48</v>
      </c>
    </row>
    <row r="2106" spans="1:7" x14ac:dyDescent="0.25">
      <c r="A2106" s="5">
        <v>26161</v>
      </c>
      <c r="B2106">
        <v>97.9</v>
      </c>
      <c r="C2106">
        <v>101</v>
      </c>
      <c r="D2106">
        <v>97.35</v>
      </c>
      <c r="E2106">
        <v>98.33</v>
      </c>
      <c r="F2106">
        <v>21056000</v>
      </c>
      <c r="G2106">
        <v>98.33</v>
      </c>
    </row>
    <row r="2107" spans="1:7" x14ac:dyDescent="0.25">
      <c r="A2107" s="5">
        <v>26154</v>
      </c>
      <c r="B2107">
        <v>94.25</v>
      </c>
      <c r="C2107">
        <v>96.53</v>
      </c>
      <c r="D2107">
        <v>92.81</v>
      </c>
      <c r="E2107">
        <v>95.69</v>
      </c>
      <c r="F2107">
        <v>10962000</v>
      </c>
      <c r="G2107">
        <v>95.69</v>
      </c>
    </row>
    <row r="2108" spans="1:7" x14ac:dyDescent="0.25">
      <c r="A2108" s="5">
        <v>26147</v>
      </c>
      <c r="B2108">
        <v>95.58</v>
      </c>
      <c r="C2108">
        <v>96.76</v>
      </c>
      <c r="D2108">
        <v>93.33</v>
      </c>
      <c r="E2108">
        <v>94.25</v>
      </c>
      <c r="F2108">
        <v>12472000</v>
      </c>
      <c r="G2108">
        <v>94.25</v>
      </c>
    </row>
    <row r="2109" spans="1:7" x14ac:dyDescent="0.25">
      <c r="A2109" s="5">
        <v>26140</v>
      </c>
      <c r="B2109">
        <v>98.94</v>
      </c>
      <c r="C2109">
        <v>99.47</v>
      </c>
      <c r="D2109">
        <v>95.08</v>
      </c>
      <c r="E2109">
        <v>95.58</v>
      </c>
      <c r="F2109">
        <v>12594000</v>
      </c>
      <c r="G2109">
        <v>95.58</v>
      </c>
    </row>
    <row r="2110" spans="1:7" x14ac:dyDescent="0.25">
      <c r="A2110" s="5">
        <v>26133</v>
      </c>
      <c r="B2110">
        <v>99.11</v>
      </c>
      <c r="C2110">
        <v>100.01</v>
      </c>
      <c r="D2110">
        <v>98.11</v>
      </c>
      <c r="E2110">
        <v>98.94</v>
      </c>
      <c r="F2110">
        <v>12166000</v>
      </c>
      <c r="G2110">
        <v>98.94</v>
      </c>
    </row>
    <row r="2111" spans="1:7" x14ac:dyDescent="0.25">
      <c r="A2111" s="5">
        <v>26126</v>
      </c>
      <c r="B2111">
        <v>100.69</v>
      </c>
      <c r="C2111">
        <v>101.52</v>
      </c>
      <c r="D2111">
        <v>98.23</v>
      </c>
      <c r="E2111">
        <v>99.11</v>
      </c>
      <c r="F2111">
        <v>13374000</v>
      </c>
      <c r="G2111">
        <v>99.11</v>
      </c>
    </row>
    <row r="2112" spans="1:7" x14ac:dyDescent="0.25">
      <c r="A2112" s="5">
        <v>26120</v>
      </c>
      <c r="B2112">
        <v>99.78</v>
      </c>
      <c r="C2112">
        <v>101.33</v>
      </c>
      <c r="D2112">
        <v>99.1</v>
      </c>
      <c r="E2112">
        <v>100.69</v>
      </c>
      <c r="F2112">
        <v>12880000</v>
      </c>
      <c r="G2112">
        <v>100.69</v>
      </c>
    </row>
    <row r="2113" spans="1:7" x14ac:dyDescent="0.25">
      <c r="A2113" s="5">
        <v>26112</v>
      </c>
      <c r="B2113">
        <v>97.99</v>
      </c>
      <c r="C2113">
        <v>100.65</v>
      </c>
      <c r="D2113">
        <v>97.02</v>
      </c>
      <c r="E2113">
        <v>99.78</v>
      </c>
      <c r="F2113">
        <v>12546000</v>
      </c>
      <c r="G2113">
        <v>99.78</v>
      </c>
    </row>
    <row r="2114" spans="1:7" x14ac:dyDescent="0.25">
      <c r="A2114" s="5">
        <v>26105</v>
      </c>
      <c r="B2114">
        <v>98.97</v>
      </c>
      <c r="C2114">
        <v>99.18</v>
      </c>
      <c r="D2114">
        <v>96.92</v>
      </c>
      <c r="E2114">
        <v>97.99</v>
      </c>
      <c r="F2114">
        <v>13254000</v>
      </c>
      <c r="G2114">
        <v>97.99</v>
      </c>
    </row>
    <row r="2115" spans="1:7" x14ac:dyDescent="0.25">
      <c r="A2115" s="5">
        <v>26098</v>
      </c>
      <c r="B2115">
        <v>101.07</v>
      </c>
      <c r="C2115">
        <v>101.37</v>
      </c>
      <c r="D2115">
        <v>98.65</v>
      </c>
      <c r="E2115">
        <v>98.97</v>
      </c>
      <c r="F2115">
        <v>13680000</v>
      </c>
      <c r="G2115">
        <v>98.97</v>
      </c>
    </row>
    <row r="2116" spans="1:7" x14ac:dyDescent="0.25">
      <c r="A2116" s="5">
        <v>26091</v>
      </c>
      <c r="B2116">
        <v>101.3</v>
      </c>
      <c r="C2116">
        <v>102.02</v>
      </c>
      <c r="D2116">
        <v>99.28</v>
      </c>
      <c r="E2116">
        <v>101.07</v>
      </c>
      <c r="F2116">
        <v>13276000</v>
      </c>
      <c r="G2116">
        <v>101.07</v>
      </c>
    </row>
    <row r="2117" spans="1:7" x14ac:dyDescent="0.25">
      <c r="A2117" s="5">
        <v>26085</v>
      </c>
      <c r="B2117">
        <v>99.63</v>
      </c>
      <c r="C2117">
        <v>102.07</v>
      </c>
      <c r="D2117">
        <v>99.22</v>
      </c>
      <c r="E2117">
        <v>101.3</v>
      </c>
      <c r="F2117">
        <v>15715000</v>
      </c>
      <c r="G2117">
        <v>101.3</v>
      </c>
    </row>
    <row r="2118" spans="1:7" x14ac:dyDescent="0.25">
      <c r="A2118" s="5">
        <v>26077</v>
      </c>
      <c r="B2118">
        <v>100.99</v>
      </c>
      <c r="C2118">
        <v>101.24</v>
      </c>
      <c r="D2118">
        <v>98.68</v>
      </c>
      <c r="E2118">
        <v>99.63</v>
      </c>
      <c r="F2118">
        <v>13206000</v>
      </c>
      <c r="G2118">
        <v>99.63</v>
      </c>
    </row>
    <row r="2119" spans="1:7" x14ac:dyDescent="0.25">
      <c r="A2119" s="5">
        <v>26070</v>
      </c>
      <c r="B2119">
        <v>102.08</v>
      </c>
      <c r="C2119">
        <v>102.17</v>
      </c>
      <c r="D2119">
        <v>99.68</v>
      </c>
      <c r="E2119">
        <v>100.99</v>
      </c>
      <c r="F2119">
        <v>15018000</v>
      </c>
      <c r="G2119">
        <v>100.99</v>
      </c>
    </row>
    <row r="2120" spans="1:7" x14ac:dyDescent="0.25">
      <c r="A2120" s="5">
        <v>26063</v>
      </c>
      <c r="B2120">
        <v>102.87</v>
      </c>
      <c r="C2120">
        <v>103.57</v>
      </c>
      <c r="D2120">
        <v>101.5</v>
      </c>
      <c r="E2120">
        <v>102.21</v>
      </c>
      <c r="F2120">
        <v>15950000</v>
      </c>
      <c r="G2120">
        <v>102.21</v>
      </c>
    </row>
    <row r="2121" spans="1:7" x14ac:dyDescent="0.25">
      <c r="A2121" s="5">
        <v>26056</v>
      </c>
      <c r="B2121">
        <v>103.95</v>
      </c>
      <c r="C2121">
        <v>104.42</v>
      </c>
      <c r="D2121">
        <v>101.86</v>
      </c>
      <c r="E2121">
        <v>102.87</v>
      </c>
      <c r="F2121">
        <v>17298000</v>
      </c>
      <c r="G2121">
        <v>102.87</v>
      </c>
    </row>
    <row r="2122" spans="1:7" x14ac:dyDescent="0.25">
      <c r="A2122" s="5">
        <v>26049</v>
      </c>
      <c r="B2122">
        <v>104.05</v>
      </c>
      <c r="C2122">
        <v>105.6</v>
      </c>
      <c r="D2122">
        <v>103.19</v>
      </c>
      <c r="E2122">
        <v>103.95</v>
      </c>
      <c r="F2122">
        <v>20552000</v>
      </c>
      <c r="G2122">
        <v>103.95</v>
      </c>
    </row>
    <row r="2123" spans="1:7" x14ac:dyDescent="0.25">
      <c r="A2123" s="5">
        <v>26042</v>
      </c>
      <c r="B2123">
        <v>103.49</v>
      </c>
      <c r="C2123">
        <v>104.63</v>
      </c>
      <c r="D2123">
        <v>102.55</v>
      </c>
      <c r="E2123">
        <v>104.05</v>
      </c>
      <c r="F2123">
        <v>18414000</v>
      </c>
      <c r="G2123">
        <v>104.05</v>
      </c>
    </row>
    <row r="2124" spans="1:7" x14ac:dyDescent="0.25">
      <c r="A2124" s="5">
        <v>26035</v>
      </c>
      <c r="B2124">
        <v>102.1</v>
      </c>
      <c r="C2124">
        <v>104.4</v>
      </c>
      <c r="D2124">
        <v>101.75</v>
      </c>
      <c r="E2124">
        <v>103.49</v>
      </c>
      <c r="F2124">
        <v>20574000</v>
      </c>
      <c r="G2124">
        <v>103.49</v>
      </c>
    </row>
    <row r="2125" spans="1:7" x14ac:dyDescent="0.25">
      <c r="A2125" s="5">
        <v>26028</v>
      </c>
      <c r="B2125">
        <v>100.56</v>
      </c>
      <c r="C2125">
        <v>102.87</v>
      </c>
      <c r="D2125">
        <v>99.88</v>
      </c>
      <c r="E2125">
        <v>102.1</v>
      </c>
      <c r="F2125">
        <v>18972500</v>
      </c>
      <c r="G2125">
        <v>102.1</v>
      </c>
    </row>
    <row r="2126" spans="1:7" x14ac:dyDescent="0.25">
      <c r="A2126" s="5">
        <v>26021</v>
      </c>
      <c r="B2126">
        <v>99.95</v>
      </c>
      <c r="C2126">
        <v>101.23</v>
      </c>
      <c r="D2126">
        <v>99.36</v>
      </c>
      <c r="E2126">
        <v>100.56</v>
      </c>
      <c r="F2126">
        <v>14936000</v>
      </c>
      <c r="G2126">
        <v>100.56</v>
      </c>
    </row>
    <row r="2127" spans="1:7" x14ac:dyDescent="0.25">
      <c r="A2127" s="5">
        <v>26014</v>
      </c>
      <c r="B2127">
        <v>101.01</v>
      </c>
      <c r="C2127">
        <v>101.46</v>
      </c>
      <c r="D2127">
        <v>98.36</v>
      </c>
      <c r="E2127">
        <v>99.95</v>
      </c>
      <c r="F2127">
        <v>15592000</v>
      </c>
      <c r="G2127">
        <v>99.95</v>
      </c>
    </row>
    <row r="2128" spans="1:7" x14ac:dyDescent="0.25">
      <c r="A2128" s="5">
        <v>26007</v>
      </c>
      <c r="B2128">
        <v>99.57</v>
      </c>
      <c r="C2128">
        <v>102.03</v>
      </c>
      <c r="D2128">
        <v>99.12</v>
      </c>
      <c r="E2128">
        <v>101.01</v>
      </c>
      <c r="F2128">
        <v>18264000</v>
      </c>
      <c r="G2128">
        <v>101.01</v>
      </c>
    </row>
    <row r="2129" spans="1:7" x14ac:dyDescent="0.25">
      <c r="A2129" s="5">
        <v>26000</v>
      </c>
      <c r="B2129">
        <v>98.96</v>
      </c>
      <c r="C2129">
        <v>100.31</v>
      </c>
      <c r="D2129">
        <v>98.42</v>
      </c>
      <c r="E2129">
        <v>99.57</v>
      </c>
      <c r="F2129">
        <v>18312000</v>
      </c>
      <c r="G2129">
        <v>99.57</v>
      </c>
    </row>
    <row r="2130" spans="1:7" x14ac:dyDescent="0.25">
      <c r="A2130" s="5">
        <v>25993</v>
      </c>
      <c r="B2130">
        <v>96.75</v>
      </c>
      <c r="C2130">
        <v>99.49</v>
      </c>
      <c r="D2130">
        <v>96.11</v>
      </c>
      <c r="E2130">
        <v>98.96</v>
      </c>
      <c r="F2130">
        <v>16470000</v>
      </c>
      <c r="G2130">
        <v>98.96</v>
      </c>
    </row>
    <row r="2131" spans="1:7" x14ac:dyDescent="0.25">
      <c r="A2131" s="5">
        <v>25986</v>
      </c>
      <c r="B2131">
        <v>96.65</v>
      </c>
      <c r="C2131">
        <v>97.71</v>
      </c>
      <c r="D2131">
        <v>94.92</v>
      </c>
      <c r="E2131">
        <v>96.75</v>
      </c>
      <c r="F2131">
        <v>16060000</v>
      </c>
      <c r="G2131">
        <v>96.75</v>
      </c>
    </row>
    <row r="2132" spans="1:7" x14ac:dyDescent="0.25">
      <c r="A2132" s="5">
        <v>25980</v>
      </c>
      <c r="B2132">
        <v>98.43</v>
      </c>
      <c r="C2132">
        <v>99.59</v>
      </c>
      <c r="D2132">
        <v>96.25</v>
      </c>
      <c r="E2132">
        <v>96.74</v>
      </c>
      <c r="F2132">
        <v>18645000</v>
      </c>
      <c r="G2132">
        <v>96.74</v>
      </c>
    </row>
    <row r="2133" spans="1:7" x14ac:dyDescent="0.25">
      <c r="A2133" s="5">
        <v>25972</v>
      </c>
      <c r="B2133">
        <v>96.93</v>
      </c>
      <c r="C2133">
        <v>98.96</v>
      </c>
      <c r="D2133">
        <v>96.13</v>
      </c>
      <c r="E2133">
        <v>98.43</v>
      </c>
      <c r="F2133">
        <v>22122000</v>
      </c>
      <c r="G2133">
        <v>98.43</v>
      </c>
    </row>
    <row r="2134" spans="1:7" x14ac:dyDescent="0.25">
      <c r="A2134" s="5">
        <v>25965</v>
      </c>
      <c r="B2134">
        <v>95.88</v>
      </c>
      <c r="C2134">
        <v>97.58</v>
      </c>
      <c r="D2134">
        <v>95.38</v>
      </c>
      <c r="E2134">
        <v>96.93</v>
      </c>
      <c r="F2134">
        <v>21140000</v>
      </c>
      <c r="G2134">
        <v>96.93</v>
      </c>
    </row>
    <row r="2135" spans="1:7" x14ac:dyDescent="0.25">
      <c r="A2135" s="5">
        <v>25958</v>
      </c>
      <c r="B2135">
        <v>94.88</v>
      </c>
      <c r="C2135">
        <v>96.49</v>
      </c>
      <c r="D2135">
        <v>93.96</v>
      </c>
      <c r="E2135">
        <v>95.88</v>
      </c>
      <c r="F2135">
        <v>20174000</v>
      </c>
      <c r="G2135">
        <v>95.88</v>
      </c>
    </row>
    <row r="2136" spans="1:7" x14ac:dyDescent="0.25">
      <c r="A2136" s="5">
        <v>25951</v>
      </c>
      <c r="B2136">
        <v>93.03</v>
      </c>
      <c r="C2136">
        <v>95.53</v>
      </c>
      <c r="D2136">
        <v>92.63</v>
      </c>
      <c r="E2136">
        <v>94.88</v>
      </c>
      <c r="F2136">
        <v>18054000</v>
      </c>
      <c r="G2136">
        <v>94.88</v>
      </c>
    </row>
    <row r="2137" spans="1:7" x14ac:dyDescent="0.25">
      <c r="A2137" s="5">
        <v>25944</v>
      </c>
      <c r="B2137">
        <v>92.19</v>
      </c>
      <c r="C2137">
        <v>93.94</v>
      </c>
      <c r="D2137">
        <v>90.99</v>
      </c>
      <c r="E2137">
        <v>93.03</v>
      </c>
      <c r="F2137">
        <v>17444000</v>
      </c>
      <c r="G2137">
        <v>93.03</v>
      </c>
    </row>
    <row r="2138" spans="1:7" x14ac:dyDescent="0.25">
      <c r="A2138" s="5">
        <v>25937</v>
      </c>
      <c r="B2138">
        <v>92.15</v>
      </c>
      <c r="C2138">
        <v>93.26</v>
      </c>
      <c r="D2138">
        <v>90.64</v>
      </c>
      <c r="E2138">
        <v>92.19</v>
      </c>
      <c r="F2138">
        <v>14026000</v>
      </c>
      <c r="G2138">
        <v>92.19</v>
      </c>
    </row>
    <row r="2139" spans="1:7" x14ac:dyDescent="0.25">
      <c r="A2139" s="5">
        <v>25930</v>
      </c>
      <c r="B2139">
        <v>90.61</v>
      </c>
      <c r="C2139">
        <v>92.99</v>
      </c>
      <c r="D2139">
        <v>90.28</v>
      </c>
      <c r="E2139">
        <v>92.15</v>
      </c>
      <c r="F2139">
        <v>15642500</v>
      </c>
      <c r="G2139">
        <v>92.15</v>
      </c>
    </row>
    <row r="2140" spans="1:7" x14ac:dyDescent="0.25">
      <c r="A2140" s="5">
        <v>25923</v>
      </c>
      <c r="B2140">
        <v>90.22</v>
      </c>
      <c r="C2140">
        <v>91.08</v>
      </c>
      <c r="D2140">
        <v>89.35</v>
      </c>
      <c r="E2140">
        <v>90.61</v>
      </c>
      <c r="F2140">
        <v>13685000</v>
      </c>
      <c r="G2140">
        <v>90.61</v>
      </c>
    </row>
    <row r="2141" spans="1:7" x14ac:dyDescent="0.25">
      <c r="A2141" s="5">
        <v>25916</v>
      </c>
      <c r="B2141">
        <v>90.26</v>
      </c>
      <c r="C2141">
        <v>90.81</v>
      </c>
      <c r="D2141">
        <v>88.77</v>
      </c>
      <c r="E2141">
        <v>90.22</v>
      </c>
      <c r="F2141">
        <v>13898000</v>
      </c>
      <c r="G2141">
        <v>90.22</v>
      </c>
    </row>
    <row r="2142" spans="1:7" x14ac:dyDescent="0.25">
      <c r="A2142" s="5">
        <v>25909</v>
      </c>
      <c r="B2142">
        <v>89.46</v>
      </c>
      <c r="C2142">
        <v>90.93</v>
      </c>
      <c r="D2142">
        <v>88.48</v>
      </c>
      <c r="E2142">
        <v>90.26</v>
      </c>
      <c r="F2142">
        <v>14770000</v>
      </c>
      <c r="G2142">
        <v>90.26</v>
      </c>
    </row>
    <row r="2143" spans="1:7" x14ac:dyDescent="0.25">
      <c r="A2143" s="5">
        <v>25902</v>
      </c>
      <c r="B2143">
        <v>85.93</v>
      </c>
      <c r="C2143">
        <v>89.89</v>
      </c>
      <c r="D2143">
        <v>85.79</v>
      </c>
      <c r="E2143">
        <v>89.46</v>
      </c>
      <c r="F2143">
        <v>18458000</v>
      </c>
      <c r="G2143">
        <v>89.46</v>
      </c>
    </row>
    <row r="2144" spans="1:7" x14ac:dyDescent="0.25">
      <c r="A2144" s="5">
        <v>25895</v>
      </c>
      <c r="B2144">
        <v>83.72</v>
      </c>
      <c r="C2144">
        <v>86.21</v>
      </c>
      <c r="D2144">
        <v>83.47</v>
      </c>
      <c r="E2144">
        <v>85.93</v>
      </c>
      <c r="F2144">
        <v>12225000</v>
      </c>
      <c r="G2144">
        <v>85.93</v>
      </c>
    </row>
    <row r="2145" spans="1:7" x14ac:dyDescent="0.25">
      <c r="A2145" s="5">
        <v>25888</v>
      </c>
      <c r="B2145">
        <v>83.37</v>
      </c>
      <c r="C2145">
        <v>84.17</v>
      </c>
      <c r="D2145">
        <v>82.23</v>
      </c>
      <c r="E2145">
        <v>83.72</v>
      </c>
      <c r="F2145">
        <v>9732000</v>
      </c>
      <c r="G2145">
        <v>83.72</v>
      </c>
    </row>
    <row r="2146" spans="1:7" x14ac:dyDescent="0.25">
      <c r="A2146" s="5">
        <v>25881</v>
      </c>
      <c r="B2146">
        <v>84.22</v>
      </c>
      <c r="C2146">
        <v>86.24</v>
      </c>
      <c r="D2146">
        <v>82.92</v>
      </c>
      <c r="E2146">
        <v>83.37</v>
      </c>
      <c r="F2146">
        <v>12170000</v>
      </c>
      <c r="G2146">
        <v>83.37</v>
      </c>
    </row>
    <row r="2147" spans="1:7" x14ac:dyDescent="0.25">
      <c r="A2147" s="5">
        <v>25874</v>
      </c>
      <c r="B2147">
        <v>83.25</v>
      </c>
      <c r="C2147">
        <v>85.26</v>
      </c>
      <c r="D2147">
        <v>82.66</v>
      </c>
      <c r="E2147">
        <v>84.22</v>
      </c>
      <c r="F2147">
        <v>10836000</v>
      </c>
      <c r="G2147">
        <v>84.22</v>
      </c>
    </row>
    <row r="2148" spans="1:7" x14ac:dyDescent="0.25">
      <c r="A2148" s="5">
        <v>25867</v>
      </c>
      <c r="B2148">
        <v>83.77</v>
      </c>
      <c r="C2148">
        <v>84.26</v>
      </c>
      <c r="D2148">
        <v>82.29</v>
      </c>
      <c r="E2148">
        <v>83.25</v>
      </c>
      <c r="F2148">
        <v>10100000</v>
      </c>
      <c r="G2148">
        <v>83.25</v>
      </c>
    </row>
    <row r="2149" spans="1:7" x14ac:dyDescent="0.25">
      <c r="A2149" s="5">
        <v>25860</v>
      </c>
      <c r="B2149">
        <v>84.28</v>
      </c>
      <c r="C2149">
        <v>84.72</v>
      </c>
      <c r="D2149">
        <v>82.62</v>
      </c>
      <c r="E2149">
        <v>83.77</v>
      </c>
      <c r="F2149">
        <v>10224000</v>
      </c>
      <c r="G2149">
        <v>83.77</v>
      </c>
    </row>
    <row r="2150" spans="1:7" x14ac:dyDescent="0.25">
      <c r="A2150" s="5">
        <v>25853</v>
      </c>
      <c r="B2150">
        <v>85.05</v>
      </c>
      <c r="C2150">
        <v>85.28</v>
      </c>
      <c r="D2150">
        <v>83.24</v>
      </c>
      <c r="E2150">
        <v>84.28</v>
      </c>
      <c r="F2150">
        <v>10108000</v>
      </c>
      <c r="G2150">
        <v>84.28</v>
      </c>
    </row>
    <row r="2151" spans="1:7" x14ac:dyDescent="0.25">
      <c r="A2151" s="5">
        <v>25846</v>
      </c>
      <c r="B2151">
        <v>85.16</v>
      </c>
      <c r="C2151">
        <v>87.75</v>
      </c>
      <c r="D2151">
        <v>84.54</v>
      </c>
      <c r="E2151">
        <v>85.08</v>
      </c>
      <c r="F2151">
        <v>16818000</v>
      </c>
      <c r="G2151">
        <v>85.08</v>
      </c>
    </row>
    <row r="2152" spans="1:7" x14ac:dyDescent="0.25">
      <c r="A2152" s="5">
        <v>25839</v>
      </c>
      <c r="B2152">
        <v>82.83</v>
      </c>
      <c r="C2152">
        <v>85.56</v>
      </c>
      <c r="D2152">
        <v>82.61</v>
      </c>
      <c r="E2152">
        <v>85.16</v>
      </c>
      <c r="F2152">
        <v>14444000</v>
      </c>
      <c r="G2152">
        <v>85.16</v>
      </c>
    </row>
    <row r="2153" spans="1:7" x14ac:dyDescent="0.25">
      <c r="A2153" s="5">
        <v>25832</v>
      </c>
      <c r="B2153">
        <v>82.62</v>
      </c>
      <c r="C2153">
        <v>83.6</v>
      </c>
      <c r="D2153">
        <v>80.819999999999993</v>
      </c>
      <c r="E2153">
        <v>82.83</v>
      </c>
      <c r="F2153">
        <v>16680000</v>
      </c>
      <c r="G2153">
        <v>82.83</v>
      </c>
    </row>
    <row r="2154" spans="1:7" x14ac:dyDescent="0.25">
      <c r="A2154" s="5">
        <v>25825</v>
      </c>
      <c r="B2154">
        <v>82.52</v>
      </c>
      <c r="C2154">
        <v>83.5</v>
      </c>
      <c r="D2154">
        <v>80.61</v>
      </c>
      <c r="E2154">
        <v>82.62</v>
      </c>
      <c r="F2154">
        <v>13050000</v>
      </c>
      <c r="G2154">
        <v>82.62</v>
      </c>
    </row>
    <row r="2155" spans="1:7" x14ac:dyDescent="0.25">
      <c r="A2155" s="5">
        <v>25819</v>
      </c>
      <c r="B2155">
        <v>82.83</v>
      </c>
      <c r="C2155">
        <v>83.78</v>
      </c>
      <c r="D2155">
        <v>81.48</v>
      </c>
      <c r="E2155">
        <v>82.52</v>
      </c>
      <c r="F2155">
        <v>14350000</v>
      </c>
      <c r="G2155">
        <v>82.52</v>
      </c>
    </row>
    <row r="2156" spans="1:7" x14ac:dyDescent="0.25">
      <c r="A2156" s="5">
        <v>25811</v>
      </c>
      <c r="B2156">
        <v>81.86</v>
      </c>
      <c r="C2156">
        <v>83.42</v>
      </c>
      <c r="D2156">
        <v>79.95</v>
      </c>
      <c r="E2156">
        <v>82.83</v>
      </c>
      <c r="F2156">
        <v>12176000</v>
      </c>
      <c r="G2156">
        <v>82.83</v>
      </c>
    </row>
    <row r="2157" spans="1:7" x14ac:dyDescent="0.25">
      <c r="A2157" s="5">
        <v>25804</v>
      </c>
      <c r="B2157">
        <v>79.41</v>
      </c>
      <c r="C2157">
        <v>82.47</v>
      </c>
      <c r="D2157">
        <v>79.41</v>
      </c>
      <c r="E2157">
        <v>81.86</v>
      </c>
      <c r="F2157">
        <v>15732000</v>
      </c>
      <c r="G2157">
        <v>81.86</v>
      </c>
    </row>
    <row r="2158" spans="1:7" x14ac:dyDescent="0.25">
      <c r="A2158" s="5">
        <v>25797</v>
      </c>
      <c r="B2158">
        <v>75.180000000000007</v>
      </c>
      <c r="C2158">
        <v>79.599999999999994</v>
      </c>
      <c r="D2158">
        <v>74.52</v>
      </c>
      <c r="E2158">
        <v>79.239999999999995</v>
      </c>
      <c r="F2158">
        <v>9980000</v>
      </c>
      <c r="G2158">
        <v>79.239999999999995</v>
      </c>
    </row>
    <row r="2159" spans="1:7" x14ac:dyDescent="0.25">
      <c r="A2159" s="5">
        <v>25790</v>
      </c>
      <c r="B2159">
        <v>77.28</v>
      </c>
      <c r="C2159">
        <v>77.400000000000006</v>
      </c>
      <c r="D2159">
        <v>74.13</v>
      </c>
      <c r="E2159">
        <v>75.180000000000007</v>
      </c>
      <c r="F2159">
        <v>7768000</v>
      </c>
      <c r="G2159">
        <v>75.180000000000007</v>
      </c>
    </row>
    <row r="2160" spans="1:7" x14ac:dyDescent="0.25">
      <c r="A2160" s="5">
        <v>25783</v>
      </c>
      <c r="B2160">
        <v>78.05</v>
      </c>
      <c r="C2160">
        <v>78.239999999999995</v>
      </c>
      <c r="D2160">
        <v>76.12</v>
      </c>
      <c r="E2160">
        <v>77.28</v>
      </c>
      <c r="F2160">
        <v>8110000</v>
      </c>
      <c r="G2160">
        <v>77.28</v>
      </c>
    </row>
    <row r="2161" spans="1:7" x14ac:dyDescent="0.25">
      <c r="A2161" s="5">
        <v>25776</v>
      </c>
      <c r="B2161">
        <v>77.819999999999993</v>
      </c>
      <c r="C2161">
        <v>79.03</v>
      </c>
      <c r="D2161">
        <v>76.959999999999994</v>
      </c>
      <c r="E2161">
        <v>78.05</v>
      </c>
      <c r="F2161">
        <v>10230000</v>
      </c>
      <c r="G2161">
        <v>78.05</v>
      </c>
    </row>
    <row r="2162" spans="1:7" x14ac:dyDescent="0.25">
      <c r="A2162" s="5">
        <v>25769</v>
      </c>
      <c r="B2162">
        <v>77.69</v>
      </c>
      <c r="C2162">
        <v>78.72</v>
      </c>
      <c r="D2162">
        <v>76.22</v>
      </c>
      <c r="E2162">
        <v>77.819999999999993</v>
      </c>
      <c r="F2162">
        <v>11208000</v>
      </c>
      <c r="G2162">
        <v>77.819999999999993</v>
      </c>
    </row>
    <row r="2163" spans="1:7" x14ac:dyDescent="0.25">
      <c r="A2163" s="5">
        <v>25762</v>
      </c>
      <c r="B2163">
        <v>74.45</v>
      </c>
      <c r="C2163">
        <v>78.23</v>
      </c>
      <c r="D2163">
        <v>73.78</v>
      </c>
      <c r="E2163">
        <v>77.69</v>
      </c>
      <c r="F2163">
        <v>9948000</v>
      </c>
      <c r="G2163">
        <v>77.69</v>
      </c>
    </row>
    <row r="2164" spans="1:7" x14ac:dyDescent="0.25">
      <c r="A2164" s="5">
        <v>25755</v>
      </c>
      <c r="B2164">
        <v>72.92</v>
      </c>
      <c r="C2164">
        <v>75.209999999999994</v>
      </c>
      <c r="D2164">
        <v>70.69</v>
      </c>
      <c r="E2164">
        <v>74.45</v>
      </c>
      <c r="F2164">
        <v>10752000</v>
      </c>
      <c r="G2164">
        <v>74.45</v>
      </c>
    </row>
    <row r="2165" spans="1:7" x14ac:dyDescent="0.25">
      <c r="A2165" s="5">
        <v>25748</v>
      </c>
      <c r="B2165">
        <v>73.47</v>
      </c>
      <c r="C2165">
        <v>73.92</v>
      </c>
      <c r="D2165">
        <v>72.11</v>
      </c>
      <c r="E2165">
        <v>72.92</v>
      </c>
      <c r="F2165">
        <v>8775000</v>
      </c>
      <c r="G2165">
        <v>72.92</v>
      </c>
    </row>
    <row r="2166" spans="1:7" x14ac:dyDescent="0.25">
      <c r="A2166" s="5">
        <v>25741</v>
      </c>
      <c r="B2166">
        <v>77.05</v>
      </c>
      <c r="C2166">
        <v>77.430000000000007</v>
      </c>
      <c r="D2166">
        <v>73.09</v>
      </c>
      <c r="E2166">
        <v>73.47</v>
      </c>
      <c r="F2166">
        <v>9896000</v>
      </c>
      <c r="G2166">
        <v>73.47</v>
      </c>
    </row>
    <row r="2167" spans="1:7" x14ac:dyDescent="0.25">
      <c r="A2167" s="5">
        <v>25734</v>
      </c>
      <c r="B2167">
        <v>73.88</v>
      </c>
      <c r="C2167">
        <v>78.05</v>
      </c>
      <c r="D2167">
        <v>73.67</v>
      </c>
      <c r="E2167">
        <v>77.05</v>
      </c>
      <c r="F2167">
        <v>9594000</v>
      </c>
      <c r="G2167">
        <v>77.05</v>
      </c>
    </row>
    <row r="2168" spans="1:7" x14ac:dyDescent="0.25">
      <c r="A2168" s="5">
        <v>25727</v>
      </c>
      <c r="B2168">
        <v>76.17</v>
      </c>
      <c r="C2168">
        <v>79.959999999999994</v>
      </c>
      <c r="D2168">
        <v>73.25</v>
      </c>
      <c r="E2168">
        <v>73.88</v>
      </c>
      <c r="F2168">
        <v>7798000</v>
      </c>
      <c r="G2168">
        <v>73.88</v>
      </c>
    </row>
    <row r="2169" spans="1:7" x14ac:dyDescent="0.25">
      <c r="A2169" s="5">
        <v>25720</v>
      </c>
      <c r="B2169">
        <v>76.55</v>
      </c>
      <c r="C2169">
        <v>79.42</v>
      </c>
      <c r="D2169">
        <v>75.25</v>
      </c>
      <c r="E2169">
        <v>76.17</v>
      </c>
      <c r="F2169">
        <v>14386000</v>
      </c>
      <c r="G2169">
        <v>76.17</v>
      </c>
    </row>
    <row r="2170" spans="1:7" x14ac:dyDescent="0.25">
      <c r="A2170" s="5">
        <v>25713</v>
      </c>
      <c r="B2170">
        <v>72.16</v>
      </c>
      <c r="C2170">
        <v>76.92</v>
      </c>
      <c r="D2170">
        <v>68.61</v>
      </c>
      <c r="E2170">
        <v>76.55</v>
      </c>
      <c r="F2170">
        <v>16138000</v>
      </c>
      <c r="G2170">
        <v>76.55</v>
      </c>
    </row>
    <row r="2171" spans="1:7" x14ac:dyDescent="0.25">
      <c r="A2171" s="5">
        <v>25706</v>
      </c>
      <c r="B2171">
        <v>76.900000000000006</v>
      </c>
      <c r="C2171">
        <v>77.680000000000007</v>
      </c>
      <c r="D2171">
        <v>70.94</v>
      </c>
      <c r="E2171">
        <v>72.25</v>
      </c>
      <c r="F2171">
        <v>11932000</v>
      </c>
      <c r="G2171">
        <v>72.25</v>
      </c>
    </row>
    <row r="2172" spans="1:7" x14ac:dyDescent="0.25">
      <c r="A2172" s="5">
        <v>25699</v>
      </c>
      <c r="B2172">
        <v>79.44</v>
      </c>
      <c r="C2172">
        <v>79.72</v>
      </c>
      <c r="D2172">
        <v>74.03</v>
      </c>
      <c r="E2172">
        <v>76.900000000000006</v>
      </c>
      <c r="F2172">
        <v>11342000</v>
      </c>
      <c r="G2172">
        <v>76.900000000000006</v>
      </c>
    </row>
    <row r="2173" spans="1:7" x14ac:dyDescent="0.25">
      <c r="A2173" s="5">
        <v>25692</v>
      </c>
      <c r="B2173">
        <v>81.28</v>
      </c>
      <c r="C2173">
        <v>81.28</v>
      </c>
      <c r="D2173">
        <v>78.02</v>
      </c>
      <c r="E2173">
        <v>79.44</v>
      </c>
      <c r="F2173">
        <v>10574000</v>
      </c>
      <c r="G2173">
        <v>79.44</v>
      </c>
    </row>
    <row r="2174" spans="1:7" x14ac:dyDescent="0.25">
      <c r="A2174" s="5">
        <v>25685</v>
      </c>
      <c r="B2174">
        <v>82.77</v>
      </c>
      <c r="C2174">
        <v>83.23</v>
      </c>
      <c r="D2174">
        <v>79.31</v>
      </c>
      <c r="E2174">
        <v>81.44</v>
      </c>
      <c r="F2174">
        <v>11366000</v>
      </c>
      <c r="G2174">
        <v>81.44</v>
      </c>
    </row>
    <row r="2175" spans="1:7" x14ac:dyDescent="0.25">
      <c r="A2175" s="5">
        <v>25678</v>
      </c>
      <c r="B2175">
        <v>85.67</v>
      </c>
      <c r="C2175">
        <v>86.54</v>
      </c>
      <c r="D2175">
        <v>81.96</v>
      </c>
      <c r="E2175">
        <v>82.77</v>
      </c>
      <c r="F2175">
        <v>9802000</v>
      </c>
      <c r="G2175">
        <v>82.77</v>
      </c>
    </row>
    <row r="2176" spans="1:7" x14ac:dyDescent="0.25">
      <c r="A2176" s="5">
        <v>25671</v>
      </c>
      <c r="B2176">
        <v>88.24</v>
      </c>
      <c r="C2176">
        <v>88.67</v>
      </c>
      <c r="D2176">
        <v>84.75</v>
      </c>
      <c r="E2176">
        <v>85.67</v>
      </c>
      <c r="F2176">
        <v>10060000</v>
      </c>
      <c r="G2176">
        <v>85.67</v>
      </c>
    </row>
    <row r="2177" spans="1:7" x14ac:dyDescent="0.25">
      <c r="A2177" s="5">
        <v>25664</v>
      </c>
      <c r="B2177">
        <v>89.39</v>
      </c>
      <c r="C2177">
        <v>89.61</v>
      </c>
      <c r="D2177">
        <v>87.82</v>
      </c>
      <c r="E2177">
        <v>88.24</v>
      </c>
      <c r="F2177">
        <v>9004000</v>
      </c>
      <c r="G2177">
        <v>88.24</v>
      </c>
    </row>
    <row r="2178" spans="1:7" x14ac:dyDescent="0.25">
      <c r="A2178" s="5">
        <v>25657</v>
      </c>
      <c r="B2178">
        <v>89.92</v>
      </c>
      <c r="C2178">
        <v>90.7</v>
      </c>
      <c r="D2178">
        <v>88.81</v>
      </c>
      <c r="E2178">
        <v>89.39</v>
      </c>
      <c r="F2178">
        <v>9644000</v>
      </c>
      <c r="G2178">
        <v>89.39</v>
      </c>
    </row>
    <row r="2179" spans="1:7" x14ac:dyDescent="0.25">
      <c r="A2179" s="5">
        <v>25650</v>
      </c>
      <c r="B2179">
        <v>87.06</v>
      </c>
      <c r="C2179">
        <v>91.07</v>
      </c>
      <c r="D2179">
        <v>86.19</v>
      </c>
      <c r="E2179">
        <v>89.92</v>
      </c>
      <c r="F2179">
        <v>11255000</v>
      </c>
      <c r="G2179">
        <v>89.92</v>
      </c>
    </row>
    <row r="2180" spans="1:7" x14ac:dyDescent="0.25">
      <c r="A2180" s="5">
        <v>25643</v>
      </c>
      <c r="B2180">
        <v>87.86</v>
      </c>
      <c r="C2180">
        <v>88.28</v>
      </c>
      <c r="D2180">
        <v>86.36</v>
      </c>
      <c r="E2180">
        <v>87.06</v>
      </c>
      <c r="F2180">
        <v>8926000</v>
      </c>
      <c r="G2180">
        <v>87.06</v>
      </c>
    </row>
    <row r="2181" spans="1:7" x14ac:dyDescent="0.25">
      <c r="A2181" s="5">
        <v>25636</v>
      </c>
      <c r="B2181">
        <v>89.43</v>
      </c>
      <c r="C2181">
        <v>89.58</v>
      </c>
      <c r="D2181">
        <v>87.29</v>
      </c>
      <c r="E2181">
        <v>87.86</v>
      </c>
      <c r="F2181">
        <v>9418000</v>
      </c>
      <c r="G2181">
        <v>87.86</v>
      </c>
    </row>
    <row r="2182" spans="1:7" x14ac:dyDescent="0.25">
      <c r="A2182" s="5">
        <v>25629</v>
      </c>
      <c r="B2182">
        <v>89.5</v>
      </c>
      <c r="C2182">
        <v>91.05</v>
      </c>
      <c r="D2182">
        <v>88.84</v>
      </c>
      <c r="E2182">
        <v>89.44</v>
      </c>
      <c r="F2182">
        <v>11634000</v>
      </c>
      <c r="G2182">
        <v>89.44</v>
      </c>
    </row>
    <row r="2183" spans="1:7" x14ac:dyDescent="0.25">
      <c r="A2183" s="5">
        <v>25623</v>
      </c>
      <c r="B2183">
        <v>88.03</v>
      </c>
      <c r="C2183">
        <v>90.33</v>
      </c>
      <c r="D2183">
        <v>87.11</v>
      </c>
      <c r="E2183">
        <v>89.5</v>
      </c>
      <c r="F2183">
        <v>12112500</v>
      </c>
      <c r="G2183">
        <v>89.5</v>
      </c>
    </row>
    <row r="2184" spans="1:7" x14ac:dyDescent="0.25">
      <c r="A2184" s="5">
        <v>25615</v>
      </c>
      <c r="B2184">
        <v>86.54</v>
      </c>
      <c r="C2184">
        <v>88.74</v>
      </c>
      <c r="D2184">
        <v>85.57</v>
      </c>
      <c r="E2184">
        <v>88.03</v>
      </c>
      <c r="F2184">
        <v>13110000</v>
      </c>
      <c r="G2184">
        <v>88.03</v>
      </c>
    </row>
    <row r="2185" spans="1:7" x14ac:dyDescent="0.25">
      <c r="A2185" s="5">
        <v>25608</v>
      </c>
      <c r="B2185">
        <v>86.33</v>
      </c>
      <c r="C2185">
        <v>87.85</v>
      </c>
      <c r="D2185">
        <v>85.3</v>
      </c>
      <c r="E2185">
        <v>86.54</v>
      </c>
      <c r="F2185">
        <v>10854000</v>
      </c>
      <c r="G2185">
        <v>86.54</v>
      </c>
    </row>
    <row r="2186" spans="1:7" x14ac:dyDescent="0.25">
      <c r="A2186" s="5">
        <v>25601</v>
      </c>
      <c r="B2186">
        <v>85.02</v>
      </c>
      <c r="C2186">
        <v>87.66</v>
      </c>
      <c r="D2186">
        <v>84.64</v>
      </c>
      <c r="E2186">
        <v>86.33</v>
      </c>
      <c r="F2186">
        <v>12022000</v>
      </c>
      <c r="G2186">
        <v>86.33</v>
      </c>
    </row>
    <row r="2187" spans="1:7" x14ac:dyDescent="0.25">
      <c r="A2187" s="5">
        <v>25594</v>
      </c>
      <c r="B2187">
        <v>89.23</v>
      </c>
      <c r="C2187">
        <v>89.23</v>
      </c>
      <c r="D2187">
        <v>84.42</v>
      </c>
      <c r="E2187">
        <v>85.02</v>
      </c>
      <c r="F2187">
        <v>11068000</v>
      </c>
      <c r="G2187">
        <v>85.02</v>
      </c>
    </row>
    <row r="2188" spans="1:7" x14ac:dyDescent="0.25">
      <c r="A2188" s="5">
        <v>25587</v>
      </c>
      <c r="B2188">
        <v>90.72</v>
      </c>
      <c r="C2188">
        <v>90.8</v>
      </c>
      <c r="D2188">
        <v>88.64</v>
      </c>
      <c r="E2188">
        <v>89.37</v>
      </c>
      <c r="F2188">
        <v>10496000</v>
      </c>
      <c r="G2188">
        <v>89.37</v>
      </c>
    </row>
    <row r="2189" spans="1:7" x14ac:dyDescent="0.25">
      <c r="A2189" s="5">
        <v>25580</v>
      </c>
      <c r="B2189">
        <v>92.4</v>
      </c>
      <c r="C2189">
        <v>92.67</v>
      </c>
      <c r="D2189">
        <v>90.36</v>
      </c>
      <c r="E2189">
        <v>90.92</v>
      </c>
      <c r="F2189">
        <v>10442000</v>
      </c>
      <c r="G2189">
        <v>90.92</v>
      </c>
    </row>
    <row r="2190" spans="1:7" x14ac:dyDescent="0.25">
      <c r="A2190" s="5">
        <v>25573</v>
      </c>
      <c r="B2190">
        <v>93</v>
      </c>
      <c r="C2190">
        <v>94.25</v>
      </c>
      <c r="D2190">
        <v>91.82</v>
      </c>
      <c r="E2190">
        <v>92.4</v>
      </c>
      <c r="F2190">
        <v>10602000</v>
      </c>
      <c r="G2190">
        <v>92.4</v>
      </c>
    </row>
    <row r="2191" spans="1:7" x14ac:dyDescent="0.25">
      <c r="A2191" s="5">
        <v>25566</v>
      </c>
      <c r="B2191">
        <v>91.89</v>
      </c>
      <c r="C2191">
        <v>93.54</v>
      </c>
      <c r="D2191">
        <v>90.47</v>
      </c>
      <c r="E2191">
        <v>93</v>
      </c>
      <c r="F2191">
        <v>13930000</v>
      </c>
      <c r="G2191">
        <v>93</v>
      </c>
    </row>
    <row r="2192" spans="1:7" x14ac:dyDescent="0.25">
      <c r="A2192" s="5">
        <v>25559</v>
      </c>
      <c r="B2192">
        <v>91.38</v>
      </c>
      <c r="C2192">
        <v>92.3</v>
      </c>
      <c r="D2192">
        <v>89.4</v>
      </c>
      <c r="E2192">
        <v>91.89</v>
      </c>
      <c r="F2192">
        <v>11247500</v>
      </c>
      <c r="G2192">
        <v>91.89</v>
      </c>
    </row>
    <row r="2193" spans="1:7" x14ac:dyDescent="0.25">
      <c r="A2193" s="5">
        <v>25552</v>
      </c>
      <c r="B2193">
        <v>90.81</v>
      </c>
      <c r="C2193">
        <v>92.34</v>
      </c>
      <c r="D2193">
        <v>88.62</v>
      </c>
      <c r="E2193">
        <v>91.38</v>
      </c>
      <c r="F2193">
        <v>13438000</v>
      </c>
      <c r="G2193">
        <v>91.38</v>
      </c>
    </row>
    <row r="2194" spans="1:7" x14ac:dyDescent="0.25">
      <c r="A2194" s="5">
        <v>25545</v>
      </c>
      <c r="B2194">
        <v>91.73</v>
      </c>
      <c r="C2194">
        <v>92.05</v>
      </c>
      <c r="D2194">
        <v>89.33</v>
      </c>
      <c r="E2194">
        <v>90.81</v>
      </c>
      <c r="F2194">
        <v>11386000</v>
      </c>
      <c r="G2194">
        <v>90.81</v>
      </c>
    </row>
    <row r="2195" spans="1:7" x14ac:dyDescent="0.25">
      <c r="A2195" s="5">
        <v>25538</v>
      </c>
      <c r="B2195">
        <v>93.81</v>
      </c>
      <c r="C2195">
        <v>94.47</v>
      </c>
      <c r="D2195">
        <v>90.36</v>
      </c>
      <c r="E2195">
        <v>91.73</v>
      </c>
      <c r="F2195">
        <v>11114000</v>
      </c>
      <c r="G2195">
        <v>91.73</v>
      </c>
    </row>
    <row r="2196" spans="1:7" x14ac:dyDescent="0.25">
      <c r="A2196" s="5">
        <v>25531</v>
      </c>
      <c r="B2196">
        <v>94.32</v>
      </c>
      <c r="C2196">
        <v>94.43</v>
      </c>
      <c r="D2196">
        <v>92.24</v>
      </c>
      <c r="E2196">
        <v>93.81</v>
      </c>
      <c r="F2196">
        <v>10420000</v>
      </c>
      <c r="G2196">
        <v>93.81</v>
      </c>
    </row>
    <row r="2197" spans="1:7" x14ac:dyDescent="0.25">
      <c r="A2197" s="5">
        <v>25524</v>
      </c>
      <c r="B2197">
        <v>97.07</v>
      </c>
      <c r="C2197">
        <v>97.36</v>
      </c>
      <c r="D2197">
        <v>93.87</v>
      </c>
      <c r="E2197">
        <v>94.32</v>
      </c>
      <c r="F2197">
        <v>10844000</v>
      </c>
      <c r="G2197">
        <v>94.32</v>
      </c>
    </row>
    <row r="2198" spans="1:7" x14ac:dyDescent="0.25">
      <c r="A2198" s="5">
        <v>25517</v>
      </c>
      <c r="B2198">
        <v>98.26</v>
      </c>
      <c r="C2198">
        <v>99.23</v>
      </c>
      <c r="D2198">
        <v>96.36</v>
      </c>
      <c r="E2198">
        <v>97.07</v>
      </c>
      <c r="F2198">
        <v>11544000</v>
      </c>
      <c r="G2198">
        <v>97.07</v>
      </c>
    </row>
    <row r="2199" spans="1:7" x14ac:dyDescent="0.25">
      <c r="A2199" s="5">
        <v>25510</v>
      </c>
      <c r="B2199">
        <v>97.12</v>
      </c>
      <c r="C2199">
        <v>99.01</v>
      </c>
      <c r="D2199">
        <v>95.84</v>
      </c>
      <c r="E2199">
        <v>98.26</v>
      </c>
      <c r="F2199">
        <v>11996000</v>
      </c>
      <c r="G2199">
        <v>98.26</v>
      </c>
    </row>
    <row r="2200" spans="1:7" x14ac:dyDescent="0.25">
      <c r="A2200" s="5">
        <v>25503</v>
      </c>
      <c r="B2200">
        <v>98.12</v>
      </c>
      <c r="C2200">
        <v>98.78</v>
      </c>
      <c r="D2200">
        <v>95.61</v>
      </c>
      <c r="E2200">
        <v>97.12</v>
      </c>
      <c r="F2200">
        <v>12574000</v>
      </c>
      <c r="G2200">
        <v>97.12</v>
      </c>
    </row>
    <row r="2201" spans="1:7" x14ac:dyDescent="0.25">
      <c r="A2201" s="5">
        <v>25496</v>
      </c>
      <c r="B2201">
        <v>96.26</v>
      </c>
      <c r="C2201">
        <v>98.83</v>
      </c>
      <c r="D2201">
        <v>95.29</v>
      </c>
      <c r="E2201">
        <v>98.12</v>
      </c>
      <c r="F2201">
        <v>15906000</v>
      </c>
      <c r="G2201">
        <v>98.12</v>
      </c>
    </row>
    <row r="2202" spans="1:7" x14ac:dyDescent="0.25">
      <c r="A2202" s="5">
        <v>25489</v>
      </c>
      <c r="B2202">
        <v>93.56</v>
      </c>
      <c r="C2202">
        <v>97.54</v>
      </c>
      <c r="D2202">
        <v>93.2</v>
      </c>
      <c r="E2202">
        <v>96.26</v>
      </c>
      <c r="F2202">
        <v>16510000</v>
      </c>
      <c r="G2202">
        <v>96.26</v>
      </c>
    </row>
    <row r="2203" spans="1:7" x14ac:dyDescent="0.25">
      <c r="A2203" s="5">
        <v>25482</v>
      </c>
      <c r="B2203">
        <v>93.19</v>
      </c>
      <c r="C2203">
        <v>94.19</v>
      </c>
      <c r="D2203">
        <v>91.75</v>
      </c>
      <c r="E2203">
        <v>93.56</v>
      </c>
      <c r="F2203">
        <v>10446000</v>
      </c>
      <c r="G2203">
        <v>93.56</v>
      </c>
    </row>
    <row r="2204" spans="1:7" x14ac:dyDescent="0.25">
      <c r="A2204" s="5">
        <v>25475</v>
      </c>
      <c r="B2204">
        <v>94.16</v>
      </c>
      <c r="C2204">
        <v>94.45</v>
      </c>
      <c r="D2204">
        <v>91.66</v>
      </c>
      <c r="E2204">
        <v>93.19</v>
      </c>
      <c r="F2204">
        <v>10456000</v>
      </c>
      <c r="G2204">
        <v>93.19</v>
      </c>
    </row>
    <row r="2205" spans="1:7" x14ac:dyDescent="0.25">
      <c r="A2205" s="5">
        <v>25468</v>
      </c>
      <c r="B2205">
        <v>95.19</v>
      </c>
      <c r="C2205">
        <v>96.62</v>
      </c>
      <c r="D2205">
        <v>93.53</v>
      </c>
      <c r="E2205">
        <v>94.16</v>
      </c>
      <c r="F2205">
        <v>10800000</v>
      </c>
      <c r="G2205">
        <v>94.16</v>
      </c>
    </row>
    <row r="2206" spans="1:7" x14ac:dyDescent="0.25">
      <c r="A2206" s="5">
        <v>25461</v>
      </c>
      <c r="B2206">
        <v>94.13</v>
      </c>
      <c r="C2206">
        <v>95.92</v>
      </c>
      <c r="D2206">
        <v>93.73</v>
      </c>
      <c r="E2206">
        <v>95.19</v>
      </c>
      <c r="F2206">
        <v>11252000</v>
      </c>
      <c r="G2206">
        <v>95.19</v>
      </c>
    </row>
    <row r="2207" spans="1:7" x14ac:dyDescent="0.25">
      <c r="A2207" s="5">
        <v>25454</v>
      </c>
      <c r="B2207">
        <v>93.64</v>
      </c>
      <c r="C2207">
        <v>95.77</v>
      </c>
      <c r="D2207">
        <v>91.77</v>
      </c>
      <c r="E2207">
        <v>94.13</v>
      </c>
      <c r="F2207">
        <v>10790000</v>
      </c>
      <c r="G2207">
        <v>94.13</v>
      </c>
    </row>
    <row r="2208" spans="1:7" x14ac:dyDescent="0.25">
      <c r="A2208" s="5">
        <v>25448</v>
      </c>
      <c r="B2208">
        <v>95.51</v>
      </c>
      <c r="C2208">
        <v>96.31</v>
      </c>
      <c r="D2208">
        <v>93.09</v>
      </c>
      <c r="E2208">
        <v>93.64</v>
      </c>
      <c r="F2208">
        <v>8897500</v>
      </c>
      <c r="G2208">
        <v>93.64</v>
      </c>
    </row>
    <row r="2209" spans="1:7" x14ac:dyDescent="0.25">
      <c r="A2209" s="5">
        <v>25440</v>
      </c>
      <c r="B2209">
        <v>95.92</v>
      </c>
      <c r="C2209">
        <v>96.13</v>
      </c>
      <c r="D2209">
        <v>93.65</v>
      </c>
      <c r="E2209">
        <v>95.51</v>
      </c>
      <c r="F2209">
        <v>8600000</v>
      </c>
      <c r="G2209">
        <v>95.51</v>
      </c>
    </row>
    <row r="2210" spans="1:7" x14ac:dyDescent="0.25">
      <c r="A2210" s="5">
        <v>25433</v>
      </c>
      <c r="B2210">
        <v>94</v>
      </c>
      <c r="C2210">
        <v>96.43</v>
      </c>
      <c r="D2210">
        <v>93.51</v>
      </c>
      <c r="E2210">
        <v>95.92</v>
      </c>
      <c r="F2210">
        <v>10060000</v>
      </c>
      <c r="G2210">
        <v>95.92</v>
      </c>
    </row>
    <row r="2211" spans="1:7" x14ac:dyDescent="0.25">
      <c r="A2211" s="5">
        <v>25426</v>
      </c>
      <c r="B2211">
        <v>93.94</v>
      </c>
      <c r="C2211">
        <v>94.5</v>
      </c>
      <c r="D2211">
        <v>91.48</v>
      </c>
      <c r="E2211">
        <v>94</v>
      </c>
      <c r="F2211">
        <v>8872000</v>
      </c>
      <c r="G2211">
        <v>94</v>
      </c>
    </row>
    <row r="2212" spans="1:7" x14ac:dyDescent="0.25">
      <c r="A2212" s="5">
        <v>25419</v>
      </c>
      <c r="B2212">
        <v>93.47</v>
      </c>
      <c r="C2212">
        <v>94.77</v>
      </c>
      <c r="D2212">
        <v>92.13</v>
      </c>
      <c r="E2212">
        <v>93.94</v>
      </c>
      <c r="F2212">
        <v>9790000</v>
      </c>
      <c r="G2212">
        <v>93.94</v>
      </c>
    </row>
    <row r="2213" spans="1:7" x14ac:dyDescent="0.25">
      <c r="A2213" s="5">
        <v>25412</v>
      </c>
      <c r="B2213">
        <v>91.91</v>
      </c>
      <c r="C2213">
        <v>94.19</v>
      </c>
      <c r="D2213">
        <v>88.04</v>
      </c>
      <c r="E2213">
        <v>93.47</v>
      </c>
      <c r="F2213">
        <v>14048000</v>
      </c>
      <c r="G2213">
        <v>93.47</v>
      </c>
    </row>
    <row r="2214" spans="1:7" x14ac:dyDescent="0.25">
      <c r="A2214" s="5">
        <v>25406</v>
      </c>
      <c r="B2214">
        <v>94.95</v>
      </c>
      <c r="C2214">
        <v>95.45</v>
      </c>
      <c r="D2214">
        <v>91.54</v>
      </c>
      <c r="E2214">
        <v>92.06</v>
      </c>
      <c r="F2214">
        <v>10252500</v>
      </c>
      <c r="G2214">
        <v>92.06</v>
      </c>
    </row>
    <row r="2215" spans="1:7" x14ac:dyDescent="0.25">
      <c r="A2215" s="5">
        <v>25398</v>
      </c>
      <c r="B2215">
        <v>95.77</v>
      </c>
      <c r="C2215">
        <v>96.71</v>
      </c>
      <c r="D2215">
        <v>93.11</v>
      </c>
      <c r="E2215">
        <v>94.95</v>
      </c>
      <c r="F2215">
        <v>9786000</v>
      </c>
      <c r="G2215">
        <v>94.95</v>
      </c>
    </row>
    <row r="2216" spans="1:7" x14ac:dyDescent="0.25">
      <c r="A2216" s="5">
        <v>25391</v>
      </c>
      <c r="B2216">
        <v>99.61</v>
      </c>
      <c r="C2216">
        <v>100.33</v>
      </c>
      <c r="D2216">
        <v>94.81</v>
      </c>
      <c r="E2216">
        <v>95.77</v>
      </c>
      <c r="F2216">
        <v>10358000</v>
      </c>
      <c r="G2216">
        <v>95.77</v>
      </c>
    </row>
    <row r="2217" spans="1:7" x14ac:dyDescent="0.25">
      <c r="A2217" s="5">
        <v>25384</v>
      </c>
      <c r="B2217">
        <v>97.33</v>
      </c>
      <c r="C2217">
        <v>100.25</v>
      </c>
      <c r="D2217">
        <v>96.82</v>
      </c>
      <c r="E2217">
        <v>99.61</v>
      </c>
      <c r="F2217">
        <v>9997500</v>
      </c>
      <c r="G2217">
        <v>99.61</v>
      </c>
    </row>
    <row r="2218" spans="1:7" x14ac:dyDescent="0.25">
      <c r="A2218" s="5">
        <v>25377</v>
      </c>
      <c r="B2218">
        <v>96.67</v>
      </c>
      <c r="C2218">
        <v>98.3</v>
      </c>
      <c r="D2218">
        <v>95.21</v>
      </c>
      <c r="E2218">
        <v>97.33</v>
      </c>
      <c r="F2218">
        <v>10836000</v>
      </c>
      <c r="G2218">
        <v>97.33</v>
      </c>
    </row>
    <row r="2219" spans="1:7" x14ac:dyDescent="0.25">
      <c r="A2219" s="5">
        <v>25370</v>
      </c>
      <c r="B2219">
        <v>98.65</v>
      </c>
      <c r="C2219">
        <v>99.64</v>
      </c>
      <c r="D2219">
        <v>96.29</v>
      </c>
      <c r="E2219">
        <v>96.67</v>
      </c>
      <c r="F2219">
        <v>11284000</v>
      </c>
      <c r="G2219">
        <v>96.67</v>
      </c>
    </row>
    <row r="2220" spans="1:7" x14ac:dyDescent="0.25">
      <c r="A2220" s="5">
        <v>25363</v>
      </c>
      <c r="B2220">
        <v>102.12</v>
      </c>
      <c r="C2220">
        <v>102.16</v>
      </c>
      <c r="D2220">
        <v>97.59</v>
      </c>
      <c r="E2220">
        <v>98.65</v>
      </c>
      <c r="F2220">
        <v>11962000</v>
      </c>
      <c r="G2220">
        <v>98.65</v>
      </c>
    </row>
    <row r="2221" spans="1:7" x14ac:dyDescent="0.25">
      <c r="A2221" s="5">
        <v>25356</v>
      </c>
      <c r="B2221">
        <v>103.46</v>
      </c>
      <c r="C2221">
        <v>103.75</v>
      </c>
      <c r="D2221">
        <v>101.68</v>
      </c>
      <c r="E2221">
        <v>102.12</v>
      </c>
      <c r="F2221">
        <v>11216000</v>
      </c>
      <c r="G2221">
        <v>102.12</v>
      </c>
    </row>
    <row r="2222" spans="1:7" x14ac:dyDescent="0.25">
      <c r="A2222" s="5">
        <v>25349</v>
      </c>
      <c r="B2222">
        <v>104.59</v>
      </c>
      <c r="C2222">
        <v>105.14</v>
      </c>
      <c r="D2222">
        <v>102.29</v>
      </c>
      <c r="E2222">
        <v>103.46</v>
      </c>
      <c r="F2222">
        <v>10677500</v>
      </c>
      <c r="G2222">
        <v>103.46</v>
      </c>
    </row>
    <row r="2223" spans="1:7" x14ac:dyDescent="0.25">
      <c r="A2223" s="5">
        <v>25342</v>
      </c>
      <c r="B2223">
        <v>105.94</v>
      </c>
      <c r="C2223">
        <v>106.15</v>
      </c>
      <c r="D2223">
        <v>103.37</v>
      </c>
      <c r="E2223">
        <v>104.59</v>
      </c>
      <c r="F2223">
        <v>11356000</v>
      </c>
      <c r="G2223">
        <v>104.59</v>
      </c>
    </row>
    <row r="2224" spans="1:7" x14ac:dyDescent="0.25">
      <c r="A2224" s="5">
        <v>25335</v>
      </c>
      <c r="B2224">
        <v>105.05</v>
      </c>
      <c r="C2224">
        <v>106.74</v>
      </c>
      <c r="D2224">
        <v>104.12</v>
      </c>
      <c r="E2224">
        <v>105.94</v>
      </c>
      <c r="F2224">
        <v>12406000</v>
      </c>
      <c r="G2224">
        <v>105.94</v>
      </c>
    </row>
    <row r="2225" spans="1:7" x14ac:dyDescent="0.25">
      <c r="A2225" s="5">
        <v>25328</v>
      </c>
      <c r="B2225">
        <v>104</v>
      </c>
      <c r="C2225">
        <v>106.01</v>
      </c>
      <c r="D2225">
        <v>103.48</v>
      </c>
      <c r="E2225">
        <v>105.05</v>
      </c>
      <c r="F2225">
        <v>13522000</v>
      </c>
      <c r="G2225">
        <v>105.05</v>
      </c>
    </row>
    <row r="2226" spans="1:7" x14ac:dyDescent="0.25">
      <c r="A2226" s="5">
        <v>25321</v>
      </c>
      <c r="B2226">
        <v>101.72</v>
      </c>
      <c r="C2226">
        <v>104.63</v>
      </c>
      <c r="D2226">
        <v>100.97</v>
      </c>
      <c r="E2226">
        <v>104</v>
      </c>
      <c r="F2226">
        <v>14530000</v>
      </c>
      <c r="G2226">
        <v>104</v>
      </c>
    </row>
    <row r="2227" spans="1:7" x14ac:dyDescent="0.25">
      <c r="A2227" s="5">
        <v>25314</v>
      </c>
      <c r="B2227">
        <v>101.24</v>
      </c>
      <c r="C2227">
        <v>102.29</v>
      </c>
      <c r="D2227">
        <v>99.52</v>
      </c>
      <c r="E2227">
        <v>101.72</v>
      </c>
      <c r="F2227">
        <v>11260000</v>
      </c>
      <c r="G2227">
        <v>101.72</v>
      </c>
    </row>
    <row r="2228" spans="1:7" x14ac:dyDescent="0.25">
      <c r="A2228" s="5">
        <v>25307</v>
      </c>
      <c r="B2228">
        <v>101.65</v>
      </c>
      <c r="C2228">
        <v>102.4</v>
      </c>
      <c r="D2228">
        <v>99.99</v>
      </c>
      <c r="E2228">
        <v>101.24</v>
      </c>
      <c r="F2228">
        <v>9698000</v>
      </c>
      <c r="G2228">
        <v>101.24</v>
      </c>
    </row>
    <row r="2229" spans="1:7" x14ac:dyDescent="0.25">
      <c r="A2229" s="5">
        <v>25300</v>
      </c>
      <c r="B2229">
        <v>100.63</v>
      </c>
      <c r="C2229">
        <v>102.28</v>
      </c>
      <c r="D2229">
        <v>99.08</v>
      </c>
      <c r="E2229">
        <v>101.65</v>
      </c>
      <c r="F2229">
        <v>10834000</v>
      </c>
      <c r="G2229">
        <v>101.65</v>
      </c>
    </row>
    <row r="2230" spans="1:7" x14ac:dyDescent="0.25">
      <c r="A2230" s="5">
        <v>25294</v>
      </c>
      <c r="B2230">
        <v>101.51</v>
      </c>
      <c r="C2230">
        <v>102.45</v>
      </c>
      <c r="D2230">
        <v>99.87</v>
      </c>
      <c r="E2230">
        <v>100.68</v>
      </c>
      <c r="F2230">
        <v>10923300</v>
      </c>
      <c r="G2230">
        <v>100.68</v>
      </c>
    </row>
    <row r="2231" spans="1:7" x14ac:dyDescent="0.25">
      <c r="A2231" s="5">
        <v>25286</v>
      </c>
      <c r="B2231">
        <v>99.63</v>
      </c>
      <c r="C2231">
        <v>102.35</v>
      </c>
      <c r="D2231">
        <v>98.85</v>
      </c>
      <c r="E2231">
        <v>101.51</v>
      </c>
      <c r="F2231">
        <v>10658000</v>
      </c>
      <c r="G2231">
        <v>101.51</v>
      </c>
    </row>
    <row r="2232" spans="1:7" x14ac:dyDescent="0.25">
      <c r="A2232" s="5">
        <v>25279</v>
      </c>
      <c r="B2232">
        <v>98</v>
      </c>
      <c r="C2232">
        <v>100.39</v>
      </c>
      <c r="D2232">
        <v>97.06</v>
      </c>
      <c r="E2232">
        <v>99.63</v>
      </c>
      <c r="F2232">
        <v>10038000</v>
      </c>
      <c r="G2232">
        <v>99.63</v>
      </c>
    </row>
    <row r="2233" spans="1:7" x14ac:dyDescent="0.25">
      <c r="A2233" s="5">
        <v>25272</v>
      </c>
      <c r="B2233">
        <v>98.65</v>
      </c>
      <c r="C2233">
        <v>100.14</v>
      </c>
      <c r="D2233">
        <v>97.4</v>
      </c>
      <c r="E2233">
        <v>98</v>
      </c>
      <c r="F2233">
        <v>9236000</v>
      </c>
      <c r="G2233">
        <v>98</v>
      </c>
    </row>
    <row r="2234" spans="1:7" x14ac:dyDescent="0.25">
      <c r="A2234" s="5">
        <v>25265</v>
      </c>
      <c r="B2234">
        <v>98.13</v>
      </c>
      <c r="C2234">
        <v>100.48</v>
      </c>
      <c r="D2234">
        <v>97.32</v>
      </c>
      <c r="E2234">
        <v>98.65</v>
      </c>
      <c r="F2234">
        <v>9890000</v>
      </c>
      <c r="G2234">
        <v>98.65</v>
      </c>
    </row>
    <row r="2235" spans="1:7" x14ac:dyDescent="0.25">
      <c r="A2235" s="5">
        <v>25258</v>
      </c>
      <c r="B2235">
        <v>99.79</v>
      </c>
      <c r="C2235">
        <v>100.07</v>
      </c>
      <c r="D2235">
        <v>97.36</v>
      </c>
      <c r="E2235">
        <v>98.13</v>
      </c>
      <c r="F2235">
        <v>10094000</v>
      </c>
      <c r="G2235">
        <v>98.13</v>
      </c>
    </row>
    <row r="2236" spans="1:7" x14ac:dyDescent="0.25">
      <c r="A2236" s="5">
        <v>25251</v>
      </c>
      <c r="B2236">
        <v>103.61</v>
      </c>
      <c r="C2236">
        <v>104.03</v>
      </c>
      <c r="D2236">
        <v>99.29</v>
      </c>
      <c r="E2236">
        <v>99.79</v>
      </c>
      <c r="F2236">
        <v>11385000</v>
      </c>
      <c r="G2236">
        <v>99.79</v>
      </c>
    </row>
    <row r="2237" spans="1:7" x14ac:dyDescent="0.25">
      <c r="A2237" s="5">
        <v>25245</v>
      </c>
      <c r="B2237">
        <v>103.53</v>
      </c>
      <c r="C2237">
        <v>104.61</v>
      </c>
      <c r="D2237">
        <v>102.86</v>
      </c>
      <c r="E2237">
        <v>103.61</v>
      </c>
      <c r="F2237">
        <v>11830000</v>
      </c>
      <c r="G2237">
        <v>103.61</v>
      </c>
    </row>
    <row r="2238" spans="1:7" x14ac:dyDescent="0.25">
      <c r="A2238" s="5">
        <v>25237</v>
      </c>
      <c r="B2238">
        <v>103.01</v>
      </c>
      <c r="C2238">
        <v>104.3</v>
      </c>
      <c r="D2238">
        <v>102.04</v>
      </c>
      <c r="E2238">
        <v>103.53</v>
      </c>
      <c r="F2238">
        <v>12832000</v>
      </c>
      <c r="G2238">
        <v>103.53</v>
      </c>
    </row>
    <row r="2239" spans="1:7" x14ac:dyDescent="0.25">
      <c r="A2239" s="5">
        <v>25230</v>
      </c>
      <c r="B2239">
        <v>102.38</v>
      </c>
      <c r="C2239">
        <v>103.64</v>
      </c>
      <c r="D2239">
        <v>101.56</v>
      </c>
      <c r="E2239">
        <v>103.01</v>
      </c>
      <c r="F2239">
        <v>11918000</v>
      </c>
      <c r="G2239">
        <v>103.01</v>
      </c>
    </row>
    <row r="2240" spans="1:7" x14ac:dyDescent="0.25">
      <c r="A2240" s="5">
        <v>25223</v>
      </c>
      <c r="B2240">
        <v>102.03</v>
      </c>
      <c r="C2240">
        <v>103.23</v>
      </c>
      <c r="D2240">
        <v>100.88</v>
      </c>
      <c r="E2240">
        <v>102.38</v>
      </c>
      <c r="F2240">
        <v>11800000</v>
      </c>
      <c r="G2240">
        <v>102.38</v>
      </c>
    </row>
    <row r="2241" spans="1:7" x14ac:dyDescent="0.25">
      <c r="A2241" s="5">
        <v>25216</v>
      </c>
      <c r="B2241">
        <v>100.93</v>
      </c>
      <c r="C2241">
        <v>103.25</v>
      </c>
      <c r="D2241">
        <v>96.63</v>
      </c>
      <c r="E2241">
        <v>102.03</v>
      </c>
      <c r="F2241">
        <v>11676000</v>
      </c>
      <c r="G2241">
        <v>102.03</v>
      </c>
    </row>
    <row r="2242" spans="1:7" x14ac:dyDescent="0.25">
      <c r="A2242" s="5">
        <v>25209</v>
      </c>
      <c r="B2242">
        <v>103.99</v>
      </c>
      <c r="C2242">
        <v>104.36</v>
      </c>
      <c r="D2242">
        <v>100.14</v>
      </c>
      <c r="E2242">
        <v>100.93</v>
      </c>
      <c r="F2242">
        <v>13416000</v>
      </c>
      <c r="G2242">
        <v>100.93</v>
      </c>
    </row>
    <row r="2243" spans="1:7" x14ac:dyDescent="0.25">
      <c r="A2243" s="5">
        <v>25202</v>
      </c>
      <c r="B2243">
        <v>104.74</v>
      </c>
      <c r="C2243">
        <v>104.99</v>
      </c>
      <c r="D2243">
        <v>102.98</v>
      </c>
      <c r="E2243">
        <v>103.99</v>
      </c>
      <c r="F2243">
        <v>11940000</v>
      </c>
      <c r="G2243">
        <v>103.99</v>
      </c>
    </row>
    <row r="2244" spans="1:7" x14ac:dyDescent="0.25">
      <c r="A2244" s="5">
        <v>25195</v>
      </c>
      <c r="B2244">
        <v>106.34</v>
      </c>
      <c r="C2244">
        <v>106.68</v>
      </c>
      <c r="D2244">
        <v>104.2</v>
      </c>
      <c r="E2244">
        <v>104.74</v>
      </c>
      <c r="F2244">
        <v>11345000</v>
      </c>
      <c r="G2244">
        <v>104.74</v>
      </c>
    </row>
    <row r="2245" spans="1:7" x14ac:dyDescent="0.25">
      <c r="A2245" s="5">
        <v>25188</v>
      </c>
      <c r="B2245">
        <v>107.58</v>
      </c>
      <c r="C2245">
        <v>108.4</v>
      </c>
      <c r="D2245">
        <v>105.1</v>
      </c>
      <c r="E2245">
        <v>106.34</v>
      </c>
      <c r="F2245">
        <v>16547500</v>
      </c>
      <c r="G2245">
        <v>106.34</v>
      </c>
    </row>
    <row r="2246" spans="1:7" x14ac:dyDescent="0.25">
      <c r="A2246" s="5">
        <v>25181</v>
      </c>
      <c r="B2246">
        <v>107.93</v>
      </c>
      <c r="C2246">
        <v>108.77</v>
      </c>
      <c r="D2246">
        <v>106.33</v>
      </c>
      <c r="E2246">
        <v>107.58</v>
      </c>
      <c r="F2246">
        <v>16300000</v>
      </c>
      <c r="G2246">
        <v>107.58</v>
      </c>
    </row>
    <row r="2247" spans="1:7" x14ac:dyDescent="0.25">
      <c r="A2247" s="5">
        <v>25174</v>
      </c>
      <c r="B2247">
        <v>108.37</v>
      </c>
      <c r="C2247">
        <v>109.37</v>
      </c>
      <c r="D2247">
        <v>106.71</v>
      </c>
      <c r="E2247">
        <v>107.93</v>
      </c>
      <c r="F2247">
        <v>16375000</v>
      </c>
      <c r="G2247">
        <v>107.93</v>
      </c>
    </row>
    <row r="2248" spans="1:7" x14ac:dyDescent="0.25">
      <c r="A2248" s="5">
        <v>25167</v>
      </c>
      <c r="B2248">
        <v>106.3</v>
      </c>
      <c r="C2248">
        <v>109.09</v>
      </c>
      <c r="D2248">
        <v>105.47</v>
      </c>
      <c r="E2248">
        <v>108.37</v>
      </c>
      <c r="F2248">
        <v>15447500</v>
      </c>
      <c r="G2248">
        <v>108.37</v>
      </c>
    </row>
    <row r="2249" spans="1:7" x14ac:dyDescent="0.25">
      <c r="A2249" s="5">
        <v>25160</v>
      </c>
      <c r="B2249">
        <v>105.78</v>
      </c>
      <c r="C2249">
        <v>106.89</v>
      </c>
      <c r="D2249">
        <v>104.85</v>
      </c>
      <c r="E2249">
        <v>106.3</v>
      </c>
      <c r="F2249">
        <v>15812500</v>
      </c>
      <c r="G2249">
        <v>106.3</v>
      </c>
    </row>
    <row r="2250" spans="1:7" x14ac:dyDescent="0.25">
      <c r="A2250" s="5">
        <v>25154</v>
      </c>
      <c r="B2250">
        <v>103.95</v>
      </c>
      <c r="C2250">
        <v>106.44</v>
      </c>
      <c r="D2250">
        <v>103.51</v>
      </c>
      <c r="E2250">
        <v>105.78</v>
      </c>
      <c r="F2250">
        <v>15712500</v>
      </c>
      <c r="G2250">
        <v>105.78</v>
      </c>
    </row>
    <row r="2251" spans="1:7" x14ac:dyDescent="0.25">
      <c r="A2251" s="5">
        <v>25146</v>
      </c>
      <c r="B2251">
        <v>103.06</v>
      </c>
      <c r="C2251">
        <v>104.59</v>
      </c>
      <c r="D2251">
        <v>101.85</v>
      </c>
      <c r="E2251">
        <v>103.95</v>
      </c>
      <c r="F2251">
        <v>12370000</v>
      </c>
      <c r="G2251">
        <v>103.95</v>
      </c>
    </row>
    <row r="2252" spans="1:7" x14ac:dyDescent="0.25">
      <c r="A2252" s="5">
        <v>25139</v>
      </c>
      <c r="B2252">
        <v>104.2</v>
      </c>
      <c r="C2252">
        <v>104.89</v>
      </c>
      <c r="D2252">
        <v>102.36</v>
      </c>
      <c r="E2252">
        <v>103.06</v>
      </c>
      <c r="F2252">
        <v>14052500</v>
      </c>
      <c r="G2252">
        <v>103.06</v>
      </c>
    </row>
    <row r="2253" spans="1:7" x14ac:dyDescent="0.25">
      <c r="A2253" s="5">
        <v>25132</v>
      </c>
      <c r="B2253">
        <v>104.82</v>
      </c>
      <c r="C2253">
        <v>105.78</v>
      </c>
      <c r="D2253">
        <v>103.14</v>
      </c>
      <c r="E2253">
        <v>104.2</v>
      </c>
      <c r="F2253">
        <v>15200000</v>
      </c>
      <c r="G2253">
        <v>104.2</v>
      </c>
    </row>
    <row r="2254" spans="1:7" x14ac:dyDescent="0.25">
      <c r="A2254" s="5">
        <v>25125</v>
      </c>
      <c r="B2254">
        <v>103.18</v>
      </c>
      <c r="C2254">
        <v>105.34</v>
      </c>
      <c r="D2254">
        <v>102.48</v>
      </c>
      <c r="E2254">
        <v>104.82</v>
      </c>
      <c r="F2254">
        <v>15395000</v>
      </c>
      <c r="G2254">
        <v>104.82</v>
      </c>
    </row>
    <row r="2255" spans="1:7" x14ac:dyDescent="0.25">
      <c r="A2255" s="5">
        <v>25118</v>
      </c>
      <c r="B2255">
        <v>103.71</v>
      </c>
      <c r="C2255">
        <v>104.45</v>
      </c>
      <c r="D2255">
        <v>102.39</v>
      </c>
      <c r="E2255">
        <v>103.18</v>
      </c>
      <c r="F2255">
        <v>14017500</v>
      </c>
      <c r="G2255">
        <v>103.18</v>
      </c>
    </row>
    <row r="2256" spans="1:7" x14ac:dyDescent="0.25">
      <c r="A2256" s="5">
        <v>25111</v>
      </c>
      <c r="B2256">
        <v>102.31</v>
      </c>
      <c r="C2256">
        <v>104.35</v>
      </c>
      <c r="D2256">
        <v>101.71</v>
      </c>
      <c r="E2256">
        <v>103.71</v>
      </c>
      <c r="F2256">
        <v>16407500</v>
      </c>
      <c r="G2256">
        <v>103.71</v>
      </c>
    </row>
    <row r="2257" spans="1:7" x14ac:dyDescent="0.25">
      <c r="A2257" s="5">
        <v>25104</v>
      </c>
      <c r="B2257">
        <v>101.66</v>
      </c>
      <c r="C2257">
        <v>103.63</v>
      </c>
      <c r="D2257">
        <v>101.2</v>
      </c>
      <c r="E2257">
        <v>102.31</v>
      </c>
      <c r="F2257">
        <v>14892500</v>
      </c>
      <c r="G2257">
        <v>102.31</v>
      </c>
    </row>
    <row r="2258" spans="1:7" x14ac:dyDescent="0.25">
      <c r="A2258" s="5">
        <v>25097</v>
      </c>
      <c r="B2258">
        <v>100.86</v>
      </c>
      <c r="C2258">
        <v>102.53</v>
      </c>
      <c r="D2258">
        <v>100.33</v>
      </c>
      <c r="E2258">
        <v>101.66</v>
      </c>
      <c r="F2258">
        <v>14820000</v>
      </c>
      <c r="G2258">
        <v>101.66</v>
      </c>
    </row>
    <row r="2259" spans="1:7" x14ac:dyDescent="0.25">
      <c r="A2259" s="5">
        <v>25090</v>
      </c>
      <c r="B2259">
        <v>101.2</v>
      </c>
      <c r="C2259">
        <v>102.09</v>
      </c>
      <c r="D2259">
        <v>99.7</v>
      </c>
      <c r="E2259">
        <v>100.86</v>
      </c>
      <c r="F2259">
        <v>12755000</v>
      </c>
      <c r="G2259">
        <v>100.86</v>
      </c>
    </row>
    <row r="2260" spans="1:7" x14ac:dyDescent="0.25">
      <c r="A2260" s="5">
        <v>25084</v>
      </c>
      <c r="B2260">
        <v>98.86</v>
      </c>
      <c r="C2260">
        <v>101.88</v>
      </c>
      <c r="D2260">
        <v>98.31</v>
      </c>
      <c r="E2260">
        <v>101.2</v>
      </c>
      <c r="F2260">
        <v>11205000</v>
      </c>
      <c r="G2260">
        <v>101.2</v>
      </c>
    </row>
    <row r="2261" spans="1:7" x14ac:dyDescent="0.25">
      <c r="A2261" s="5">
        <v>25076</v>
      </c>
      <c r="B2261">
        <v>98.69</v>
      </c>
      <c r="C2261">
        <v>99.67</v>
      </c>
      <c r="D2261">
        <v>97.9</v>
      </c>
      <c r="E2261">
        <v>98.86</v>
      </c>
      <c r="F2261">
        <v>9645000</v>
      </c>
      <c r="G2261">
        <v>98.86</v>
      </c>
    </row>
    <row r="2262" spans="1:7" x14ac:dyDescent="0.25">
      <c r="A2262" s="5">
        <v>25069</v>
      </c>
      <c r="B2262">
        <v>98.68</v>
      </c>
      <c r="C2262">
        <v>99.65</v>
      </c>
      <c r="D2262">
        <v>97.71</v>
      </c>
      <c r="E2262">
        <v>98.69</v>
      </c>
      <c r="F2262">
        <v>11392500</v>
      </c>
      <c r="G2262">
        <v>98.69</v>
      </c>
    </row>
    <row r="2263" spans="1:7" x14ac:dyDescent="0.25">
      <c r="A2263" s="5">
        <v>25062</v>
      </c>
      <c r="B2263">
        <v>97.01</v>
      </c>
      <c r="C2263">
        <v>99.36</v>
      </c>
      <c r="D2263">
        <v>96.72</v>
      </c>
      <c r="E2263">
        <v>98.68</v>
      </c>
      <c r="F2263">
        <v>11450000</v>
      </c>
      <c r="G2263">
        <v>98.68</v>
      </c>
    </row>
    <row r="2264" spans="1:7" x14ac:dyDescent="0.25">
      <c r="A2264" s="5">
        <v>25055</v>
      </c>
      <c r="B2264">
        <v>96.63</v>
      </c>
      <c r="C2264">
        <v>98.32</v>
      </c>
      <c r="D2264">
        <v>95.95</v>
      </c>
      <c r="E2264">
        <v>97.01</v>
      </c>
      <c r="F2264">
        <v>9945000</v>
      </c>
      <c r="G2264">
        <v>97.01</v>
      </c>
    </row>
    <row r="2265" spans="1:7" x14ac:dyDescent="0.25">
      <c r="A2265" s="5">
        <v>25048</v>
      </c>
      <c r="B2265">
        <v>98.34</v>
      </c>
      <c r="C2265">
        <v>98.82</v>
      </c>
      <c r="D2265">
        <v>95.79</v>
      </c>
      <c r="E2265">
        <v>96.63</v>
      </c>
      <c r="F2265">
        <v>11357500</v>
      </c>
      <c r="G2265">
        <v>96.63</v>
      </c>
    </row>
    <row r="2266" spans="1:7" x14ac:dyDescent="0.25">
      <c r="A2266" s="5">
        <v>25041</v>
      </c>
      <c r="B2266">
        <v>100.46</v>
      </c>
      <c r="C2266">
        <v>100.88</v>
      </c>
      <c r="D2266">
        <v>97.22</v>
      </c>
      <c r="E2266">
        <v>98.34</v>
      </c>
      <c r="F2266">
        <v>13732500</v>
      </c>
      <c r="G2266">
        <v>98.34</v>
      </c>
    </row>
    <row r="2267" spans="1:7" x14ac:dyDescent="0.25">
      <c r="A2267" s="5">
        <v>25034</v>
      </c>
      <c r="B2267">
        <v>102.34</v>
      </c>
      <c r="C2267">
        <v>103.15</v>
      </c>
      <c r="D2267">
        <v>99.8</v>
      </c>
      <c r="E2267">
        <v>100.46</v>
      </c>
      <c r="F2267">
        <v>14702500</v>
      </c>
      <c r="G2267">
        <v>100.46</v>
      </c>
    </row>
    <row r="2268" spans="1:7" x14ac:dyDescent="0.25">
      <c r="A2268" s="5">
        <v>25027</v>
      </c>
      <c r="B2268">
        <v>100.91</v>
      </c>
      <c r="C2268">
        <v>103.67</v>
      </c>
      <c r="D2268">
        <v>100.72</v>
      </c>
      <c r="E2268">
        <v>102.34</v>
      </c>
      <c r="F2268">
        <v>17125000</v>
      </c>
      <c r="G2268">
        <v>102.34</v>
      </c>
    </row>
    <row r="2269" spans="1:7" x14ac:dyDescent="0.25">
      <c r="A2269" s="5">
        <v>25020</v>
      </c>
      <c r="B2269">
        <v>99.58</v>
      </c>
      <c r="C2269">
        <v>101.36</v>
      </c>
      <c r="D2269">
        <v>98.6</v>
      </c>
      <c r="E2269">
        <v>100.91</v>
      </c>
      <c r="F2269">
        <v>13006600</v>
      </c>
      <c r="G2269">
        <v>100.91</v>
      </c>
    </row>
    <row r="2270" spans="1:7" x14ac:dyDescent="0.25">
      <c r="A2270" s="5">
        <v>25013</v>
      </c>
      <c r="B2270">
        <v>100.66</v>
      </c>
      <c r="C2270">
        <v>101.48</v>
      </c>
      <c r="D2270">
        <v>98.91</v>
      </c>
      <c r="E2270">
        <v>99.58</v>
      </c>
      <c r="F2270">
        <v>13232500</v>
      </c>
      <c r="G2270">
        <v>99.58</v>
      </c>
    </row>
    <row r="2271" spans="1:7" x14ac:dyDescent="0.25">
      <c r="A2271" s="5">
        <v>25006</v>
      </c>
      <c r="B2271">
        <v>101.13</v>
      </c>
      <c r="C2271">
        <v>101.71</v>
      </c>
      <c r="D2271">
        <v>99.43</v>
      </c>
      <c r="E2271">
        <v>100.66</v>
      </c>
      <c r="F2271">
        <v>13985000</v>
      </c>
      <c r="G2271">
        <v>100.66</v>
      </c>
    </row>
    <row r="2272" spans="1:7" x14ac:dyDescent="0.25">
      <c r="A2272" s="5">
        <v>24999</v>
      </c>
      <c r="B2272">
        <v>101.27</v>
      </c>
      <c r="C2272">
        <v>102.84</v>
      </c>
      <c r="D2272">
        <v>99.98</v>
      </c>
      <c r="E2272">
        <v>101.13</v>
      </c>
      <c r="F2272">
        <v>16595000</v>
      </c>
      <c r="G2272">
        <v>101.13</v>
      </c>
    </row>
    <row r="2273" spans="1:7" x14ac:dyDescent="0.25">
      <c r="A2273" s="5">
        <v>24992</v>
      </c>
      <c r="B2273">
        <v>98.72</v>
      </c>
      <c r="C2273">
        <v>101.89</v>
      </c>
      <c r="D2273">
        <v>98.72</v>
      </c>
      <c r="E2273">
        <v>101.27</v>
      </c>
      <c r="F2273">
        <v>16408000</v>
      </c>
      <c r="G2273">
        <v>101.27</v>
      </c>
    </row>
    <row r="2274" spans="1:7" x14ac:dyDescent="0.25">
      <c r="A2274" s="5">
        <v>24985</v>
      </c>
      <c r="B2274">
        <v>97.15</v>
      </c>
      <c r="C2274">
        <v>99.4</v>
      </c>
      <c r="D2274">
        <v>96.29</v>
      </c>
      <c r="E2274">
        <v>98.68</v>
      </c>
      <c r="F2274">
        <v>13440000</v>
      </c>
      <c r="G2274">
        <v>98.68</v>
      </c>
    </row>
    <row r="2275" spans="1:7" x14ac:dyDescent="0.25">
      <c r="A2275" s="5">
        <v>24978</v>
      </c>
      <c r="B2275">
        <v>96.9</v>
      </c>
      <c r="C2275">
        <v>98.17</v>
      </c>
      <c r="D2275">
        <v>95.8</v>
      </c>
      <c r="E2275">
        <v>97.15</v>
      </c>
      <c r="F2275">
        <v>12936000</v>
      </c>
      <c r="G2275">
        <v>97.15</v>
      </c>
    </row>
    <row r="2276" spans="1:7" x14ac:dyDescent="0.25">
      <c r="A2276" s="5">
        <v>24971</v>
      </c>
      <c r="B2276">
        <v>98.5</v>
      </c>
      <c r="C2276">
        <v>99.1</v>
      </c>
      <c r="D2276">
        <v>96.11</v>
      </c>
      <c r="E2276">
        <v>96.9</v>
      </c>
      <c r="F2276">
        <v>12612000</v>
      </c>
      <c r="G2276">
        <v>96.9</v>
      </c>
    </row>
    <row r="2277" spans="1:7" x14ac:dyDescent="0.25">
      <c r="A2277" s="5">
        <v>24964</v>
      </c>
      <c r="B2277">
        <v>98.66</v>
      </c>
      <c r="C2277">
        <v>99.74</v>
      </c>
      <c r="D2277">
        <v>97.27</v>
      </c>
      <c r="E2277">
        <v>98.5</v>
      </c>
      <c r="F2277">
        <v>12758000</v>
      </c>
      <c r="G2277">
        <v>98.5</v>
      </c>
    </row>
    <row r="2278" spans="1:7" x14ac:dyDescent="0.25">
      <c r="A2278" s="5">
        <v>24957</v>
      </c>
      <c r="B2278">
        <v>97.21</v>
      </c>
      <c r="C2278">
        <v>100.19</v>
      </c>
      <c r="D2278">
        <v>96.58</v>
      </c>
      <c r="E2278">
        <v>98.66</v>
      </c>
      <c r="F2278">
        <v>14620000</v>
      </c>
      <c r="G2278">
        <v>98.66</v>
      </c>
    </row>
    <row r="2279" spans="1:7" x14ac:dyDescent="0.25">
      <c r="A2279" s="5">
        <v>24950</v>
      </c>
      <c r="B2279">
        <v>95.85</v>
      </c>
      <c r="C2279">
        <v>97.83</v>
      </c>
      <c r="D2279">
        <v>94.22</v>
      </c>
      <c r="E2279">
        <v>97.21</v>
      </c>
      <c r="F2279">
        <v>13694000</v>
      </c>
      <c r="G2279">
        <v>97.21</v>
      </c>
    </row>
    <row r="2280" spans="1:7" x14ac:dyDescent="0.25">
      <c r="A2280" s="5">
        <v>24943</v>
      </c>
      <c r="B2280">
        <v>96.53</v>
      </c>
      <c r="C2280">
        <v>97.89</v>
      </c>
      <c r="D2280">
        <v>95.15</v>
      </c>
      <c r="E2280">
        <v>95.85</v>
      </c>
      <c r="F2280">
        <v>14888000</v>
      </c>
      <c r="G2280">
        <v>95.85</v>
      </c>
    </row>
    <row r="2281" spans="1:7" x14ac:dyDescent="0.25">
      <c r="A2281" s="5">
        <v>24936</v>
      </c>
      <c r="B2281">
        <v>93.29</v>
      </c>
      <c r="C2281">
        <v>97.11</v>
      </c>
      <c r="D2281">
        <v>93.11</v>
      </c>
      <c r="E2281">
        <v>96.53</v>
      </c>
      <c r="F2281">
        <v>15883300</v>
      </c>
      <c r="G2281">
        <v>96.53</v>
      </c>
    </row>
    <row r="2282" spans="1:7" x14ac:dyDescent="0.25">
      <c r="A2282" s="5">
        <v>24929</v>
      </c>
      <c r="B2282">
        <v>91.11</v>
      </c>
      <c r="C2282">
        <v>95.13</v>
      </c>
      <c r="D2282">
        <v>91.11</v>
      </c>
      <c r="E2282">
        <v>93.29</v>
      </c>
      <c r="F2282">
        <v>15690000</v>
      </c>
      <c r="G2282">
        <v>93.29</v>
      </c>
    </row>
    <row r="2283" spans="1:7" x14ac:dyDescent="0.25">
      <c r="A2283" s="5">
        <v>24922</v>
      </c>
      <c r="B2283">
        <v>88.42</v>
      </c>
      <c r="C2283">
        <v>90.92</v>
      </c>
      <c r="D2283">
        <v>87.65</v>
      </c>
      <c r="E2283">
        <v>90.2</v>
      </c>
      <c r="F2283">
        <v>8268000</v>
      </c>
      <c r="G2283">
        <v>90.2</v>
      </c>
    </row>
    <row r="2284" spans="1:7" x14ac:dyDescent="0.25">
      <c r="A2284" s="5">
        <v>24915</v>
      </c>
      <c r="B2284">
        <v>89.11</v>
      </c>
      <c r="C2284">
        <v>91.09</v>
      </c>
      <c r="D2284">
        <v>87.5</v>
      </c>
      <c r="E2284">
        <v>88.42</v>
      </c>
      <c r="F2284">
        <v>8816000</v>
      </c>
      <c r="G2284">
        <v>88.42</v>
      </c>
    </row>
    <row r="2285" spans="1:7" x14ac:dyDescent="0.25">
      <c r="A2285" s="5">
        <v>24908</v>
      </c>
      <c r="B2285">
        <v>89.03</v>
      </c>
      <c r="C2285">
        <v>90.78</v>
      </c>
      <c r="D2285">
        <v>87.61</v>
      </c>
      <c r="E2285">
        <v>89.1</v>
      </c>
      <c r="F2285">
        <v>10122000</v>
      </c>
      <c r="G2285">
        <v>89.1</v>
      </c>
    </row>
    <row r="2286" spans="1:7" x14ac:dyDescent="0.25">
      <c r="A2286" s="5">
        <v>24901</v>
      </c>
      <c r="B2286">
        <v>89.11</v>
      </c>
      <c r="C2286">
        <v>89.98</v>
      </c>
      <c r="D2286">
        <v>86.99</v>
      </c>
      <c r="E2286">
        <v>89.03</v>
      </c>
      <c r="F2286">
        <v>9594000</v>
      </c>
      <c r="G2286">
        <v>89.03</v>
      </c>
    </row>
    <row r="2287" spans="1:7" x14ac:dyDescent="0.25">
      <c r="A2287" s="5">
        <v>24894</v>
      </c>
      <c r="B2287">
        <v>90.89</v>
      </c>
      <c r="C2287">
        <v>91.19</v>
      </c>
      <c r="D2287">
        <v>88.58</v>
      </c>
      <c r="E2287">
        <v>89.11</v>
      </c>
      <c r="F2287">
        <v>7948000</v>
      </c>
      <c r="G2287">
        <v>89.11</v>
      </c>
    </row>
    <row r="2288" spans="1:7" x14ac:dyDescent="0.25">
      <c r="A2288" s="5">
        <v>24887</v>
      </c>
      <c r="B2288">
        <v>89.96</v>
      </c>
      <c r="C2288">
        <v>91.87</v>
      </c>
      <c r="D2288">
        <v>89.42</v>
      </c>
      <c r="E2288">
        <v>90.89</v>
      </c>
      <c r="F2288">
        <v>8512500</v>
      </c>
      <c r="G2288">
        <v>90.89</v>
      </c>
    </row>
    <row r="2289" spans="1:7" x14ac:dyDescent="0.25">
      <c r="A2289" s="5">
        <v>24881</v>
      </c>
      <c r="B2289">
        <v>89.86</v>
      </c>
      <c r="C2289">
        <v>90.62</v>
      </c>
      <c r="D2289">
        <v>86.73</v>
      </c>
      <c r="E2289">
        <v>89.96</v>
      </c>
      <c r="F2289">
        <v>10265000</v>
      </c>
      <c r="G2289">
        <v>89.96</v>
      </c>
    </row>
    <row r="2290" spans="1:7" x14ac:dyDescent="0.25">
      <c r="A2290" s="5">
        <v>24873</v>
      </c>
      <c r="B2290">
        <v>92.27</v>
      </c>
      <c r="C2290">
        <v>92.74</v>
      </c>
      <c r="D2290">
        <v>89.23</v>
      </c>
      <c r="E2290">
        <v>89.86</v>
      </c>
      <c r="F2290">
        <v>9486000</v>
      </c>
      <c r="G2290">
        <v>89.86</v>
      </c>
    </row>
    <row r="2291" spans="1:7" x14ac:dyDescent="0.25">
      <c r="A2291" s="5">
        <v>24866</v>
      </c>
      <c r="B2291">
        <v>93.45</v>
      </c>
      <c r="C2291">
        <v>94.38</v>
      </c>
      <c r="D2291">
        <v>91.27</v>
      </c>
      <c r="E2291">
        <v>92.27</v>
      </c>
      <c r="F2291">
        <v>10036000</v>
      </c>
      <c r="G2291">
        <v>92.27</v>
      </c>
    </row>
    <row r="2292" spans="1:7" x14ac:dyDescent="0.25">
      <c r="A2292" s="5">
        <v>24859</v>
      </c>
      <c r="B2292">
        <v>95.24</v>
      </c>
      <c r="C2292">
        <v>95.4</v>
      </c>
      <c r="D2292">
        <v>91.96</v>
      </c>
      <c r="E2292">
        <v>93.45</v>
      </c>
      <c r="F2292">
        <v>10924000</v>
      </c>
      <c r="G2292">
        <v>93.45</v>
      </c>
    </row>
    <row r="2293" spans="1:7" x14ac:dyDescent="0.25">
      <c r="A2293" s="5">
        <v>24852</v>
      </c>
      <c r="B2293">
        <v>96.72</v>
      </c>
      <c r="C2293">
        <v>97.46</v>
      </c>
      <c r="D2293">
        <v>94.6</v>
      </c>
      <c r="E2293">
        <v>95.24</v>
      </c>
      <c r="F2293">
        <v>12736000</v>
      </c>
      <c r="G2293">
        <v>95.24</v>
      </c>
    </row>
    <row r="2294" spans="1:7" x14ac:dyDescent="0.25">
      <c r="A2294" s="5">
        <v>24845</v>
      </c>
      <c r="B2294">
        <v>95.94</v>
      </c>
      <c r="C2294">
        <v>97.84</v>
      </c>
      <c r="D2294">
        <v>95.54</v>
      </c>
      <c r="E2294">
        <v>96.72</v>
      </c>
      <c r="F2294">
        <v>13190000</v>
      </c>
      <c r="G2294">
        <v>96.72</v>
      </c>
    </row>
    <row r="2295" spans="1:7" x14ac:dyDescent="0.25">
      <c r="A2295" s="5">
        <v>24839</v>
      </c>
      <c r="B2295">
        <v>96.47</v>
      </c>
      <c r="C2295">
        <v>97.33</v>
      </c>
      <c r="D2295">
        <v>94.31</v>
      </c>
      <c r="E2295">
        <v>95.94</v>
      </c>
      <c r="F2295">
        <v>12262500</v>
      </c>
      <c r="G2295">
        <v>95.94</v>
      </c>
    </row>
    <row r="2296" spans="1:7" x14ac:dyDescent="0.25">
      <c r="A2296" s="5">
        <v>24832</v>
      </c>
      <c r="B2296">
        <v>95.2</v>
      </c>
      <c r="C2296">
        <v>96.9</v>
      </c>
      <c r="D2296">
        <v>94.61</v>
      </c>
      <c r="E2296">
        <v>96.47</v>
      </c>
      <c r="F2296">
        <v>12330000</v>
      </c>
      <c r="G2296">
        <v>96.47</v>
      </c>
    </row>
    <row r="2297" spans="1:7" x14ac:dyDescent="0.25">
      <c r="A2297" s="5">
        <v>24824</v>
      </c>
      <c r="B2297">
        <v>95.03</v>
      </c>
      <c r="C2297">
        <v>96.25</v>
      </c>
      <c r="D2297">
        <v>94</v>
      </c>
      <c r="E2297">
        <v>95.2</v>
      </c>
      <c r="F2297">
        <v>10580000</v>
      </c>
      <c r="G2297">
        <v>95.2</v>
      </c>
    </row>
    <row r="2298" spans="1:7" x14ac:dyDescent="0.25">
      <c r="A2298" s="5">
        <v>24817</v>
      </c>
      <c r="B2298">
        <v>95.42</v>
      </c>
      <c r="C2298">
        <v>96.35</v>
      </c>
      <c r="D2298">
        <v>94.34</v>
      </c>
      <c r="E2298">
        <v>95.03</v>
      </c>
      <c r="F2298">
        <v>11536000</v>
      </c>
      <c r="G2298">
        <v>95.03</v>
      </c>
    </row>
    <row r="2299" spans="1:7" x14ac:dyDescent="0.25">
      <c r="A2299" s="5">
        <v>24810</v>
      </c>
      <c r="B2299">
        <v>94.5</v>
      </c>
      <c r="C2299">
        <v>96.67</v>
      </c>
      <c r="D2299">
        <v>94.09</v>
      </c>
      <c r="E2299">
        <v>95.42</v>
      </c>
      <c r="F2299">
        <v>11964000</v>
      </c>
      <c r="G2299">
        <v>95.42</v>
      </c>
    </row>
    <row r="2300" spans="1:7" x14ac:dyDescent="0.25">
      <c r="A2300" s="5">
        <v>24803</v>
      </c>
      <c r="B2300">
        <v>93.9</v>
      </c>
      <c r="C2300">
        <v>95.51</v>
      </c>
      <c r="D2300">
        <v>93.32</v>
      </c>
      <c r="E2300">
        <v>94.5</v>
      </c>
      <c r="F2300">
        <v>10216000</v>
      </c>
      <c r="G2300">
        <v>94.5</v>
      </c>
    </row>
    <row r="2301" spans="1:7" x14ac:dyDescent="0.25">
      <c r="A2301" s="5">
        <v>24796</v>
      </c>
      <c r="B2301">
        <v>92.38</v>
      </c>
      <c r="C2301">
        <v>94.46</v>
      </c>
      <c r="D2301">
        <v>90.09</v>
      </c>
      <c r="E2301">
        <v>93.9</v>
      </c>
      <c r="F2301">
        <v>11675000</v>
      </c>
      <c r="G2301">
        <v>93.9</v>
      </c>
    </row>
    <row r="2302" spans="1:7" x14ac:dyDescent="0.25">
      <c r="A2302" s="5">
        <v>24789</v>
      </c>
      <c r="B2302">
        <v>92.21</v>
      </c>
      <c r="C2302">
        <v>93.62</v>
      </c>
      <c r="D2302">
        <v>90.44</v>
      </c>
      <c r="E2302">
        <v>92.82</v>
      </c>
      <c r="F2302">
        <v>10220000</v>
      </c>
      <c r="G2302">
        <v>92.82</v>
      </c>
    </row>
    <row r="2303" spans="1:7" x14ac:dyDescent="0.25">
      <c r="A2303" s="5">
        <v>24782</v>
      </c>
      <c r="B2303">
        <v>91.78</v>
      </c>
      <c r="C2303">
        <v>93.07</v>
      </c>
      <c r="D2303">
        <v>90.39</v>
      </c>
      <c r="E2303">
        <v>92.21</v>
      </c>
      <c r="F2303">
        <v>10450000</v>
      </c>
      <c r="G2303">
        <v>92.21</v>
      </c>
    </row>
    <row r="2304" spans="1:7" x14ac:dyDescent="0.25">
      <c r="A2304" s="5">
        <v>24775</v>
      </c>
      <c r="B2304">
        <v>94.96</v>
      </c>
      <c r="C2304">
        <v>95.67</v>
      </c>
      <c r="D2304">
        <v>91.33</v>
      </c>
      <c r="E2304">
        <v>91.78</v>
      </c>
      <c r="F2304">
        <v>10552000</v>
      </c>
      <c r="G2304">
        <v>91.78</v>
      </c>
    </row>
    <row r="2305" spans="1:7" x14ac:dyDescent="0.25">
      <c r="A2305" s="5">
        <v>24768</v>
      </c>
      <c r="B2305">
        <v>95.38</v>
      </c>
      <c r="C2305">
        <v>95.98</v>
      </c>
      <c r="D2305">
        <v>93.47</v>
      </c>
      <c r="E2305">
        <v>94.96</v>
      </c>
      <c r="F2305">
        <v>10178000</v>
      </c>
      <c r="G2305">
        <v>94.96</v>
      </c>
    </row>
    <row r="2306" spans="1:7" x14ac:dyDescent="0.25">
      <c r="A2306" s="5">
        <v>24761</v>
      </c>
      <c r="B2306">
        <v>96</v>
      </c>
      <c r="C2306">
        <v>96.55</v>
      </c>
      <c r="D2306">
        <v>94.19</v>
      </c>
      <c r="E2306">
        <v>95.38</v>
      </c>
      <c r="F2306">
        <v>10200000</v>
      </c>
      <c r="G2306">
        <v>95.38</v>
      </c>
    </row>
    <row r="2307" spans="1:7" x14ac:dyDescent="0.25">
      <c r="A2307" s="5">
        <v>24754</v>
      </c>
      <c r="B2307">
        <v>97.26</v>
      </c>
      <c r="C2307">
        <v>98.25</v>
      </c>
      <c r="D2307">
        <v>95.16</v>
      </c>
      <c r="E2307">
        <v>96</v>
      </c>
      <c r="F2307">
        <v>10244000</v>
      </c>
      <c r="G2307">
        <v>96</v>
      </c>
    </row>
    <row r="2308" spans="1:7" x14ac:dyDescent="0.25">
      <c r="A2308" s="5">
        <v>24747</v>
      </c>
      <c r="B2308">
        <v>96.71</v>
      </c>
      <c r="C2308">
        <v>97.83</v>
      </c>
      <c r="D2308">
        <v>95.75</v>
      </c>
      <c r="E2308">
        <v>97.26</v>
      </c>
      <c r="F2308">
        <v>9880000</v>
      </c>
      <c r="G2308">
        <v>97.26</v>
      </c>
    </row>
    <row r="2309" spans="1:7" x14ac:dyDescent="0.25">
      <c r="A2309" s="5">
        <v>24740</v>
      </c>
      <c r="B2309">
        <v>97</v>
      </c>
      <c r="C2309">
        <v>98.31</v>
      </c>
      <c r="D2309">
        <v>96</v>
      </c>
      <c r="E2309">
        <v>96.71</v>
      </c>
      <c r="F2309">
        <v>10168000</v>
      </c>
      <c r="G2309">
        <v>96.71</v>
      </c>
    </row>
    <row r="2310" spans="1:7" x14ac:dyDescent="0.25">
      <c r="A2310" s="5">
        <v>24733</v>
      </c>
      <c r="B2310">
        <v>96.27</v>
      </c>
      <c r="C2310">
        <v>97.61</v>
      </c>
      <c r="D2310">
        <v>95.39</v>
      </c>
      <c r="E2310">
        <v>97</v>
      </c>
      <c r="F2310">
        <v>11318000</v>
      </c>
      <c r="G2310">
        <v>97</v>
      </c>
    </row>
    <row r="2311" spans="1:7" x14ac:dyDescent="0.25">
      <c r="A2311" s="5">
        <v>24726</v>
      </c>
      <c r="B2311">
        <v>94.36</v>
      </c>
      <c r="C2311">
        <v>97.4</v>
      </c>
      <c r="D2311">
        <v>93.88</v>
      </c>
      <c r="E2311">
        <v>96.27</v>
      </c>
      <c r="F2311">
        <v>10798000</v>
      </c>
      <c r="G2311">
        <v>96.27</v>
      </c>
    </row>
    <row r="2312" spans="1:7" x14ac:dyDescent="0.25">
      <c r="A2312" s="5">
        <v>24720</v>
      </c>
      <c r="B2312">
        <v>93.68</v>
      </c>
      <c r="C2312">
        <v>95.06</v>
      </c>
      <c r="D2312">
        <v>93.36</v>
      </c>
      <c r="E2312">
        <v>94.36</v>
      </c>
      <c r="F2312">
        <v>9020000</v>
      </c>
      <c r="G2312">
        <v>94.36</v>
      </c>
    </row>
    <row r="2313" spans="1:7" x14ac:dyDescent="0.25">
      <c r="A2313" s="5">
        <v>24712</v>
      </c>
      <c r="B2313">
        <v>92.7</v>
      </c>
      <c r="C2313">
        <v>94.21</v>
      </c>
      <c r="D2313">
        <v>92.01</v>
      </c>
      <c r="E2313">
        <v>93.68</v>
      </c>
      <c r="F2313">
        <v>7224000</v>
      </c>
      <c r="G2313">
        <v>93.68</v>
      </c>
    </row>
    <row r="2314" spans="1:7" x14ac:dyDescent="0.25">
      <c r="A2314" s="5">
        <v>24705</v>
      </c>
      <c r="B2314">
        <v>94.78</v>
      </c>
      <c r="C2314">
        <v>95.22</v>
      </c>
      <c r="D2314">
        <v>92.04</v>
      </c>
      <c r="E2314">
        <v>92.7</v>
      </c>
      <c r="F2314">
        <v>8058000</v>
      </c>
      <c r="G2314">
        <v>92.7</v>
      </c>
    </row>
    <row r="2315" spans="1:7" x14ac:dyDescent="0.25">
      <c r="A2315" s="5">
        <v>24698</v>
      </c>
      <c r="B2315">
        <v>95.15</v>
      </c>
      <c r="C2315">
        <v>95.54</v>
      </c>
      <c r="D2315">
        <v>93.93</v>
      </c>
      <c r="E2315">
        <v>94.78</v>
      </c>
      <c r="F2315">
        <v>8392000</v>
      </c>
      <c r="G2315">
        <v>94.78</v>
      </c>
    </row>
    <row r="2316" spans="1:7" x14ac:dyDescent="0.25">
      <c r="A2316" s="5">
        <v>24691</v>
      </c>
      <c r="B2316">
        <v>95.83</v>
      </c>
      <c r="C2316">
        <v>96.67</v>
      </c>
      <c r="D2316">
        <v>94.62</v>
      </c>
      <c r="E2316">
        <v>95.15</v>
      </c>
      <c r="F2316">
        <v>9304000</v>
      </c>
      <c r="G2316">
        <v>95.15</v>
      </c>
    </row>
    <row r="2317" spans="1:7" x14ac:dyDescent="0.25">
      <c r="A2317" s="5">
        <v>24684</v>
      </c>
      <c r="B2317">
        <v>94.49</v>
      </c>
      <c r="C2317">
        <v>96.64</v>
      </c>
      <c r="D2317">
        <v>94.01</v>
      </c>
      <c r="E2317">
        <v>95.83</v>
      </c>
      <c r="F2317">
        <v>12140000</v>
      </c>
      <c r="G2317">
        <v>95.83</v>
      </c>
    </row>
    <row r="2318" spans="1:7" x14ac:dyDescent="0.25">
      <c r="A2318" s="5">
        <v>24677</v>
      </c>
      <c r="B2318">
        <v>94.04</v>
      </c>
      <c r="C2318">
        <v>95.23</v>
      </c>
      <c r="D2318">
        <v>92.91</v>
      </c>
      <c r="E2318">
        <v>94.49</v>
      </c>
      <c r="F2318">
        <v>10786000</v>
      </c>
      <c r="G2318">
        <v>94.49</v>
      </c>
    </row>
    <row r="2319" spans="1:7" x14ac:dyDescent="0.25">
      <c r="A2319" s="5">
        <v>24670</v>
      </c>
      <c r="B2319">
        <v>92.74</v>
      </c>
      <c r="C2319">
        <v>94.92</v>
      </c>
      <c r="D2319">
        <v>92.1</v>
      </c>
      <c r="E2319">
        <v>94.04</v>
      </c>
      <c r="F2319">
        <v>11634000</v>
      </c>
      <c r="G2319">
        <v>94.04</v>
      </c>
    </row>
    <row r="2320" spans="1:7" x14ac:dyDescent="0.25">
      <c r="A2320" s="5">
        <v>24663</v>
      </c>
      <c r="B2320">
        <v>91.69</v>
      </c>
      <c r="C2320">
        <v>93.35</v>
      </c>
      <c r="D2320">
        <v>91.11</v>
      </c>
      <c r="E2320">
        <v>92.74</v>
      </c>
      <c r="F2320">
        <v>11476000</v>
      </c>
      <c r="G2320">
        <v>92.74</v>
      </c>
    </row>
    <row r="2321" spans="1:7" x14ac:dyDescent="0.25">
      <c r="A2321" s="5">
        <v>24656</v>
      </c>
      <c r="B2321">
        <v>90.64</v>
      </c>
      <c r="C2321">
        <v>92.28</v>
      </c>
      <c r="D2321">
        <v>90.12</v>
      </c>
      <c r="E2321">
        <v>91.69</v>
      </c>
      <c r="F2321">
        <v>9230000</v>
      </c>
      <c r="G2321">
        <v>91.69</v>
      </c>
    </row>
    <row r="2322" spans="1:7" x14ac:dyDescent="0.25">
      <c r="A2322" s="5">
        <v>24649</v>
      </c>
      <c r="B2322">
        <v>91.64</v>
      </c>
      <c r="C2322">
        <v>91.64</v>
      </c>
      <c r="D2322">
        <v>90.64</v>
      </c>
      <c r="E2322">
        <v>90.64</v>
      </c>
      <c r="F2322">
        <v>8984000</v>
      </c>
      <c r="G2322">
        <v>90.64</v>
      </c>
    </row>
    <row r="2323" spans="1:7" x14ac:dyDescent="0.25">
      <c r="A2323" s="5">
        <v>24642</v>
      </c>
      <c r="B2323">
        <v>92.51</v>
      </c>
      <c r="C2323">
        <v>92.51</v>
      </c>
      <c r="D2323">
        <v>91.97</v>
      </c>
      <c r="E2323">
        <v>92</v>
      </c>
      <c r="F2323">
        <v>9472000</v>
      </c>
      <c r="G2323">
        <v>92</v>
      </c>
    </row>
    <row r="2324" spans="1:7" x14ac:dyDescent="0.25">
      <c r="A2324" s="5">
        <v>24635</v>
      </c>
      <c r="B2324">
        <v>91.56</v>
      </c>
      <c r="C2324">
        <v>93.28</v>
      </c>
      <c r="D2324">
        <v>91.12</v>
      </c>
      <c r="E2324">
        <v>92.54</v>
      </c>
      <c r="F2324">
        <v>10948000</v>
      </c>
      <c r="G2324">
        <v>92.54</v>
      </c>
    </row>
    <row r="2325" spans="1:7" x14ac:dyDescent="0.25">
      <c r="A2325" s="5">
        <v>24628</v>
      </c>
      <c r="B2325">
        <v>89.56</v>
      </c>
      <c r="C2325">
        <v>92.26</v>
      </c>
      <c r="D2325">
        <v>87.19</v>
      </c>
      <c r="E2325">
        <v>91.56</v>
      </c>
      <c r="F2325">
        <v>9692000</v>
      </c>
      <c r="G2325">
        <v>91.56</v>
      </c>
    </row>
    <row r="2326" spans="1:7" x14ac:dyDescent="0.25">
      <c r="A2326" s="5">
        <v>24621</v>
      </c>
      <c r="B2326">
        <v>90.98</v>
      </c>
      <c r="C2326">
        <v>91.22</v>
      </c>
      <c r="D2326">
        <v>88.71</v>
      </c>
      <c r="E2326">
        <v>89.79</v>
      </c>
      <c r="F2326">
        <v>8142500</v>
      </c>
      <c r="G2326">
        <v>89.79</v>
      </c>
    </row>
    <row r="2327" spans="1:7" x14ac:dyDescent="0.25">
      <c r="A2327" s="5">
        <v>24614</v>
      </c>
      <c r="B2327">
        <v>92.07</v>
      </c>
      <c r="C2327">
        <v>92.4</v>
      </c>
      <c r="D2327">
        <v>89.68</v>
      </c>
      <c r="E2327">
        <v>90.98</v>
      </c>
      <c r="F2327">
        <v>9294000</v>
      </c>
      <c r="G2327">
        <v>90.98</v>
      </c>
    </row>
    <row r="2328" spans="1:7" x14ac:dyDescent="0.25">
      <c r="A2328" s="5">
        <v>24607</v>
      </c>
      <c r="B2328">
        <v>93.48</v>
      </c>
      <c r="C2328">
        <v>93.85</v>
      </c>
      <c r="D2328">
        <v>91.4</v>
      </c>
      <c r="E2328">
        <v>92.07</v>
      </c>
      <c r="F2328">
        <v>9886000</v>
      </c>
      <c r="G2328">
        <v>92.07</v>
      </c>
    </row>
    <row r="2329" spans="1:7" x14ac:dyDescent="0.25">
      <c r="A2329" s="5">
        <v>24600</v>
      </c>
      <c r="B2329">
        <v>94.44</v>
      </c>
      <c r="C2329">
        <v>95.25</v>
      </c>
      <c r="D2329">
        <v>92.51</v>
      </c>
      <c r="E2329">
        <v>93.48</v>
      </c>
      <c r="F2329">
        <v>10472000</v>
      </c>
      <c r="G2329">
        <v>93.48</v>
      </c>
    </row>
    <row r="2330" spans="1:7" x14ac:dyDescent="0.25">
      <c r="A2330" s="5">
        <v>24593</v>
      </c>
      <c r="B2330">
        <v>94.01</v>
      </c>
      <c r="C2330">
        <v>95.14</v>
      </c>
      <c r="D2330">
        <v>92.94</v>
      </c>
      <c r="E2330">
        <v>94.44</v>
      </c>
      <c r="F2330">
        <v>10940000</v>
      </c>
      <c r="G2330">
        <v>94.44</v>
      </c>
    </row>
    <row r="2331" spans="1:7" x14ac:dyDescent="0.25">
      <c r="A2331" s="5">
        <v>24586</v>
      </c>
      <c r="B2331">
        <v>92.3</v>
      </c>
      <c r="C2331">
        <v>94.77</v>
      </c>
      <c r="D2331">
        <v>91.78</v>
      </c>
      <c r="E2331">
        <v>94.01</v>
      </c>
      <c r="F2331">
        <v>10536000</v>
      </c>
      <c r="G2331">
        <v>94.01</v>
      </c>
    </row>
    <row r="2332" spans="1:7" x14ac:dyDescent="0.25">
      <c r="A2332" s="5">
        <v>24579</v>
      </c>
      <c r="B2332">
        <v>90.43</v>
      </c>
      <c r="C2332">
        <v>92.9</v>
      </c>
      <c r="D2332">
        <v>90.18</v>
      </c>
      <c r="E2332">
        <v>92.3</v>
      </c>
      <c r="F2332">
        <v>10066000</v>
      </c>
      <c r="G2332">
        <v>92.3</v>
      </c>
    </row>
    <row r="2333" spans="1:7" x14ac:dyDescent="0.25">
      <c r="A2333" s="5">
        <v>24572</v>
      </c>
      <c r="B2333">
        <v>89.32</v>
      </c>
      <c r="C2333">
        <v>91.08</v>
      </c>
      <c r="D2333">
        <v>87.86</v>
      </c>
      <c r="E2333">
        <v>90.43</v>
      </c>
      <c r="F2333">
        <v>7998000</v>
      </c>
      <c r="G2333">
        <v>90.43</v>
      </c>
    </row>
    <row r="2334" spans="1:7" x14ac:dyDescent="0.25">
      <c r="A2334" s="5">
        <v>24565</v>
      </c>
      <c r="B2334">
        <v>90.2</v>
      </c>
      <c r="C2334">
        <v>90.74</v>
      </c>
      <c r="D2334">
        <v>88.45</v>
      </c>
      <c r="E2334">
        <v>89.36</v>
      </c>
      <c r="F2334">
        <v>8930000</v>
      </c>
      <c r="G2334">
        <v>89.36</v>
      </c>
    </row>
    <row r="2335" spans="1:7" x14ac:dyDescent="0.25">
      <c r="A2335" s="5">
        <v>24558</v>
      </c>
      <c r="B2335">
        <v>90.94</v>
      </c>
      <c r="C2335">
        <v>91.72</v>
      </c>
      <c r="D2335">
        <v>89.75</v>
      </c>
      <c r="E2335">
        <v>90.2</v>
      </c>
      <c r="F2335">
        <v>8620000</v>
      </c>
      <c r="G2335">
        <v>90.2</v>
      </c>
    </row>
    <row r="2336" spans="1:7" x14ac:dyDescent="0.25">
      <c r="A2336" s="5">
        <v>24551</v>
      </c>
      <c r="B2336">
        <v>90.25</v>
      </c>
      <c r="C2336">
        <v>91.51</v>
      </c>
      <c r="D2336">
        <v>89.17</v>
      </c>
      <c r="E2336">
        <v>90.94</v>
      </c>
      <c r="F2336">
        <v>9295000</v>
      </c>
      <c r="G2336">
        <v>90.94</v>
      </c>
    </row>
    <row r="2337" spans="1:7" x14ac:dyDescent="0.25">
      <c r="A2337" s="5">
        <v>24544</v>
      </c>
      <c r="B2337">
        <v>88.89</v>
      </c>
      <c r="C2337">
        <v>90.84</v>
      </c>
      <c r="D2337">
        <v>87.58</v>
      </c>
      <c r="E2337">
        <v>90.25</v>
      </c>
      <c r="F2337">
        <v>10638000</v>
      </c>
      <c r="G2337">
        <v>90.25</v>
      </c>
    </row>
    <row r="2338" spans="1:7" x14ac:dyDescent="0.25">
      <c r="A2338" s="5">
        <v>24537</v>
      </c>
      <c r="B2338">
        <v>88.29</v>
      </c>
      <c r="C2338">
        <v>90.37</v>
      </c>
      <c r="D2338">
        <v>87.34</v>
      </c>
      <c r="E2338">
        <v>88.89</v>
      </c>
      <c r="F2338">
        <v>11332000</v>
      </c>
      <c r="G2338">
        <v>88.89</v>
      </c>
    </row>
    <row r="2339" spans="1:7" x14ac:dyDescent="0.25">
      <c r="A2339" s="5">
        <v>24530</v>
      </c>
      <c r="B2339">
        <v>87.41</v>
      </c>
      <c r="C2339">
        <v>89</v>
      </c>
      <c r="D2339">
        <v>85.61</v>
      </c>
      <c r="E2339">
        <v>88.29</v>
      </c>
      <c r="F2339">
        <v>10938000</v>
      </c>
      <c r="G2339">
        <v>88.29</v>
      </c>
    </row>
    <row r="2340" spans="1:7" x14ac:dyDescent="0.25">
      <c r="A2340" s="5">
        <v>24523</v>
      </c>
      <c r="B2340">
        <v>87.89</v>
      </c>
      <c r="C2340">
        <v>88.16</v>
      </c>
      <c r="D2340">
        <v>86.64</v>
      </c>
      <c r="E2340">
        <v>87.41</v>
      </c>
      <c r="F2340">
        <v>9377500</v>
      </c>
      <c r="G2340">
        <v>87.41</v>
      </c>
    </row>
    <row r="2341" spans="1:7" x14ac:dyDescent="0.25">
      <c r="A2341" s="5">
        <v>24516</v>
      </c>
      <c r="B2341">
        <v>87.63</v>
      </c>
      <c r="C2341">
        <v>89</v>
      </c>
      <c r="D2341">
        <v>86.95</v>
      </c>
      <c r="E2341">
        <v>87.89</v>
      </c>
      <c r="F2341">
        <v>8966000</v>
      </c>
      <c r="G2341">
        <v>87.89</v>
      </c>
    </row>
    <row r="2342" spans="1:7" x14ac:dyDescent="0.25">
      <c r="A2342" s="5">
        <v>24509</v>
      </c>
      <c r="B2342">
        <v>87.36</v>
      </c>
      <c r="C2342">
        <v>88.57</v>
      </c>
      <c r="D2342">
        <v>86.48</v>
      </c>
      <c r="E2342">
        <v>87.63</v>
      </c>
      <c r="F2342">
        <v>9624000</v>
      </c>
      <c r="G2342">
        <v>87.63</v>
      </c>
    </row>
    <row r="2343" spans="1:7" x14ac:dyDescent="0.25">
      <c r="A2343" s="5">
        <v>24502</v>
      </c>
      <c r="B2343">
        <v>86.16</v>
      </c>
      <c r="C2343">
        <v>87.97</v>
      </c>
      <c r="D2343">
        <v>85.68</v>
      </c>
      <c r="E2343">
        <v>87.36</v>
      </c>
      <c r="F2343">
        <v>10820000</v>
      </c>
      <c r="G2343">
        <v>87.36</v>
      </c>
    </row>
    <row r="2344" spans="1:7" x14ac:dyDescent="0.25">
      <c r="A2344" s="5">
        <v>24495</v>
      </c>
      <c r="B2344">
        <v>86.07</v>
      </c>
      <c r="C2344">
        <v>88.17</v>
      </c>
      <c r="D2344">
        <v>84.87</v>
      </c>
      <c r="E2344">
        <v>86.16</v>
      </c>
      <c r="F2344">
        <v>10368000</v>
      </c>
      <c r="G2344">
        <v>86.16</v>
      </c>
    </row>
    <row r="2345" spans="1:7" x14ac:dyDescent="0.25">
      <c r="A2345" s="5">
        <v>24488</v>
      </c>
      <c r="B2345">
        <v>84.53</v>
      </c>
      <c r="C2345">
        <v>86.61</v>
      </c>
      <c r="D2345">
        <v>83.73</v>
      </c>
      <c r="E2345">
        <v>86.07</v>
      </c>
      <c r="F2345">
        <v>10604000</v>
      </c>
      <c r="G2345">
        <v>86.07</v>
      </c>
    </row>
    <row r="2346" spans="1:7" x14ac:dyDescent="0.25">
      <c r="A2346" s="5">
        <v>24481</v>
      </c>
      <c r="B2346">
        <v>82.18</v>
      </c>
      <c r="C2346">
        <v>84.9</v>
      </c>
      <c r="D2346">
        <v>81.37</v>
      </c>
      <c r="E2346">
        <v>84.53</v>
      </c>
      <c r="F2346">
        <v>10672000</v>
      </c>
      <c r="G2346">
        <v>84.53</v>
      </c>
    </row>
    <row r="2347" spans="1:7" x14ac:dyDescent="0.25">
      <c r="A2347" s="5">
        <v>24475</v>
      </c>
      <c r="B2347">
        <v>80.33</v>
      </c>
      <c r="C2347">
        <v>82.79</v>
      </c>
      <c r="D2347">
        <v>79.430000000000007</v>
      </c>
      <c r="E2347">
        <v>82.18</v>
      </c>
      <c r="F2347">
        <v>6850000</v>
      </c>
      <c r="G2347">
        <v>82.18</v>
      </c>
    </row>
    <row r="2348" spans="1:7" x14ac:dyDescent="0.25">
      <c r="A2348" s="5">
        <v>24468</v>
      </c>
      <c r="B2348">
        <v>81.47</v>
      </c>
      <c r="C2348">
        <v>81.84</v>
      </c>
      <c r="D2348">
        <v>79.66</v>
      </c>
      <c r="E2348">
        <v>80.33</v>
      </c>
      <c r="F2348">
        <v>8167500</v>
      </c>
      <c r="G2348">
        <v>80.33</v>
      </c>
    </row>
    <row r="2349" spans="1:7" x14ac:dyDescent="0.25">
      <c r="A2349" s="5">
        <v>24460</v>
      </c>
      <c r="B2349">
        <v>81.58</v>
      </c>
      <c r="C2349">
        <v>82.34</v>
      </c>
      <c r="D2349">
        <v>80.31</v>
      </c>
      <c r="E2349">
        <v>81.47</v>
      </c>
      <c r="F2349">
        <v>7554000</v>
      </c>
      <c r="G2349">
        <v>81.47</v>
      </c>
    </row>
    <row r="2350" spans="1:7" x14ac:dyDescent="0.25">
      <c r="A2350" s="5">
        <v>24453</v>
      </c>
      <c r="B2350">
        <v>82.14</v>
      </c>
      <c r="C2350">
        <v>83.88</v>
      </c>
      <c r="D2350">
        <v>80.94</v>
      </c>
      <c r="E2350">
        <v>81.58</v>
      </c>
      <c r="F2350">
        <v>8156000</v>
      </c>
      <c r="G2350">
        <v>81.58</v>
      </c>
    </row>
    <row r="2351" spans="1:7" x14ac:dyDescent="0.25">
      <c r="A2351" s="5">
        <v>24446</v>
      </c>
      <c r="B2351">
        <v>80.13</v>
      </c>
      <c r="C2351">
        <v>82.72</v>
      </c>
      <c r="D2351">
        <v>79.599999999999994</v>
      </c>
      <c r="E2351">
        <v>82.14</v>
      </c>
      <c r="F2351">
        <v>7828000</v>
      </c>
      <c r="G2351">
        <v>82.14</v>
      </c>
    </row>
    <row r="2352" spans="1:7" x14ac:dyDescent="0.25">
      <c r="A2352" s="5">
        <v>24439</v>
      </c>
      <c r="B2352">
        <v>80.849999999999994</v>
      </c>
      <c r="C2352">
        <v>81.38</v>
      </c>
      <c r="D2352">
        <v>79.489999999999995</v>
      </c>
      <c r="E2352">
        <v>80.13</v>
      </c>
      <c r="F2352">
        <v>7378000</v>
      </c>
      <c r="G2352">
        <v>80.13</v>
      </c>
    </row>
    <row r="2353" spans="1:7" x14ac:dyDescent="0.25">
      <c r="A2353" s="5">
        <v>24432</v>
      </c>
      <c r="B2353">
        <v>81.09</v>
      </c>
      <c r="C2353">
        <v>81.37</v>
      </c>
      <c r="D2353">
        <v>78.89</v>
      </c>
      <c r="E2353">
        <v>80.849999999999994</v>
      </c>
      <c r="F2353">
        <v>7010000</v>
      </c>
      <c r="G2353">
        <v>80.849999999999994</v>
      </c>
    </row>
    <row r="2354" spans="1:7" x14ac:dyDescent="0.25">
      <c r="A2354" s="5">
        <v>24425</v>
      </c>
      <c r="B2354">
        <v>81.94</v>
      </c>
      <c r="C2354">
        <v>83.01</v>
      </c>
      <c r="D2354">
        <v>80.790000000000006</v>
      </c>
      <c r="E2354">
        <v>81.260000000000005</v>
      </c>
      <c r="F2354">
        <v>7976000</v>
      </c>
      <c r="G2354">
        <v>81.260000000000005</v>
      </c>
    </row>
    <row r="2355" spans="1:7" x14ac:dyDescent="0.25">
      <c r="A2355" s="5">
        <v>24418</v>
      </c>
      <c r="B2355">
        <v>80.81</v>
      </c>
      <c r="C2355">
        <v>82.43</v>
      </c>
      <c r="D2355">
        <v>80.16</v>
      </c>
      <c r="E2355">
        <v>81.94</v>
      </c>
      <c r="F2355">
        <v>7517500</v>
      </c>
      <c r="G2355">
        <v>81.94</v>
      </c>
    </row>
    <row r="2356" spans="1:7" x14ac:dyDescent="0.25">
      <c r="A2356" s="5">
        <v>24411</v>
      </c>
      <c r="B2356">
        <v>80.239999999999995</v>
      </c>
      <c r="C2356">
        <v>81.680000000000007</v>
      </c>
      <c r="D2356">
        <v>79.34</v>
      </c>
      <c r="E2356">
        <v>80.81</v>
      </c>
      <c r="F2356">
        <v>6294000</v>
      </c>
      <c r="G2356">
        <v>80.81</v>
      </c>
    </row>
    <row r="2357" spans="1:7" x14ac:dyDescent="0.25">
      <c r="A2357" s="5">
        <v>24404</v>
      </c>
      <c r="B2357">
        <v>78.19</v>
      </c>
      <c r="C2357">
        <v>80.91</v>
      </c>
      <c r="D2357">
        <v>77.56</v>
      </c>
      <c r="E2357">
        <v>80.239999999999995</v>
      </c>
      <c r="F2357">
        <v>6364000</v>
      </c>
      <c r="G2357">
        <v>80.239999999999995</v>
      </c>
    </row>
    <row r="2358" spans="1:7" x14ac:dyDescent="0.25">
      <c r="A2358" s="5">
        <v>24397</v>
      </c>
      <c r="B2358">
        <v>76.599999999999994</v>
      </c>
      <c r="C2358">
        <v>79.34</v>
      </c>
      <c r="D2358">
        <v>76.48</v>
      </c>
      <c r="E2358">
        <v>78.19</v>
      </c>
      <c r="F2358">
        <v>6348000</v>
      </c>
      <c r="G2358">
        <v>78.19</v>
      </c>
    </row>
    <row r="2359" spans="1:7" x14ac:dyDescent="0.25">
      <c r="A2359" s="5">
        <v>24390</v>
      </c>
      <c r="B2359">
        <v>73.2</v>
      </c>
      <c r="C2359">
        <v>78.45</v>
      </c>
      <c r="D2359">
        <v>72.28</v>
      </c>
      <c r="E2359">
        <v>76.599999999999994</v>
      </c>
      <c r="F2359">
        <v>7852000</v>
      </c>
      <c r="G2359">
        <v>76.599999999999994</v>
      </c>
    </row>
    <row r="2360" spans="1:7" x14ac:dyDescent="0.25">
      <c r="A2360" s="5">
        <v>24383</v>
      </c>
      <c r="B2360">
        <v>76.56</v>
      </c>
      <c r="C2360">
        <v>76.98</v>
      </c>
      <c r="D2360">
        <v>72.77</v>
      </c>
      <c r="E2360">
        <v>73.2</v>
      </c>
      <c r="F2360">
        <v>7506000</v>
      </c>
      <c r="G2360">
        <v>73.2</v>
      </c>
    </row>
    <row r="2361" spans="1:7" x14ac:dyDescent="0.25">
      <c r="A2361" s="5">
        <v>24376</v>
      </c>
      <c r="B2361">
        <v>77.67</v>
      </c>
      <c r="C2361">
        <v>79.099999999999994</v>
      </c>
      <c r="D2361">
        <v>75.45</v>
      </c>
      <c r="E2361">
        <v>76.56</v>
      </c>
      <c r="F2361">
        <v>5906000</v>
      </c>
      <c r="G2361">
        <v>76.56</v>
      </c>
    </row>
    <row r="2362" spans="1:7" x14ac:dyDescent="0.25">
      <c r="A2362" s="5">
        <v>24369</v>
      </c>
      <c r="B2362">
        <v>79.989999999999995</v>
      </c>
      <c r="C2362">
        <v>80.5</v>
      </c>
      <c r="D2362">
        <v>76.81</v>
      </c>
      <c r="E2362">
        <v>77.67</v>
      </c>
      <c r="F2362">
        <v>5032000</v>
      </c>
      <c r="G2362">
        <v>77.67</v>
      </c>
    </row>
    <row r="2363" spans="1:7" x14ac:dyDescent="0.25">
      <c r="A2363" s="5">
        <v>24362</v>
      </c>
      <c r="B2363">
        <v>76.47</v>
      </c>
      <c r="C2363">
        <v>80.81</v>
      </c>
      <c r="D2363">
        <v>76.47</v>
      </c>
      <c r="E2363">
        <v>79.989999999999995</v>
      </c>
      <c r="F2363">
        <v>6238000</v>
      </c>
      <c r="G2363">
        <v>79.989999999999995</v>
      </c>
    </row>
    <row r="2364" spans="1:7" x14ac:dyDescent="0.25">
      <c r="A2364" s="5">
        <v>24356</v>
      </c>
      <c r="B2364">
        <v>77.42</v>
      </c>
      <c r="C2364">
        <v>78.16</v>
      </c>
      <c r="D2364">
        <v>75.03</v>
      </c>
      <c r="E2364">
        <v>76.290000000000006</v>
      </c>
      <c r="F2364">
        <v>5455000</v>
      </c>
      <c r="G2364">
        <v>76.290000000000006</v>
      </c>
    </row>
    <row r="2365" spans="1:7" x14ac:dyDescent="0.25">
      <c r="A2365" s="5">
        <v>24348</v>
      </c>
      <c r="B2365">
        <v>76.239999999999995</v>
      </c>
      <c r="C2365">
        <v>78.5</v>
      </c>
      <c r="D2365">
        <v>73.91</v>
      </c>
      <c r="E2365">
        <v>77.42</v>
      </c>
      <c r="F2365">
        <v>8630000</v>
      </c>
      <c r="G2365">
        <v>77.42</v>
      </c>
    </row>
    <row r="2366" spans="1:7" x14ac:dyDescent="0.25">
      <c r="A2366" s="5">
        <v>24341</v>
      </c>
      <c r="B2366">
        <v>79.62</v>
      </c>
      <c r="C2366">
        <v>79.88</v>
      </c>
      <c r="D2366">
        <v>76.099999999999994</v>
      </c>
      <c r="E2366">
        <v>76.41</v>
      </c>
      <c r="F2366">
        <v>8104000</v>
      </c>
      <c r="G2366">
        <v>76.41</v>
      </c>
    </row>
    <row r="2367" spans="1:7" x14ac:dyDescent="0.25">
      <c r="A2367" s="5">
        <v>24334</v>
      </c>
      <c r="B2367">
        <v>83.17</v>
      </c>
      <c r="C2367">
        <v>83.69</v>
      </c>
      <c r="D2367">
        <v>79.239999999999995</v>
      </c>
      <c r="E2367">
        <v>79.62</v>
      </c>
      <c r="F2367">
        <v>6502000</v>
      </c>
      <c r="G2367">
        <v>79.62</v>
      </c>
    </row>
    <row r="2368" spans="1:7" x14ac:dyDescent="0.25">
      <c r="A2368" s="5">
        <v>24327</v>
      </c>
      <c r="B2368">
        <v>84</v>
      </c>
      <c r="C2368">
        <v>84.36</v>
      </c>
      <c r="D2368">
        <v>82.34</v>
      </c>
      <c r="E2368">
        <v>83.17</v>
      </c>
      <c r="F2368">
        <v>5678000</v>
      </c>
      <c r="G2368">
        <v>83.17</v>
      </c>
    </row>
    <row r="2369" spans="1:7" x14ac:dyDescent="0.25">
      <c r="A2369" s="5">
        <v>24320</v>
      </c>
      <c r="B2369">
        <v>83.5</v>
      </c>
      <c r="C2369">
        <v>84.7</v>
      </c>
      <c r="D2369">
        <v>81.77</v>
      </c>
      <c r="E2369">
        <v>84</v>
      </c>
      <c r="F2369">
        <v>6038000</v>
      </c>
      <c r="G2369">
        <v>84</v>
      </c>
    </row>
    <row r="2370" spans="1:7" x14ac:dyDescent="0.25">
      <c r="A2370" s="5">
        <v>24313</v>
      </c>
      <c r="B2370">
        <v>85.41</v>
      </c>
      <c r="C2370">
        <v>85.57</v>
      </c>
      <c r="D2370">
        <v>83.05</v>
      </c>
      <c r="E2370">
        <v>83.6</v>
      </c>
      <c r="F2370">
        <v>6312000</v>
      </c>
      <c r="G2370">
        <v>83.6</v>
      </c>
    </row>
    <row r="2371" spans="1:7" x14ac:dyDescent="0.25">
      <c r="A2371" s="5">
        <v>24306</v>
      </c>
      <c r="B2371">
        <v>87.08</v>
      </c>
      <c r="C2371">
        <v>87.59</v>
      </c>
      <c r="D2371">
        <v>84.77</v>
      </c>
      <c r="E2371">
        <v>85.41</v>
      </c>
      <c r="F2371">
        <v>5856000</v>
      </c>
      <c r="G2371">
        <v>85.41</v>
      </c>
    </row>
    <row r="2372" spans="1:7" x14ac:dyDescent="0.25">
      <c r="A2372" s="5">
        <v>24299</v>
      </c>
      <c r="B2372">
        <v>87.61</v>
      </c>
      <c r="C2372">
        <v>88.19</v>
      </c>
      <c r="D2372">
        <v>85.83</v>
      </c>
      <c r="E2372">
        <v>87.08</v>
      </c>
      <c r="F2372">
        <v>5800000</v>
      </c>
      <c r="G2372">
        <v>87.08</v>
      </c>
    </row>
    <row r="2373" spans="1:7" x14ac:dyDescent="0.25">
      <c r="A2373" s="5">
        <v>24293</v>
      </c>
      <c r="B2373">
        <v>85.61</v>
      </c>
      <c r="C2373">
        <v>88.04</v>
      </c>
      <c r="D2373">
        <v>85.09</v>
      </c>
      <c r="E2373">
        <v>87.61</v>
      </c>
      <c r="F2373">
        <v>6192500</v>
      </c>
      <c r="G2373">
        <v>87.61</v>
      </c>
    </row>
    <row r="2374" spans="1:7" x14ac:dyDescent="0.25">
      <c r="A2374" s="5">
        <v>24285</v>
      </c>
      <c r="B2374">
        <v>86.58</v>
      </c>
      <c r="C2374">
        <v>87.31</v>
      </c>
      <c r="D2374">
        <v>83.75</v>
      </c>
      <c r="E2374">
        <v>85.61</v>
      </c>
      <c r="F2374">
        <v>6016000</v>
      </c>
      <c r="G2374">
        <v>85.61</v>
      </c>
    </row>
    <row r="2375" spans="1:7" x14ac:dyDescent="0.25">
      <c r="A2375" s="5">
        <v>24278</v>
      </c>
      <c r="B2375">
        <v>86.51</v>
      </c>
      <c r="C2375">
        <v>87.73</v>
      </c>
      <c r="D2375">
        <v>85.68</v>
      </c>
      <c r="E2375">
        <v>86.58</v>
      </c>
      <c r="F2375">
        <v>7134000</v>
      </c>
      <c r="G2375">
        <v>86.58</v>
      </c>
    </row>
    <row r="2376" spans="1:7" x14ac:dyDescent="0.25">
      <c r="A2376" s="5">
        <v>24271</v>
      </c>
      <c r="B2376">
        <v>86.44</v>
      </c>
      <c r="C2376">
        <v>87.74</v>
      </c>
      <c r="D2376">
        <v>85.88</v>
      </c>
      <c r="E2376">
        <v>86.51</v>
      </c>
      <c r="F2376">
        <v>7434000</v>
      </c>
      <c r="G2376">
        <v>86.51</v>
      </c>
    </row>
    <row r="2377" spans="1:7" x14ac:dyDescent="0.25">
      <c r="A2377" s="5">
        <v>24264</v>
      </c>
      <c r="B2377">
        <v>86.06</v>
      </c>
      <c r="C2377">
        <v>86.97</v>
      </c>
      <c r="D2377">
        <v>84.25</v>
      </c>
      <c r="E2377">
        <v>86.44</v>
      </c>
      <c r="F2377">
        <v>5586000</v>
      </c>
      <c r="G2377">
        <v>86.44</v>
      </c>
    </row>
    <row r="2378" spans="1:7" x14ac:dyDescent="0.25">
      <c r="A2378" s="5">
        <v>24258</v>
      </c>
      <c r="B2378">
        <v>87.33</v>
      </c>
      <c r="C2378">
        <v>87.65</v>
      </c>
      <c r="D2378">
        <v>85.28</v>
      </c>
      <c r="E2378">
        <v>86.06</v>
      </c>
      <c r="F2378">
        <v>5142500</v>
      </c>
      <c r="G2378">
        <v>86.06</v>
      </c>
    </row>
    <row r="2379" spans="1:7" x14ac:dyDescent="0.25">
      <c r="A2379" s="5">
        <v>24250</v>
      </c>
      <c r="B2379">
        <v>85.43</v>
      </c>
      <c r="C2379">
        <v>87.88</v>
      </c>
      <c r="D2379">
        <v>85.29</v>
      </c>
      <c r="E2379">
        <v>87.33</v>
      </c>
      <c r="F2379">
        <v>6196000</v>
      </c>
      <c r="G2379">
        <v>87.33</v>
      </c>
    </row>
    <row r="2380" spans="1:7" x14ac:dyDescent="0.25">
      <c r="A2380" s="5">
        <v>24243</v>
      </c>
      <c r="B2380">
        <v>85.47</v>
      </c>
      <c r="C2380">
        <v>86.33</v>
      </c>
      <c r="D2380">
        <v>83.18</v>
      </c>
      <c r="E2380">
        <v>85.43</v>
      </c>
      <c r="F2380">
        <v>8702000</v>
      </c>
      <c r="G2380">
        <v>85.43</v>
      </c>
    </row>
    <row r="2381" spans="1:7" x14ac:dyDescent="0.25">
      <c r="A2381" s="5">
        <v>24236</v>
      </c>
      <c r="B2381">
        <v>87.84</v>
      </c>
      <c r="C2381">
        <v>88.38</v>
      </c>
      <c r="D2381">
        <v>84.77</v>
      </c>
      <c r="E2381">
        <v>85.47</v>
      </c>
      <c r="F2381">
        <v>8598000</v>
      </c>
      <c r="G2381">
        <v>85.47</v>
      </c>
    </row>
    <row r="2382" spans="1:7" x14ac:dyDescent="0.25">
      <c r="A2382" s="5">
        <v>24229</v>
      </c>
      <c r="B2382">
        <v>91.06</v>
      </c>
      <c r="C2382">
        <v>91.75</v>
      </c>
      <c r="D2382">
        <v>86.24</v>
      </c>
      <c r="E2382">
        <v>87.84</v>
      </c>
      <c r="F2382">
        <v>9608000</v>
      </c>
      <c r="G2382">
        <v>87.84</v>
      </c>
    </row>
    <row r="2383" spans="1:7" x14ac:dyDescent="0.25">
      <c r="A2383" s="5">
        <v>24222</v>
      </c>
      <c r="B2383">
        <v>92.27</v>
      </c>
      <c r="C2383">
        <v>92.86</v>
      </c>
      <c r="D2383">
        <v>90.24</v>
      </c>
      <c r="E2383">
        <v>91.06</v>
      </c>
      <c r="F2383">
        <v>7658000</v>
      </c>
      <c r="G2383">
        <v>91.06</v>
      </c>
    </row>
    <row r="2384" spans="1:7" x14ac:dyDescent="0.25">
      <c r="A2384" s="5">
        <v>24215</v>
      </c>
      <c r="B2384">
        <v>91.99</v>
      </c>
      <c r="C2384">
        <v>93.02</v>
      </c>
      <c r="D2384">
        <v>90.89</v>
      </c>
      <c r="E2384">
        <v>92.27</v>
      </c>
      <c r="F2384">
        <v>9342000</v>
      </c>
      <c r="G2384">
        <v>92.27</v>
      </c>
    </row>
    <row r="2385" spans="1:7" x14ac:dyDescent="0.25">
      <c r="A2385" s="5">
        <v>24208</v>
      </c>
      <c r="B2385">
        <v>91.76</v>
      </c>
      <c r="C2385">
        <v>92.81</v>
      </c>
      <c r="D2385">
        <v>90.73</v>
      </c>
      <c r="E2385">
        <v>91.99</v>
      </c>
      <c r="F2385">
        <v>10700000</v>
      </c>
      <c r="G2385">
        <v>91.99</v>
      </c>
    </row>
    <row r="2386" spans="1:7" x14ac:dyDescent="0.25">
      <c r="A2386" s="5">
        <v>24201</v>
      </c>
      <c r="B2386">
        <v>89.94</v>
      </c>
      <c r="C2386">
        <v>92.42</v>
      </c>
      <c r="D2386">
        <v>89.92</v>
      </c>
      <c r="E2386">
        <v>91.76</v>
      </c>
      <c r="F2386">
        <v>9652500</v>
      </c>
      <c r="G2386">
        <v>91.76</v>
      </c>
    </row>
    <row r="2387" spans="1:7" x14ac:dyDescent="0.25">
      <c r="A2387" s="5">
        <v>24194</v>
      </c>
      <c r="B2387">
        <v>89.54</v>
      </c>
      <c r="C2387">
        <v>90.41</v>
      </c>
      <c r="D2387">
        <v>88.31</v>
      </c>
      <c r="E2387">
        <v>89.94</v>
      </c>
      <c r="F2387">
        <v>8132000</v>
      </c>
      <c r="G2387">
        <v>89.94</v>
      </c>
    </row>
    <row r="2388" spans="1:7" x14ac:dyDescent="0.25">
      <c r="A2388" s="5">
        <v>24187</v>
      </c>
      <c r="B2388">
        <v>88.53</v>
      </c>
      <c r="C2388">
        <v>90.28</v>
      </c>
      <c r="D2388">
        <v>88.4</v>
      </c>
      <c r="E2388">
        <v>89.54</v>
      </c>
      <c r="F2388">
        <v>7698000</v>
      </c>
      <c r="G2388">
        <v>89.54</v>
      </c>
    </row>
    <row r="2389" spans="1:7" x14ac:dyDescent="0.25">
      <c r="A2389" s="5">
        <v>24180</v>
      </c>
      <c r="B2389">
        <v>88.85</v>
      </c>
      <c r="C2389">
        <v>89.23</v>
      </c>
      <c r="D2389">
        <v>86.69</v>
      </c>
      <c r="E2389">
        <v>88.53</v>
      </c>
      <c r="F2389">
        <v>7216000</v>
      </c>
      <c r="G2389">
        <v>88.53</v>
      </c>
    </row>
    <row r="2390" spans="1:7" x14ac:dyDescent="0.25">
      <c r="A2390" s="5">
        <v>24173</v>
      </c>
      <c r="B2390">
        <v>89.24</v>
      </c>
      <c r="C2390">
        <v>90.14</v>
      </c>
      <c r="D2390">
        <v>87.17</v>
      </c>
      <c r="E2390">
        <v>88.85</v>
      </c>
      <c r="F2390">
        <v>8956000</v>
      </c>
      <c r="G2390">
        <v>88.85</v>
      </c>
    </row>
    <row r="2391" spans="1:7" x14ac:dyDescent="0.25">
      <c r="A2391" s="5">
        <v>24166</v>
      </c>
      <c r="B2391">
        <v>91.14</v>
      </c>
      <c r="C2391">
        <v>91.95</v>
      </c>
      <c r="D2391">
        <v>88.26</v>
      </c>
      <c r="E2391">
        <v>89.24</v>
      </c>
      <c r="F2391">
        <v>10062000</v>
      </c>
      <c r="G2391">
        <v>89.24</v>
      </c>
    </row>
    <row r="2392" spans="1:7" x14ac:dyDescent="0.25">
      <c r="A2392" s="5">
        <v>24159</v>
      </c>
      <c r="B2392">
        <v>92.41</v>
      </c>
      <c r="C2392">
        <v>92.83</v>
      </c>
      <c r="D2392">
        <v>90.43</v>
      </c>
      <c r="E2392">
        <v>91.14</v>
      </c>
      <c r="F2392">
        <v>8147500</v>
      </c>
      <c r="G2392">
        <v>91.14</v>
      </c>
    </row>
    <row r="2393" spans="1:7" x14ac:dyDescent="0.25">
      <c r="A2393" s="5">
        <v>24152</v>
      </c>
      <c r="B2393">
        <v>93.81</v>
      </c>
      <c r="C2393">
        <v>94.4</v>
      </c>
      <c r="D2393">
        <v>91.8</v>
      </c>
      <c r="E2393">
        <v>92.41</v>
      </c>
      <c r="F2393">
        <v>8818000</v>
      </c>
      <c r="G2393">
        <v>92.41</v>
      </c>
    </row>
    <row r="2394" spans="1:7" x14ac:dyDescent="0.25">
      <c r="A2394" s="5">
        <v>24145</v>
      </c>
      <c r="B2394">
        <v>93.26</v>
      </c>
      <c r="C2394">
        <v>94.72</v>
      </c>
      <c r="D2394">
        <v>92.58</v>
      </c>
      <c r="E2394">
        <v>93.81</v>
      </c>
      <c r="F2394">
        <v>9252000</v>
      </c>
      <c r="G2394">
        <v>93.81</v>
      </c>
    </row>
    <row r="2395" spans="1:7" x14ac:dyDescent="0.25">
      <c r="A2395" s="5">
        <v>24138</v>
      </c>
      <c r="B2395">
        <v>93.31</v>
      </c>
      <c r="C2395">
        <v>93.77</v>
      </c>
      <c r="D2395">
        <v>91.32</v>
      </c>
      <c r="E2395">
        <v>93.26</v>
      </c>
      <c r="F2395">
        <v>8148000</v>
      </c>
      <c r="G2395">
        <v>93.26</v>
      </c>
    </row>
    <row r="2396" spans="1:7" x14ac:dyDescent="0.25">
      <c r="A2396" s="5">
        <v>24131</v>
      </c>
      <c r="B2396">
        <v>93.47</v>
      </c>
      <c r="C2396">
        <v>94.56</v>
      </c>
      <c r="D2396">
        <v>92.84</v>
      </c>
      <c r="E2396">
        <v>93.31</v>
      </c>
      <c r="F2396">
        <v>9192000</v>
      </c>
      <c r="G2396">
        <v>93.31</v>
      </c>
    </row>
    <row r="2397" spans="1:7" x14ac:dyDescent="0.25">
      <c r="A2397" s="5">
        <v>24124</v>
      </c>
      <c r="B2397">
        <v>93.5</v>
      </c>
      <c r="C2397">
        <v>94.64</v>
      </c>
      <c r="D2397">
        <v>92.6</v>
      </c>
      <c r="E2397">
        <v>93.47</v>
      </c>
      <c r="F2397">
        <v>9460000</v>
      </c>
      <c r="G2397">
        <v>93.47</v>
      </c>
    </row>
    <row r="2398" spans="1:7" x14ac:dyDescent="0.25">
      <c r="A2398" s="5">
        <v>24117</v>
      </c>
      <c r="B2398">
        <v>93.14</v>
      </c>
      <c r="C2398">
        <v>94.14</v>
      </c>
      <c r="D2398">
        <v>92.68</v>
      </c>
      <c r="E2398">
        <v>93.5</v>
      </c>
      <c r="F2398">
        <v>8646000</v>
      </c>
      <c r="G2398">
        <v>93.5</v>
      </c>
    </row>
    <row r="2399" spans="1:7" x14ac:dyDescent="0.25">
      <c r="A2399" s="5">
        <v>24110</v>
      </c>
      <c r="B2399">
        <v>92.43</v>
      </c>
      <c r="C2399">
        <v>93.65</v>
      </c>
      <c r="D2399">
        <v>91.63</v>
      </c>
      <c r="E2399">
        <v>93.14</v>
      </c>
      <c r="F2399">
        <v>7724000</v>
      </c>
      <c r="G2399">
        <v>93.14</v>
      </c>
    </row>
    <row r="2400" spans="1:7" x14ac:dyDescent="0.25">
      <c r="A2400" s="5">
        <v>24103</v>
      </c>
      <c r="B2400">
        <v>92.19</v>
      </c>
      <c r="C2400">
        <v>93.05</v>
      </c>
      <c r="D2400">
        <v>90.63</v>
      </c>
      <c r="E2400">
        <v>92.43</v>
      </c>
      <c r="F2400">
        <v>7028000</v>
      </c>
      <c r="G2400">
        <v>92.43</v>
      </c>
    </row>
    <row r="2401" spans="1:7" x14ac:dyDescent="0.25">
      <c r="A2401" s="5">
        <v>24096</v>
      </c>
      <c r="B2401">
        <v>92.08</v>
      </c>
      <c r="C2401">
        <v>93.07</v>
      </c>
      <c r="D2401">
        <v>91.09</v>
      </c>
      <c r="E2401">
        <v>92.19</v>
      </c>
      <c r="F2401">
        <v>8042500</v>
      </c>
      <c r="G2401">
        <v>92.19</v>
      </c>
    </row>
    <row r="2402" spans="1:7" x14ac:dyDescent="0.25">
      <c r="A2402" s="5">
        <v>24089</v>
      </c>
      <c r="B2402">
        <v>91.8</v>
      </c>
      <c r="C2402">
        <v>92.95</v>
      </c>
      <c r="D2402">
        <v>91.27</v>
      </c>
      <c r="E2402">
        <v>92.08</v>
      </c>
      <c r="F2402">
        <v>9516000</v>
      </c>
      <c r="G2402">
        <v>92.08</v>
      </c>
    </row>
    <row r="2403" spans="1:7" x14ac:dyDescent="0.25">
      <c r="A2403" s="5">
        <v>24082</v>
      </c>
      <c r="B2403">
        <v>91.2</v>
      </c>
      <c r="C2403">
        <v>92.28</v>
      </c>
      <c r="D2403">
        <v>89.2</v>
      </c>
      <c r="E2403">
        <v>91.8</v>
      </c>
      <c r="F2403">
        <v>9758000</v>
      </c>
      <c r="G2403">
        <v>91.8</v>
      </c>
    </row>
    <row r="2404" spans="1:7" x14ac:dyDescent="0.25">
      <c r="A2404" s="5">
        <v>24075</v>
      </c>
      <c r="B2404">
        <v>92.03</v>
      </c>
      <c r="C2404">
        <v>92.6</v>
      </c>
      <c r="D2404">
        <v>90.53</v>
      </c>
      <c r="E2404">
        <v>91.27</v>
      </c>
      <c r="F2404">
        <v>9024000</v>
      </c>
      <c r="G2404">
        <v>91.27</v>
      </c>
    </row>
    <row r="2405" spans="1:7" x14ac:dyDescent="0.25">
      <c r="A2405" s="5">
        <v>24068</v>
      </c>
      <c r="B2405">
        <v>92.24</v>
      </c>
      <c r="C2405">
        <v>92.65</v>
      </c>
      <c r="D2405">
        <v>91.14</v>
      </c>
      <c r="E2405">
        <v>92.03</v>
      </c>
      <c r="F2405">
        <v>7090000</v>
      </c>
      <c r="G2405">
        <v>92.03</v>
      </c>
    </row>
    <row r="2406" spans="1:7" x14ac:dyDescent="0.25">
      <c r="A2406" s="5">
        <v>24061</v>
      </c>
      <c r="B2406">
        <v>92.55</v>
      </c>
      <c r="C2406">
        <v>93.3</v>
      </c>
      <c r="D2406">
        <v>91.72</v>
      </c>
      <c r="E2406">
        <v>92.24</v>
      </c>
      <c r="F2406">
        <v>7940000</v>
      </c>
      <c r="G2406">
        <v>92.24</v>
      </c>
    </row>
    <row r="2407" spans="1:7" x14ac:dyDescent="0.25">
      <c r="A2407" s="5">
        <v>24054</v>
      </c>
      <c r="B2407">
        <v>92.37</v>
      </c>
      <c r="C2407">
        <v>93.07</v>
      </c>
      <c r="D2407">
        <v>91.31</v>
      </c>
      <c r="E2407">
        <v>92.55</v>
      </c>
      <c r="F2407">
        <v>6350000</v>
      </c>
      <c r="G2407">
        <v>92.55</v>
      </c>
    </row>
    <row r="2408" spans="1:7" x14ac:dyDescent="0.25">
      <c r="A2408" s="5">
        <v>24047</v>
      </c>
      <c r="B2408">
        <v>92.42</v>
      </c>
      <c r="C2408">
        <v>93.07</v>
      </c>
      <c r="D2408">
        <v>91.62</v>
      </c>
      <c r="E2408">
        <v>92.37</v>
      </c>
      <c r="F2408">
        <v>7387500</v>
      </c>
      <c r="G2408">
        <v>92.37</v>
      </c>
    </row>
    <row r="2409" spans="1:7" x14ac:dyDescent="0.25">
      <c r="A2409" s="5">
        <v>24040</v>
      </c>
      <c r="B2409">
        <v>91.98</v>
      </c>
      <c r="C2409">
        <v>93.19</v>
      </c>
      <c r="D2409">
        <v>91.34</v>
      </c>
      <c r="E2409">
        <v>92.42</v>
      </c>
      <c r="F2409">
        <v>7196000</v>
      </c>
      <c r="G2409">
        <v>92.42</v>
      </c>
    </row>
    <row r="2410" spans="1:7" x14ac:dyDescent="0.25">
      <c r="A2410" s="5">
        <v>24033</v>
      </c>
      <c r="B2410">
        <v>91.38</v>
      </c>
      <c r="C2410">
        <v>92.74</v>
      </c>
      <c r="D2410">
        <v>91.06</v>
      </c>
      <c r="E2410">
        <v>91.98</v>
      </c>
      <c r="F2410">
        <v>8626000</v>
      </c>
      <c r="G2410">
        <v>91.98</v>
      </c>
    </row>
    <row r="2411" spans="1:7" x14ac:dyDescent="0.25">
      <c r="A2411" s="5">
        <v>24026</v>
      </c>
      <c r="B2411">
        <v>90.85</v>
      </c>
      <c r="C2411">
        <v>92.09</v>
      </c>
      <c r="D2411">
        <v>90.71</v>
      </c>
      <c r="E2411">
        <v>91.38</v>
      </c>
      <c r="F2411">
        <v>8918000</v>
      </c>
      <c r="G2411">
        <v>91.38</v>
      </c>
    </row>
    <row r="2412" spans="1:7" x14ac:dyDescent="0.25">
      <c r="A2412" s="5">
        <v>24019</v>
      </c>
      <c r="B2412">
        <v>89.9</v>
      </c>
      <c r="C2412">
        <v>91.31</v>
      </c>
      <c r="D2412">
        <v>89.47</v>
      </c>
      <c r="E2412">
        <v>90.85</v>
      </c>
      <c r="F2412">
        <v>6584000</v>
      </c>
      <c r="G2412">
        <v>90.85</v>
      </c>
    </row>
    <row r="2413" spans="1:7" x14ac:dyDescent="0.25">
      <c r="A2413" s="5">
        <v>24012</v>
      </c>
      <c r="B2413">
        <v>90.65</v>
      </c>
      <c r="C2413">
        <v>91.13</v>
      </c>
      <c r="D2413">
        <v>89.3</v>
      </c>
      <c r="E2413">
        <v>89.9</v>
      </c>
      <c r="F2413">
        <v>8462000</v>
      </c>
      <c r="G2413">
        <v>89.9</v>
      </c>
    </row>
    <row r="2414" spans="1:7" x14ac:dyDescent="0.25">
      <c r="A2414" s="5">
        <v>24005</v>
      </c>
      <c r="B2414">
        <v>90.05</v>
      </c>
      <c r="C2414">
        <v>90.78</v>
      </c>
      <c r="D2414">
        <v>89.13</v>
      </c>
      <c r="E2414">
        <v>90.02</v>
      </c>
      <c r="F2414">
        <v>8176000</v>
      </c>
      <c r="G2414">
        <v>90.02</v>
      </c>
    </row>
    <row r="2415" spans="1:7" x14ac:dyDescent="0.25">
      <c r="A2415" s="5">
        <v>23998</v>
      </c>
      <c r="B2415">
        <v>89.12</v>
      </c>
      <c r="C2415">
        <v>90.47</v>
      </c>
      <c r="D2415">
        <v>88.69</v>
      </c>
      <c r="E2415">
        <v>90.05</v>
      </c>
      <c r="F2415">
        <v>7018000</v>
      </c>
      <c r="G2415">
        <v>90.05</v>
      </c>
    </row>
    <row r="2416" spans="1:7" x14ac:dyDescent="0.25">
      <c r="A2416" s="5">
        <v>23992</v>
      </c>
      <c r="B2416">
        <v>88.06</v>
      </c>
      <c r="C2416">
        <v>89.85</v>
      </c>
      <c r="D2416">
        <v>87.76</v>
      </c>
      <c r="E2416">
        <v>89.12</v>
      </c>
      <c r="F2416">
        <v>6500000</v>
      </c>
      <c r="G2416">
        <v>89.12</v>
      </c>
    </row>
    <row r="2417" spans="1:7" x14ac:dyDescent="0.25">
      <c r="A2417" s="5">
        <v>23984</v>
      </c>
      <c r="B2417">
        <v>87.2</v>
      </c>
      <c r="C2417">
        <v>88.41</v>
      </c>
      <c r="D2417">
        <v>86.69</v>
      </c>
      <c r="E2417">
        <v>88.06</v>
      </c>
      <c r="F2417">
        <v>5588000</v>
      </c>
      <c r="G2417">
        <v>88.06</v>
      </c>
    </row>
    <row r="2418" spans="1:7" x14ac:dyDescent="0.25">
      <c r="A2418" s="5">
        <v>23977</v>
      </c>
      <c r="B2418">
        <v>86.69</v>
      </c>
      <c r="C2418">
        <v>87.74</v>
      </c>
      <c r="D2418">
        <v>86.22</v>
      </c>
      <c r="E2418">
        <v>87.2</v>
      </c>
      <c r="F2418">
        <v>5406000</v>
      </c>
      <c r="G2418">
        <v>87.2</v>
      </c>
    </row>
    <row r="2419" spans="1:7" x14ac:dyDescent="0.25">
      <c r="A2419" s="5">
        <v>23970</v>
      </c>
      <c r="B2419">
        <v>86.77</v>
      </c>
      <c r="C2419">
        <v>87.57</v>
      </c>
      <c r="D2419">
        <v>86.21</v>
      </c>
      <c r="E2419">
        <v>86.69</v>
      </c>
      <c r="F2419">
        <v>4962000</v>
      </c>
      <c r="G2419">
        <v>86.69</v>
      </c>
    </row>
    <row r="2420" spans="1:7" x14ac:dyDescent="0.25">
      <c r="A2420" s="5">
        <v>23963</v>
      </c>
      <c r="B2420">
        <v>86.07</v>
      </c>
      <c r="C2420">
        <v>87.14</v>
      </c>
      <c r="D2420">
        <v>85.45</v>
      </c>
      <c r="E2420">
        <v>86.77</v>
      </c>
      <c r="F2420">
        <v>4970000</v>
      </c>
      <c r="G2420">
        <v>86.77</v>
      </c>
    </row>
    <row r="2421" spans="1:7" x14ac:dyDescent="0.25">
      <c r="A2421" s="5">
        <v>23956</v>
      </c>
      <c r="B2421">
        <v>85.25</v>
      </c>
      <c r="C2421">
        <v>86.4</v>
      </c>
      <c r="D2421">
        <v>84.8</v>
      </c>
      <c r="E2421">
        <v>86.07</v>
      </c>
      <c r="F2421">
        <v>4562000</v>
      </c>
      <c r="G2421">
        <v>86.07</v>
      </c>
    </row>
    <row r="2422" spans="1:7" x14ac:dyDescent="0.25">
      <c r="A2422" s="5">
        <v>23949</v>
      </c>
      <c r="B2422">
        <v>84.07</v>
      </c>
      <c r="C2422">
        <v>85.64</v>
      </c>
      <c r="D2422">
        <v>83.3</v>
      </c>
      <c r="E2422">
        <v>85.25</v>
      </c>
      <c r="F2422">
        <v>4526000</v>
      </c>
      <c r="G2422">
        <v>85.25</v>
      </c>
    </row>
    <row r="2423" spans="1:7" x14ac:dyDescent="0.25">
      <c r="A2423" s="5">
        <v>23942</v>
      </c>
      <c r="B2423">
        <v>85.69</v>
      </c>
      <c r="C2423">
        <v>86.04</v>
      </c>
      <c r="D2423">
        <v>83.53</v>
      </c>
      <c r="E2423">
        <v>84.07</v>
      </c>
      <c r="F2423">
        <v>3830000</v>
      </c>
      <c r="G2423">
        <v>84.07</v>
      </c>
    </row>
    <row r="2424" spans="1:7" x14ac:dyDescent="0.25">
      <c r="A2424" s="5">
        <v>23935</v>
      </c>
      <c r="B2424">
        <v>85.71</v>
      </c>
      <c r="C2424">
        <v>86.47</v>
      </c>
      <c r="D2424">
        <v>85.12</v>
      </c>
      <c r="E2424">
        <v>85.69</v>
      </c>
      <c r="F2424">
        <v>3798000</v>
      </c>
      <c r="G2424">
        <v>85.69</v>
      </c>
    </row>
    <row r="2425" spans="1:7" x14ac:dyDescent="0.25">
      <c r="A2425" s="5">
        <v>23929</v>
      </c>
      <c r="B2425">
        <v>85.16</v>
      </c>
      <c r="C2425">
        <v>86.11</v>
      </c>
      <c r="D2425">
        <v>84.28</v>
      </c>
      <c r="E2425">
        <v>85.71</v>
      </c>
      <c r="F2425">
        <v>3900000</v>
      </c>
      <c r="G2425">
        <v>85.71</v>
      </c>
    </row>
    <row r="2426" spans="1:7" x14ac:dyDescent="0.25">
      <c r="A2426" s="5">
        <v>23921</v>
      </c>
      <c r="B2426">
        <v>83.06</v>
      </c>
      <c r="C2426">
        <v>85.4</v>
      </c>
      <c r="D2426">
        <v>80.73</v>
      </c>
      <c r="E2426">
        <v>85.16</v>
      </c>
      <c r="F2426">
        <v>6762000</v>
      </c>
      <c r="G2426">
        <v>85.16</v>
      </c>
    </row>
    <row r="2427" spans="1:7" x14ac:dyDescent="0.25">
      <c r="A2427" s="5">
        <v>23914</v>
      </c>
      <c r="B2427">
        <v>85.34</v>
      </c>
      <c r="C2427">
        <v>85.7</v>
      </c>
      <c r="D2427">
        <v>82.6</v>
      </c>
      <c r="E2427">
        <v>83.06</v>
      </c>
      <c r="F2427">
        <v>4364000</v>
      </c>
      <c r="G2427">
        <v>83.06</v>
      </c>
    </row>
    <row r="2428" spans="1:7" x14ac:dyDescent="0.25">
      <c r="A2428" s="5">
        <v>23907</v>
      </c>
      <c r="B2428">
        <v>85.12</v>
      </c>
      <c r="C2428">
        <v>86.22</v>
      </c>
      <c r="D2428">
        <v>83.01</v>
      </c>
      <c r="E2428">
        <v>85.34</v>
      </c>
      <c r="F2428">
        <v>6042000</v>
      </c>
      <c r="G2428">
        <v>85.34</v>
      </c>
    </row>
    <row r="2429" spans="1:7" x14ac:dyDescent="0.25">
      <c r="A2429" s="5">
        <v>23900</v>
      </c>
      <c r="B2429">
        <v>87.11</v>
      </c>
      <c r="C2429">
        <v>87.45</v>
      </c>
      <c r="D2429">
        <v>84.1</v>
      </c>
      <c r="E2429">
        <v>85.12</v>
      </c>
      <c r="F2429">
        <v>5846000</v>
      </c>
      <c r="G2429">
        <v>85.12</v>
      </c>
    </row>
    <row r="2430" spans="1:7" x14ac:dyDescent="0.25">
      <c r="A2430" s="5">
        <v>23894</v>
      </c>
      <c r="B2430">
        <v>88.42</v>
      </c>
      <c r="C2430">
        <v>88.8</v>
      </c>
      <c r="D2430">
        <v>86.25</v>
      </c>
      <c r="E2430">
        <v>87.11</v>
      </c>
      <c r="F2430">
        <v>5467500</v>
      </c>
      <c r="G2430">
        <v>87.11</v>
      </c>
    </row>
    <row r="2431" spans="1:7" x14ac:dyDescent="0.25">
      <c r="A2431" s="5">
        <v>23886</v>
      </c>
      <c r="B2431">
        <v>88.75</v>
      </c>
      <c r="C2431">
        <v>89.22</v>
      </c>
      <c r="D2431">
        <v>87.24</v>
      </c>
      <c r="E2431">
        <v>88.42</v>
      </c>
      <c r="F2431">
        <v>4972000</v>
      </c>
      <c r="G2431">
        <v>88.42</v>
      </c>
    </row>
    <row r="2432" spans="1:7" x14ac:dyDescent="0.25">
      <c r="A2432" s="5">
        <v>23879</v>
      </c>
      <c r="B2432">
        <v>90.1</v>
      </c>
      <c r="C2432">
        <v>90.44</v>
      </c>
      <c r="D2432">
        <v>88.4</v>
      </c>
      <c r="E2432">
        <v>88.75</v>
      </c>
      <c r="F2432">
        <v>5276000</v>
      </c>
      <c r="G2432">
        <v>88.75</v>
      </c>
    </row>
    <row r="2433" spans="1:7" x14ac:dyDescent="0.25">
      <c r="A2433" s="5">
        <v>23872</v>
      </c>
      <c r="B2433">
        <v>89.85</v>
      </c>
      <c r="C2433">
        <v>90.68</v>
      </c>
      <c r="D2433">
        <v>89.05</v>
      </c>
      <c r="E2433">
        <v>90.1</v>
      </c>
      <c r="F2433">
        <v>5876000</v>
      </c>
      <c r="G2433">
        <v>90.1</v>
      </c>
    </row>
    <row r="2434" spans="1:7" x14ac:dyDescent="0.25">
      <c r="A2434" s="5">
        <v>23865</v>
      </c>
      <c r="B2434">
        <v>89.11</v>
      </c>
      <c r="C2434">
        <v>90.57</v>
      </c>
      <c r="D2434">
        <v>88.62</v>
      </c>
      <c r="E2434">
        <v>89.85</v>
      </c>
      <c r="F2434">
        <v>5914000</v>
      </c>
      <c r="G2434">
        <v>89.85</v>
      </c>
    </row>
    <row r="2435" spans="1:7" x14ac:dyDescent="0.25">
      <c r="A2435" s="5">
        <v>23858</v>
      </c>
      <c r="B2435">
        <v>88.88</v>
      </c>
      <c r="C2435">
        <v>89.64</v>
      </c>
      <c r="D2435">
        <v>88.3</v>
      </c>
      <c r="E2435">
        <v>89.11</v>
      </c>
      <c r="F2435">
        <v>5620000</v>
      </c>
      <c r="G2435">
        <v>89.11</v>
      </c>
    </row>
    <row r="2436" spans="1:7" x14ac:dyDescent="0.25">
      <c r="A2436" s="5">
        <v>23851</v>
      </c>
      <c r="B2436">
        <v>88.15</v>
      </c>
      <c r="C2436">
        <v>89.41</v>
      </c>
      <c r="D2436">
        <v>87.7</v>
      </c>
      <c r="E2436">
        <v>88.88</v>
      </c>
      <c r="F2436">
        <v>5924000</v>
      </c>
      <c r="G2436">
        <v>88.88</v>
      </c>
    </row>
    <row r="2437" spans="1:7" x14ac:dyDescent="0.25">
      <c r="A2437" s="5">
        <v>23844</v>
      </c>
      <c r="B2437">
        <v>87.56</v>
      </c>
      <c r="C2437">
        <v>88.65</v>
      </c>
      <c r="D2437">
        <v>87.31</v>
      </c>
      <c r="E2437">
        <v>88.15</v>
      </c>
      <c r="F2437">
        <v>6285000</v>
      </c>
      <c r="G2437">
        <v>88.15</v>
      </c>
    </row>
    <row r="2438" spans="1:7" x14ac:dyDescent="0.25">
      <c r="A2438" s="5">
        <v>23837</v>
      </c>
      <c r="B2438">
        <v>86.53</v>
      </c>
      <c r="C2438">
        <v>87.87</v>
      </c>
      <c r="D2438">
        <v>86.08</v>
      </c>
      <c r="E2438">
        <v>87.56</v>
      </c>
      <c r="F2438">
        <v>5262000</v>
      </c>
      <c r="G2438">
        <v>87.56</v>
      </c>
    </row>
    <row r="2439" spans="1:7" x14ac:dyDescent="0.25">
      <c r="A2439" s="5">
        <v>23830</v>
      </c>
      <c r="B2439">
        <v>86.2</v>
      </c>
      <c r="C2439">
        <v>86.89</v>
      </c>
      <c r="D2439">
        <v>85.65</v>
      </c>
      <c r="E2439">
        <v>86.53</v>
      </c>
      <c r="F2439">
        <v>4656000</v>
      </c>
      <c r="G2439">
        <v>86.53</v>
      </c>
    </row>
    <row r="2440" spans="1:7" x14ac:dyDescent="0.25">
      <c r="A2440" s="5">
        <v>23823</v>
      </c>
      <c r="B2440">
        <v>86.84</v>
      </c>
      <c r="C2440">
        <v>87.55</v>
      </c>
      <c r="D2440">
        <v>85.96</v>
      </c>
      <c r="E2440">
        <v>86.2</v>
      </c>
      <c r="F2440">
        <v>5128000</v>
      </c>
      <c r="G2440">
        <v>86.2</v>
      </c>
    </row>
    <row r="2441" spans="1:7" x14ac:dyDescent="0.25">
      <c r="A2441" s="5">
        <v>23816</v>
      </c>
      <c r="B2441">
        <v>87.21</v>
      </c>
      <c r="C2441">
        <v>87.92</v>
      </c>
      <c r="D2441">
        <v>86.43</v>
      </c>
      <c r="E2441">
        <v>86.84</v>
      </c>
      <c r="F2441">
        <v>5326000</v>
      </c>
      <c r="G2441">
        <v>86.84</v>
      </c>
    </row>
    <row r="2442" spans="1:7" x14ac:dyDescent="0.25">
      <c r="A2442" s="5">
        <v>23809</v>
      </c>
      <c r="B2442">
        <v>86.8</v>
      </c>
      <c r="C2442">
        <v>87.65</v>
      </c>
      <c r="D2442">
        <v>86.17</v>
      </c>
      <c r="E2442">
        <v>87.21</v>
      </c>
      <c r="F2442">
        <v>5540000</v>
      </c>
      <c r="G2442">
        <v>87.21</v>
      </c>
    </row>
    <row r="2443" spans="1:7" x14ac:dyDescent="0.25">
      <c r="A2443" s="5">
        <v>23802</v>
      </c>
      <c r="B2443">
        <v>87.43</v>
      </c>
      <c r="C2443">
        <v>87.93</v>
      </c>
      <c r="D2443">
        <v>86</v>
      </c>
      <c r="E2443">
        <v>86.8</v>
      </c>
      <c r="F2443">
        <v>6306000</v>
      </c>
      <c r="G2443">
        <v>86.8</v>
      </c>
    </row>
    <row r="2444" spans="1:7" x14ac:dyDescent="0.25">
      <c r="A2444" s="5">
        <v>23796</v>
      </c>
      <c r="B2444">
        <v>86.21</v>
      </c>
      <c r="C2444">
        <v>87.84</v>
      </c>
      <c r="D2444">
        <v>86.03</v>
      </c>
      <c r="E2444">
        <v>87.43</v>
      </c>
      <c r="F2444">
        <v>6380000</v>
      </c>
      <c r="G2444">
        <v>87.43</v>
      </c>
    </row>
    <row r="2445" spans="1:7" x14ac:dyDescent="0.25">
      <c r="A2445" s="5">
        <v>23788</v>
      </c>
      <c r="B2445">
        <v>86.17</v>
      </c>
      <c r="C2445">
        <v>86.86</v>
      </c>
      <c r="D2445">
        <v>85.25</v>
      </c>
      <c r="E2445">
        <v>86.21</v>
      </c>
      <c r="F2445">
        <v>5578000</v>
      </c>
      <c r="G2445">
        <v>86.21</v>
      </c>
    </row>
    <row r="2446" spans="1:7" x14ac:dyDescent="0.25">
      <c r="A2446" s="5">
        <v>23781</v>
      </c>
      <c r="B2446">
        <v>87</v>
      </c>
      <c r="C2446">
        <v>87.7</v>
      </c>
      <c r="D2446">
        <v>85.4</v>
      </c>
      <c r="E2446">
        <v>86.17</v>
      </c>
      <c r="F2446">
        <v>5934000</v>
      </c>
      <c r="G2446">
        <v>86.17</v>
      </c>
    </row>
    <row r="2447" spans="1:7" x14ac:dyDescent="0.25">
      <c r="A2447" s="5">
        <v>23774</v>
      </c>
      <c r="B2447">
        <v>87.56</v>
      </c>
      <c r="C2447">
        <v>88.06</v>
      </c>
      <c r="D2447">
        <v>86.9</v>
      </c>
      <c r="E2447">
        <v>87.29</v>
      </c>
      <c r="F2447">
        <v>5840000</v>
      </c>
      <c r="G2447">
        <v>87.29</v>
      </c>
    </row>
    <row r="2448" spans="1:7" x14ac:dyDescent="0.25">
      <c r="A2448" s="5">
        <v>23767</v>
      </c>
      <c r="B2448">
        <v>86.74</v>
      </c>
      <c r="C2448">
        <v>88.19</v>
      </c>
      <c r="D2448">
        <v>86.39</v>
      </c>
      <c r="E2448">
        <v>87.56</v>
      </c>
      <c r="F2448">
        <v>6162000</v>
      </c>
      <c r="G2448">
        <v>87.56</v>
      </c>
    </row>
    <row r="2449" spans="1:7" x14ac:dyDescent="0.25">
      <c r="A2449" s="5">
        <v>23760</v>
      </c>
      <c r="B2449">
        <v>86.21</v>
      </c>
      <c r="C2449">
        <v>87.15</v>
      </c>
      <c r="D2449">
        <v>85.99</v>
      </c>
      <c r="E2449">
        <v>86.74</v>
      </c>
      <c r="F2449">
        <v>5372000</v>
      </c>
      <c r="G2449">
        <v>86.74</v>
      </c>
    </row>
    <row r="2450" spans="1:7" x14ac:dyDescent="0.25">
      <c r="A2450" s="5">
        <v>23753</v>
      </c>
      <c r="B2450">
        <v>85.37</v>
      </c>
      <c r="C2450">
        <v>86.52</v>
      </c>
      <c r="D2450">
        <v>84.9</v>
      </c>
      <c r="E2450">
        <v>86.21</v>
      </c>
      <c r="F2450">
        <v>5630000</v>
      </c>
      <c r="G2450">
        <v>86.21</v>
      </c>
    </row>
    <row r="2451" spans="1:7" x14ac:dyDescent="0.25">
      <c r="A2451" s="5">
        <v>23746</v>
      </c>
      <c r="B2451">
        <v>84.75</v>
      </c>
      <c r="C2451">
        <v>85.84</v>
      </c>
      <c r="D2451">
        <v>83.77</v>
      </c>
      <c r="E2451">
        <v>85.37</v>
      </c>
      <c r="F2451">
        <v>4662000</v>
      </c>
      <c r="G2451">
        <v>85.37</v>
      </c>
    </row>
    <row r="2452" spans="1:7" x14ac:dyDescent="0.25">
      <c r="A2452" s="5">
        <v>23739</v>
      </c>
      <c r="B2452">
        <v>84.15</v>
      </c>
      <c r="C2452">
        <v>85.18</v>
      </c>
      <c r="D2452">
        <v>83.38</v>
      </c>
      <c r="E2452">
        <v>84.75</v>
      </c>
      <c r="F2452">
        <v>5130000</v>
      </c>
      <c r="G2452">
        <v>84.75</v>
      </c>
    </row>
    <row r="2453" spans="1:7" x14ac:dyDescent="0.25">
      <c r="A2453" s="5">
        <v>23732</v>
      </c>
      <c r="B2453">
        <v>84.29</v>
      </c>
      <c r="C2453">
        <v>84.91</v>
      </c>
      <c r="D2453">
        <v>83.74</v>
      </c>
      <c r="E2453">
        <v>84.15</v>
      </c>
      <c r="F2453">
        <v>4265000</v>
      </c>
      <c r="G2453">
        <v>84.15</v>
      </c>
    </row>
    <row r="2454" spans="1:7" x14ac:dyDescent="0.25">
      <c r="A2454" s="5">
        <v>23725</v>
      </c>
      <c r="B2454">
        <v>83.66</v>
      </c>
      <c r="C2454">
        <v>84.65</v>
      </c>
      <c r="D2454">
        <v>82.65</v>
      </c>
      <c r="E2454">
        <v>84.29</v>
      </c>
      <c r="F2454">
        <v>4754000</v>
      </c>
      <c r="G2454">
        <v>84.29</v>
      </c>
    </row>
    <row r="2455" spans="1:7" x14ac:dyDescent="0.25">
      <c r="A2455" s="5">
        <v>23718</v>
      </c>
      <c r="B2455">
        <v>84.35</v>
      </c>
      <c r="C2455">
        <v>85.03</v>
      </c>
      <c r="D2455">
        <v>82.98</v>
      </c>
      <c r="E2455">
        <v>83.66</v>
      </c>
      <c r="F2455">
        <v>4840000</v>
      </c>
      <c r="G2455">
        <v>83.66</v>
      </c>
    </row>
    <row r="2456" spans="1:7" x14ac:dyDescent="0.25">
      <c r="A2456" s="5">
        <v>23711</v>
      </c>
      <c r="B2456">
        <v>85.16</v>
      </c>
      <c r="C2456">
        <v>85.41</v>
      </c>
      <c r="D2456">
        <v>83.12</v>
      </c>
      <c r="E2456">
        <v>84.35</v>
      </c>
      <c r="F2456">
        <v>4670000</v>
      </c>
      <c r="G2456">
        <v>84.35</v>
      </c>
    </row>
    <row r="2457" spans="1:7" x14ac:dyDescent="0.25">
      <c r="A2457" s="5">
        <v>23704</v>
      </c>
      <c r="B2457">
        <v>86.28</v>
      </c>
      <c r="C2457">
        <v>86.59</v>
      </c>
      <c r="D2457">
        <v>84.55</v>
      </c>
      <c r="E2457">
        <v>85.16</v>
      </c>
      <c r="F2457">
        <v>4700000</v>
      </c>
      <c r="G2457">
        <v>85.16</v>
      </c>
    </row>
    <row r="2458" spans="1:7" x14ac:dyDescent="0.25">
      <c r="A2458" s="5">
        <v>23697</v>
      </c>
      <c r="B2458">
        <v>85.21</v>
      </c>
      <c r="C2458">
        <v>86.8</v>
      </c>
      <c r="D2458">
        <v>84.88</v>
      </c>
      <c r="E2458">
        <v>86.28</v>
      </c>
      <c r="F2458">
        <v>5626000</v>
      </c>
      <c r="G2458">
        <v>86.28</v>
      </c>
    </row>
    <row r="2459" spans="1:7" x14ac:dyDescent="0.25">
      <c r="A2459" s="5">
        <v>23690</v>
      </c>
      <c r="B2459">
        <v>85.23</v>
      </c>
      <c r="C2459">
        <v>85.72</v>
      </c>
      <c r="D2459">
        <v>84.49</v>
      </c>
      <c r="E2459">
        <v>85.21</v>
      </c>
      <c r="F2459">
        <v>4696000</v>
      </c>
      <c r="G2459">
        <v>85.21</v>
      </c>
    </row>
    <row r="2460" spans="1:7" x14ac:dyDescent="0.25">
      <c r="A2460" s="5">
        <v>23683</v>
      </c>
      <c r="B2460">
        <v>84.86</v>
      </c>
      <c r="C2460">
        <v>85.9</v>
      </c>
      <c r="D2460">
        <v>84.51</v>
      </c>
      <c r="E2460">
        <v>85.23</v>
      </c>
      <c r="F2460">
        <v>4585000</v>
      </c>
      <c r="G2460">
        <v>85.23</v>
      </c>
    </row>
    <row r="2461" spans="1:7" x14ac:dyDescent="0.25">
      <c r="A2461" s="5">
        <v>23676</v>
      </c>
      <c r="B2461">
        <v>85.14</v>
      </c>
      <c r="C2461">
        <v>85.7</v>
      </c>
      <c r="D2461">
        <v>84.36</v>
      </c>
      <c r="E2461">
        <v>84.86</v>
      </c>
      <c r="F2461">
        <v>4620000</v>
      </c>
      <c r="G2461">
        <v>84.86</v>
      </c>
    </row>
    <row r="2462" spans="1:7" x14ac:dyDescent="0.25">
      <c r="A2462" s="5">
        <v>23669</v>
      </c>
      <c r="B2462">
        <v>84.83</v>
      </c>
      <c r="C2462">
        <v>85.64</v>
      </c>
      <c r="D2462">
        <v>84.47</v>
      </c>
      <c r="E2462">
        <v>85.14</v>
      </c>
      <c r="F2462">
        <v>4764000</v>
      </c>
      <c r="G2462">
        <v>85.14</v>
      </c>
    </row>
    <row r="2463" spans="1:7" x14ac:dyDescent="0.25">
      <c r="A2463" s="5">
        <v>23662</v>
      </c>
      <c r="B2463">
        <v>85.22</v>
      </c>
      <c r="C2463">
        <v>85.58</v>
      </c>
      <c r="D2463">
        <v>83.65</v>
      </c>
      <c r="E2463">
        <v>84.83</v>
      </c>
      <c r="F2463">
        <v>5136000</v>
      </c>
      <c r="G2463">
        <v>84.83</v>
      </c>
    </row>
    <row r="2464" spans="1:7" x14ac:dyDescent="0.25">
      <c r="A2464" s="5">
        <v>23655</v>
      </c>
      <c r="B2464">
        <v>84.36</v>
      </c>
      <c r="C2464">
        <v>85.6</v>
      </c>
      <c r="D2464">
        <v>84.2</v>
      </c>
      <c r="E2464">
        <v>85.22</v>
      </c>
      <c r="F2464">
        <v>5022000</v>
      </c>
      <c r="G2464">
        <v>85.22</v>
      </c>
    </row>
    <row r="2465" spans="1:7" x14ac:dyDescent="0.25">
      <c r="A2465" s="5">
        <v>23648</v>
      </c>
      <c r="B2465">
        <v>84.21</v>
      </c>
      <c r="C2465">
        <v>84.8</v>
      </c>
      <c r="D2465">
        <v>83.71</v>
      </c>
      <c r="E2465">
        <v>84.36</v>
      </c>
      <c r="F2465">
        <v>4688000</v>
      </c>
      <c r="G2465">
        <v>84.36</v>
      </c>
    </row>
    <row r="2466" spans="1:7" x14ac:dyDescent="0.25">
      <c r="A2466" s="5">
        <v>23641</v>
      </c>
      <c r="B2466">
        <v>83.48</v>
      </c>
      <c r="C2466">
        <v>84.62</v>
      </c>
      <c r="D2466">
        <v>83.41</v>
      </c>
      <c r="E2466">
        <v>84.21</v>
      </c>
      <c r="F2466">
        <v>5698000</v>
      </c>
      <c r="G2466">
        <v>84.21</v>
      </c>
    </row>
    <row r="2467" spans="1:7" x14ac:dyDescent="0.25">
      <c r="A2467" s="5">
        <v>23634</v>
      </c>
      <c r="B2467">
        <v>83.45</v>
      </c>
      <c r="C2467">
        <v>84.29</v>
      </c>
      <c r="D2467">
        <v>82.57</v>
      </c>
      <c r="E2467">
        <v>83.48</v>
      </c>
      <c r="F2467">
        <v>5566000</v>
      </c>
      <c r="G2467">
        <v>83.48</v>
      </c>
    </row>
    <row r="2468" spans="1:7" x14ac:dyDescent="0.25">
      <c r="A2468" s="5">
        <v>23628</v>
      </c>
      <c r="B2468">
        <v>82.76</v>
      </c>
      <c r="C2468">
        <v>83.84</v>
      </c>
      <c r="D2468">
        <v>82.46</v>
      </c>
      <c r="E2468">
        <v>83.45</v>
      </c>
      <c r="F2468">
        <v>5220000</v>
      </c>
      <c r="G2468">
        <v>83.45</v>
      </c>
    </row>
    <row r="2469" spans="1:7" x14ac:dyDescent="0.25">
      <c r="A2469" s="5">
        <v>23620</v>
      </c>
      <c r="B2469">
        <v>81.99</v>
      </c>
      <c r="C2469">
        <v>83.03</v>
      </c>
      <c r="D2469">
        <v>81.459999999999994</v>
      </c>
      <c r="E2469">
        <v>82.76</v>
      </c>
      <c r="F2469">
        <v>4262000</v>
      </c>
      <c r="G2469">
        <v>82.76</v>
      </c>
    </row>
    <row r="2470" spans="1:7" x14ac:dyDescent="0.25">
      <c r="A2470" s="5">
        <v>23613</v>
      </c>
      <c r="B2470">
        <v>82.07</v>
      </c>
      <c r="C2470">
        <v>82.48</v>
      </c>
      <c r="D2470">
        <v>80.989999999999995</v>
      </c>
      <c r="E2470">
        <v>81.99</v>
      </c>
      <c r="F2470">
        <v>3638000</v>
      </c>
      <c r="G2470">
        <v>81.99</v>
      </c>
    </row>
    <row r="2471" spans="1:7" x14ac:dyDescent="0.25">
      <c r="A2471" s="5">
        <v>23606</v>
      </c>
      <c r="B2471">
        <v>82.35</v>
      </c>
      <c r="C2471">
        <v>82.85</v>
      </c>
      <c r="D2471">
        <v>81.599999999999994</v>
      </c>
      <c r="E2471">
        <v>82.07</v>
      </c>
      <c r="F2471">
        <v>3916000</v>
      </c>
      <c r="G2471">
        <v>82.07</v>
      </c>
    </row>
    <row r="2472" spans="1:7" x14ac:dyDescent="0.25">
      <c r="A2472" s="5">
        <v>23599</v>
      </c>
      <c r="B2472">
        <v>81.86</v>
      </c>
      <c r="C2472">
        <v>82.87</v>
      </c>
      <c r="D2472">
        <v>81.430000000000007</v>
      </c>
      <c r="E2472">
        <v>82.35</v>
      </c>
      <c r="F2472">
        <v>3864000</v>
      </c>
      <c r="G2472">
        <v>82.35</v>
      </c>
    </row>
    <row r="2473" spans="1:7" x14ac:dyDescent="0.25">
      <c r="A2473" s="5">
        <v>23592</v>
      </c>
      <c r="B2473">
        <v>83.18</v>
      </c>
      <c r="C2473">
        <v>83.49</v>
      </c>
      <c r="D2473">
        <v>80.8</v>
      </c>
      <c r="E2473">
        <v>81.86</v>
      </c>
      <c r="F2473">
        <v>4370000</v>
      </c>
      <c r="G2473">
        <v>81.86</v>
      </c>
    </row>
    <row r="2474" spans="1:7" x14ac:dyDescent="0.25">
      <c r="A2474" s="5">
        <v>23585</v>
      </c>
      <c r="B2474">
        <v>83.46</v>
      </c>
      <c r="C2474">
        <v>83.82</v>
      </c>
      <c r="D2474">
        <v>82.4</v>
      </c>
      <c r="E2474">
        <v>83.18</v>
      </c>
      <c r="F2474">
        <v>4150000</v>
      </c>
      <c r="G2474">
        <v>83.18</v>
      </c>
    </row>
    <row r="2475" spans="1:7" x14ac:dyDescent="0.25">
      <c r="A2475" s="5">
        <v>23578</v>
      </c>
      <c r="B2475">
        <v>84.01</v>
      </c>
      <c r="C2475">
        <v>84.33</v>
      </c>
      <c r="D2475">
        <v>82.96</v>
      </c>
      <c r="E2475">
        <v>83.46</v>
      </c>
      <c r="F2475">
        <v>4460000</v>
      </c>
      <c r="G2475">
        <v>83.46</v>
      </c>
    </row>
    <row r="2476" spans="1:7" x14ac:dyDescent="0.25">
      <c r="A2476" s="5">
        <v>23571</v>
      </c>
      <c r="B2476">
        <v>83.36</v>
      </c>
      <c r="C2476">
        <v>84.33</v>
      </c>
      <c r="D2476">
        <v>82.72</v>
      </c>
      <c r="E2476">
        <v>84.01</v>
      </c>
      <c r="F2476">
        <v>4690000</v>
      </c>
      <c r="G2476">
        <v>84.01</v>
      </c>
    </row>
    <row r="2477" spans="1:7" x14ac:dyDescent="0.25">
      <c r="A2477" s="5">
        <v>23564</v>
      </c>
      <c r="B2477">
        <v>82.6</v>
      </c>
      <c r="C2477">
        <v>83.99</v>
      </c>
      <c r="D2477">
        <v>82.37</v>
      </c>
      <c r="E2477">
        <v>83.36</v>
      </c>
      <c r="F2477">
        <v>5108000</v>
      </c>
      <c r="G2477">
        <v>83.36</v>
      </c>
    </row>
    <row r="2478" spans="1:7" x14ac:dyDescent="0.25">
      <c r="A2478" s="5">
        <v>23557</v>
      </c>
      <c r="B2478">
        <v>81.459999999999994</v>
      </c>
      <c r="C2478">
        <v>82.98</v>
      </c>
      <c r="D2478">
        <v>81.099999999999994</v>
      </c>
      <c r="E2478">
        <v>82.6</v>
      </c>
      <c r="F2478">
        <v>4822500</v>
      </c>
      <c r="G2478">
        <v>82.6</v>
      </c>
    </row>
    <row r="2479" spans="1:7" x14ac:dyDescent="0.25">
      <c r="A2479" s="5">
        <v>23550</v>
      </c>
      <c r="B2479">
        <v>80.89</v>
      </c>
      <c r="C2479">
        <v>81.78</v>
      </c>
      <c r="D2479">
        <v>80.41</v>
      </c>
      <c r="E2479">
        <v>81.459999999999994</v>
      </c>
      <c r="F2479">
        <v>4578000</v>
      </c>
      <c r="G2479">
        <v>81.459999999999994</v>
      </c>
    </row>
    <row r="2480" spans="1:7" x14ac:dyDescent="0.25">
      <c r="A2480" s="5">
        <v>23543</v>
      </c>
      <c r="B2480">
        <v>79.599999999999994</v>
      </c>
      <c r="C2480">
        <v>81.34</v>
      </c>
      <c r="D2480">
        <v>79.39</v>
      </c>
      <c r="E2480">
        <v>80.89</v>
      </c>
      <c r="F2480">
        <v>4564000</v>
      </c>
      <c r="G2480">
        <v>80.89</v>
      </c>
    </row>
    <row r="2481" spans="1:7" x14ac:dyDescent="0.25">
      <c r="A2481" s="5">
        <v>23536</v>
      </c>
      <c r="B2481">
        <v>79.02</v>
      </c>
      <c r="C2481">
        <v>80.13</v>
      </c>
      <c r="D2481">
        <v>78.150000000000006</v>
      </c>
      <c r="E2481">
        <v>79.599999999999994</v>
      </c>
      <c r="F2481">
        <v>4022000</v>
      </c>
      <c r="G2481">
        <v>79.599999999999994</v>
      </c>
    </row>
    <row r="2482" spans="1:7" x14ac:dyDescent="0.25">
      <c r="A2482" s="5">
        <v>23529</v>
      </c>
      <c r="B2482">
        <v>80.37</v>
      </c>
      <c r="C2482">
        <v>80.83</v>
      </c>
      <c r="D2482">
        <v>78.44</v>
      </c>
      <c r="E2482">
        <v>79.02</v>
      </c>
      <c r="F2482">
        <v>4318000</v>
      </c>
      <c r="G2482">
        <v>79.02</v>
      </c>
    </row>
    <row r="2483" spans="1:7" x14ac:dyDescent="0.25">
      <c r="A2483" s="5">
        <v>23522</v>
      </c>
      <c r="B2483">
        <v>80.73</v>
      </c>
      <c r="C2483">
        <v>81.16</v>
      </c>
      <c r="D2483">
        <v>79.78</v>
      </c>
      <c r="E2483">
        <v>80.37</v>
      </c>
      <c r="F2483">
        <v>4322500</v>
      </c>
      <c r="G2483">
        <v>80.37</v>
      </c>
    </row>
    <row r="2484" spans="1:7" x14ac:dyDescent="0.25">
      <c r="A2484" s="5">
        <v>23515</v>
      </c>
      <c r="B2484">
        <v>81.099999999999994</v>
      </c>
      <c r="C2484">
        <v>81.489999999999995</v>
      </c>
      <c r="D2484">
        <v>79.959999999999994</v>
      </c>
      <c r="E2484">
        <v>80.73</v>
      </c>
      <c r="F2484">
        <v>4746000</v>
      </c>
      <c r="G2484">
        <v>80.73</v>
      </c>
    </row>
    <row r="2485" spans="1:7" x14ac:dyDescent="0.25">
      <c r="A2485" s="5">
        <v>23508</v>
      </c>
      <c r="B2485">
        <v>81</v>
      </c>
      <c r="C2485">
        <v>81.81</v>
      </c>
      <c r="D2485">
        <v>80.37</v>
      </c>
      <c r="E2485">
        <v>81.099999999999994</v>
      </c>
      <c r="F2485">
        <v>5074000</v>
      </c>
      <c r="G2485">
        <v>81.099999999999994</v>
      </c>
    </row>
    <row r="2486" spans="1:7" x14ac:dyDescent="0.25">
      <c r="A2486" s="5">
        <v>23501</v>
      </c>
      <c r="B2486">
        <v>80.17</v>
      </c>
      <c r="C2486">
        <v>81.72</v>
      </c>
      <c r="D2486">
        <v>79.87</v>
      </c>
      <c r="E2486">
        <v>81</v>
      </c>
      <c r="F2486">
        <v>5354000</v>
      </c>
      <c r="G2486">
        <v>81</v>
      </c>
    </row>
    <row r="2487" spans="1:7" x14ac:dyDescent="0.25">
      <c r="A2487" s="5">
        <v>23494</v>
      </c>
      <c r="B2487">
        <v>79.75</v>
      </c>
      <c r="C2487">
        <v>80.599999999999994</v>
      </c>
      <c r="D2487">
        <v>78.900000000000006</v>
      </c>
      <c r="E2487">
        <v>80.17</v>
      </c>
      <c r="F2487">
        <v>5548000</v>
      </c>
      <c r="G2487">
        <v>80.17</v>
      </c>
    </row>
    <row r="2488" spans="1:7" x14ac:dyDescent="0.25">
      <c r="A2488" s="5">
        <v>23487</v>
      </c>
      <c r="B2488">
        <v>80.55</v>
      </c>
      <c r="C2488">
        <v>81.2</v>
      </c>
      <c r="D2488">
        <v>79.45</v>
      </c>
      <c r="E2488">
        <v>79.75</v>
      </c>
      <c r="F2488">
        <v>5800000</v>
      </c>
      <c r="G2488">
        <v>79.75</v>
      </c>
    </row>
    <row r="2489" spans="1:7" x14ac:dyDescent="0.25">
      <c r="A2489" s="5">
        <v>23480</v>
      </c>
      <c r="B2489">
        <v>79.849999999999994</v>
      </c>
      <c r="C2489">
        <v>80.98</v>
      </c>
      <c r="D2489">
        <v>79.42</v>
      </c>
      <c r="E2489">
        <v>80.55</v>
      </c>
      <c r="F2489">
        <v>5398000</v>
      </c>
      <c r="G2489">
        <v>80.55</v>
      </c>
    </row>
    <row r="2490" spans="1:7" x14ac:dyDescent="0.25">
      <c r="A2490" s="5">
        <v>23473</v>
      </c>
      <c r="B2490">
        <v>79.94</v>
      </c>
      <c r="C2490">
        <v>80.45</v>
      </c>
      <c r="D2490">
        <v>79.260000000000005</v>
      </c>
      <c r="E2490">
        <v>79.849999999999994</v>
      </c>
      <c r="F2490">
        <v>5482000</v>
      </c>
      <c r="G2490">
        <v>79.849999999999994</v>
      </c>
    </row>
    <row r="2491" spans="1:7" x14ac:dyDescent="0.25">
      <c r="A2491" s="5">
        <v>23466</v>
      </c>
      <c r="B2491">
        <v>79.19</v>
      </c>
      <c r="C2491">
        <v>80.37</v>
      </c>
      <c r="D2491">
        <v>78.569999999999993</v>
      </c>
      <c r="E2491">
        <v>79.94</v>
      </c>
      <c r="F2491">
        <v>5934000</v>
      </c>
      <c r="G2491">
        <v>79.94</v>
      </c>
    </row>
    <row r="2492" spans="1:7" x14ac:dyDescent="0.25">
      <c r="A2492" s="5">
        <v>23459</v>
      </c>
      <c r="B2492">
        <v>78.92</v>
      </c>
      <c r="C2492">
        <v>79.58</v>
      </c>
      <c r="D2492">
        <v>78.17</v>
      </c>
      <c r="E2492">
        <v>79.19</v>
      </c>
      <c r="F2492">
        <v>5332500</v>
      </c>
      <c r="G2492">
        <v>79.19</v>
      </c>
    </row>
    <row r="2493" spans="1:7" x14ac:dyDescent="0.25">
      <c r="A2493" s="5">
        <v>23452</v>
      </c>
      <c r="B2493">
        <v>79.14</v>
      </c>
      <c r="C2493">
        <v>79.89</v>
      </c>
      <c r="D2493">
        <v>78.72</v>
      </c>
      <c r="E2493">
        <v>78.92</v>
      </c>
      <c r="F2493">
        <v>5440000</v>
      </c>
      <c r="G2493">
        <v>78.92</v>
      </c>
    </row>
    <row r="2494" spans="1:7" x14ac:dyDescent="0.25">
      <c r="A2494" s="5">
        <v>23445</v>
      </c>
      <c r="B2494">
        <v>78.31</v>
      </c>
      <c r="C2494">
        <v>79.59</v>
      </c>
      <c r="D2494">
        <v>77.95</v>
      </c>
      <c r="E2494">
        <v>79.14</v>
      </c>
      <c r="F2494">
        <v>5628000</v>
      </c>
      <c r="G2494">
        <v>79.14</v>
      </c>
    </row>
    <row r="2495" spans="1:7" x14ac:dyDescent="0.25">
      <c r="A2495" s="5">
        <v>23438</v>
      </c>
      <c r="B2495">
        <v>77.8</v>
      </c>
      <c r="C2495">
        <v>78.7</v>
      </c>
      <c r="D2495">
        <v>77.5</v>
      </c>
      <c r="E2495">
        <v>78.31</v>
      </c>
      <c r="F2495">
        <v>5152000</v>
      </c>
      <c r="G2495">
        <v>78.31</v>
      </c>
    </row>
    <row r="2496" spans="1:7" x14ac:dyDescent="0.25">
      <c r="A2496" s="5">
        <v>23431</v>
      </c>
      <c r="B2496">
        <v>77.62</v>
      </c>
      <c r="C2496">
        <v>78.31</v>
      </c>
      <c r="D2496">
        <v>77.19</v>
      </c>
      <c r="E2496">
        <v>77.8</v>
      </c>
      <c r="F2496">
        <v>5278000</v>
      </c>
      <c r="G2496">
        <v>77.8</v>
      </c>
    </row>
    <row r="2497" spans="1:7" x14ac:dyDescent="0.25">
      <c r="A2497" s="5">
        <v>23424</v>
      </c>
      <c r="B2497">
        <v>77.48</v>
      </c>
      <c r="C2497">
        <v>77.989999999999995</v>
      </c>
      <c r="D2497">
        <v>77</v>
      </c>
      <c r="E2497">
        <v>77.62</v>
      </c>
      <c r="F2497">
        <v>4602500</v>
      </c>
      <c r="G2497">
        <v>77.62</v>
      </c>
    </row>
    <row r="2498" spans="1:7" x14ac:dyDescent="0.25">
      <c r="A2498" s="5">
        <v>23417</v>
      </c>
      <c r="B2498">
        <v>77.180000000000007</v>
      </c>
      <c r="C2498">
        <v>77.930000000000007</v>
      </c>
      <c r="D2498">
        <v>76.81</v>
      </c>
      <c r="E2498">
        <v>77.48</v>
      </c>
      <c r="F2498">
        <v>4404000</v>
      </c>
      <c r="G2498">
        <v>77.48</v>
      </c>
    </row>
    <row r="2499" spans="1:7" x14ac:dyDescent="0.25">
      <c r="A2499" s="5">
        <v>23410</v>
      </c>
      <c r="B2499">
        <v>77.040000000000006</v>
      </c>
      <c r="C2499">
        <v>77.55</v>
      </c>
      <c r="D2499">
        <v>76.36</v>
      </c>
      <c r="E2499">
        <v>77.180000000000007</v>
      </c>
      <c r="F2499">
        <v>4258000</v>
      </c>
      <c r="G2499">
        <v>77.180000000000007</v>
      </c>
    </row>
    <row r="2500" spans="1:7" x14ac:dyDescent="0.25">
      <c r="A2500" s="5">
        <v>23403</v>
      </c>
      <c r="B2500">
        <v>77.11</v>
      </c>
      <c r="C2500">
        <v>77.78</v>
      </c>
      <c r="D2500">
        <v>76.260000000000005</v>
      </c>
      <c r="E2500">
        <v>77.040000000000006</v>
      </c>
      <c r="F2500">
        <v>4528000</v>
      </c>
      <c r="G2500">
        <v>77.040000000000006</v>
      </c>
    </row>
    <row r="2501" spans="1:7" x14ac:dyDescent="0.25">
      <c r="A2501" s="5">
        <v>23396</v>
      </c>
      <c r="B2501">
        <v>76.56</v>
      </c>
      <c r="C2501">
        <v>77.62</v>
      </c>
      <c r="D2501">
        <v>75.87</v>
      </c>
      <c r="E2501">
        <v>77.11</v>
      </c>
      <c r="F2501">
        <v>5252000</v>
      </c>
      <c r="G2501">
        <v>77.11</v>
      </c>
    </row>
    <row r="2502" spans="1:7" x14ac:dyDescent="0.25">
      <c r="A2502" s="5">
        <v>23389</v>
      </c>
      <c r="B2502">
        <v>76.239999999999995</v>
      </c>
      <c r="C2502">
        <v>77.209999999999994</v>
      </c>
      <c r="D2502">
        <v>75.78</v>
      </c>
      <c r="E2502">
        <v>76.56</v>
      </c>
      <c r="F2502">
        <v>6098000</v>
      </c>
      <c r="G2502">
        <v>76.56</v>
      </c>
    </row>
    <row r="2503" spans="1:7" x14ac:dyDescent="0.25">
      <c r="A2503" s="5">
        <v>23382</v>
      </c>
      <c r="B2503">
        <v>75.5</v>
      </c>
      <c r="C2503">
        <v>76.67</v>
      </c>
      <c r="D2503">
        <v>75.180000000000007</v>
      </c>
      <c r="E2503">
        <v>76.239999999999995</v>
      </c>
      <c r="F2503">
        <v>5400000</v>
      </c>
      <c r="G2503">
        <v>76.239999999999995</v>
      </c>
    </row>
    <row r="2504" spans="1:7" x14ac:dyDescent="0.25">
      <c r="A2504" s="5">
        <v>23375</v>
      </c>
      <c r="B2504">
        <v>74.44</v>
      </c>
      <c r="C2504">
        <v>76.040000000000006</v>
      </c>
      <c r="D2504">
        <v>74.13</v>
      </c>
      <c r="E2504">
        <v>75.5</v>
      </c>
      <c r="F2504">
        <v>5472500</v>
      </c>
      <c r="G2504">
        <v>75.5</v>
      </c>
    </row>
    <row r="2505" spans="1:7" x14ac:dyDescent="0.25">
      <c r="A2505" s="5">
        <v>23368</v>
      </c>
      <c r="B2505">
        <v>74.28</v>
      </c>
      <c r="C2505">
        <v>74.91</v>
      </c>
      <c r="D2505">
        <v>73.44</v>
      </c>
      <c r="E2505">
        <v>74.44</v>
      </c>
      <c r="F2505">
        <v>4142500</v>
      </c>
      <c r="G2505">
        <v>74.44</v>
      </c>
    </row>
    <row r="2506" spans="1:7" x14ac:dyDescent="0.25">
      <c r="A2506" s="5">
        <v>23361</v>
      </c>
      <c r="B2506">
        <v>74.06</v>
      </c>
      <c r="C2506">
        <v>75.209999999999994</v>
      </c>
      <c r="D2506">
        <v>73.78</v>
      </c>
      <c r="E2506">
        <v>74.28</v>
      </c>
      <c r="F2506">
        <v>4886000</v>
      </c>
      <c r="G2506">
        <v>74.28</v>
      </c>
    </row>
    <row r="2507" spans="1:7" x14ac:dyDescent="0.25">
      <c r="A2507" s="5">
        <v>23354</v>
      </c>
      <c r="B2507">
        <v>74</v>
      </c>
      <c r="C2507">
        <v>74.48</v>
      </c>
      <c r="D2507">
        <v>73.400000000000006</v>
      </c>
      <c r="E2507">
        <v>74.06</v>
      </c>
      <c r="F2507">
        <v>4380000</v>
      </c>
      <c r="G2507">
        <v>74.06</v>
      </c>
    </row>
    <row r="2508" spans="1:7" x14ac:dyDescent="0.25">
      <c r="A2508" s="5">
        <v>23347</v>
      </c>
      <c r="B2508">
        <v>73.23</v>
      </c>
      <c r="C2508">
        <v>74.63</v>
      </c>
      <c r="D2508">
        <v>73.02</v>
      </c>
      <c r="E2508">
        <v>74</v>
      </c>
      <c r="F2508">
        <v>4820000</v>
      </c>
      <c r="G2508">
        <v>74</v>
      </c>
    </row>
    <row r="2509" spans="1:7" x14ac:dyDescent="0.25">
      <c r="A2509" s="5">
        <v>23341</v>
      </c>
      <c r="B2509">
        <v>71.400000000000006</v>
      </c>
      <c r="C2509">
        <v>73.47</v>
      </c>
      <c r="D2509">
        <v>71.400000000000006</v>
      </c>
      <c r="E2509">
        <v>73.23</v>
      </c>
      <c r="F2509">
        <v>6446600</v>
      </c>
      <c r="G2509">
        <v>73.23</v>
      </c>
    </row>
    <row r="2510" spans="1:7" x14ac:dyDescent="0.25">
      <c r="A2510" s="5">
        <v>23333</v>
      </c>
      <c r="B2510">
        <v>72.349999999999994</v>
      </c>
      <c r="C2510">
        <v>73.14</v>
      </c>
      <c r="D2510">
        <v>69.48</v>
      </c>
      <c r="E2510">
        <v>69.61</v>
      </c>
      <c r="F2510">
        <v>5358000</v>
      </c>
      <c r="G2510">
        <v>69.61</v>
      </c>
    </row>
    <row r="2511" spans="1:7" x14ac:dyDescent="0.25">
      <c r="A2511" s="5">
        <v>23326</v>
      </c>
      <c r="B2511">
        <v>73.52</v>
      </c>
      <c r="C2511">
        <v>73.67</v>
      </c>
      <c r="D2511">
        <v>72.09</v>
      </c>
      <c r="E2511">
        <v>72.349999999999994</v>
      </c>
      <c r="F2511">
        <v>4538000</v>
      </c>
      <c r="G2511">
        <v>72.349999999999994</v>
      </c>
    </row>
    <row r="2512" spans="1:7" x14ac:dyDescent="0.25">
      <c r="A2512" s="5">
        <v>23319</v>
      </c>
      <c r="B2512">
        <v>73.83</v>
      </c>
      <c r="C2512">
        <v>74.27</v>
      </c>
      <c r="D2512">
        <v>72.33</v>
      </c>
      <c r="E2512">
        <v>73.36</v>
      </c>
      <c r="F2512">
        <v>4982500</v>
      </c>
      <c r="G2512">
        <v>73.36</v>
      </c>
    </row>
    <row r="2513" spans="1:7" x14ac:dyDescent="0.25">
      <c r="A2513" s="5">
        <v>23312</v>
      </c>
      <c r="B2513">
        <v>74.010000000000005</v>
      </c>
      <c r="C2513">
        <v>75.180000000000007</v>
      </c>
      <c r="D2513">
        <v>73.25</v>
      </c>
      <c r="E2513">
        <v>73.83</v>
      </c>
      <c r="F2513">
        <v>5738000</v>
      </c>
      <c r="G2513">
        <v>73.83</v>
      </c>
    </row>
    <row r="2514" spans="1:7" x14ac:dyDescent="0.25">
      <c r="A2514" s="5">
        <v>23305</v>
      </c>
      <c r="B2514">
        <v>73.319999999999993</v>
      </c>
      <c r="C2514">
        <v>74.41</v>
      </c>
      <c r="D2514">
        <v>72.48</v>
      </c>
      <c r="E2514">
        <v>74.010000000000005</v>
      </c>
      <c r="F2514">
        <v>6074000</v>
      </c>
      <c r="G2514">
        <v>74.010000000000005</v>
      </c>
    </row>
    <row r="2515" spans="1:7" x14ac:dyDescent="0.25">
      <c r="A2515" s="5">
        <v>23298</v>
      </c>
      <c r="B2515">
        <v>72.27</v>
      </c>
      <c r="C2515">
        <v>73.77</v>
      </c>
      <c r="D2515">
        <v>71.849999999999994</v>
      </c>
      <c r="E2515">
        <v>73.319999999999993</v>
      </c>
      <c r="F2515">
        <v>5402000</v>
      </c>
      <c r="G2515">
        <v>73.319999999999993</v>
      </c>
    </row>
    <row r="2516" spans="1:7" x14ac:dyDescent="0.25">
      <c r="A2516" s="5">
        <v>23291</v>
      </c>
      <c r="B2516">
        <v>72.849999999999994</v>
      </c>
      <c r="C2516">
        <v>73.27</v>
      </c>
      <c r="D2516">
        <v>71.599999999999994</v>
      </c>
      <c r="E2516">
        <v>72.27</v>
      </c>
      <c r="F2516">
        <v>4740000</v>
      </c>
      <c r="G2516">
        <v>72.27</v>
      </c>
    </row>
    <row r="2517" spans="1:7" x14ac:dyDescent="0.25">
      <c r="A2517" s="5">
        <v>23284</v>
      </c>
      <c r="B2517">
        <v>72.13</v>
      </c>
      <c r="C2517">
        <v>73.19</v>
      </c>
      <c r="D2517">
        <v>71.28</v>
      </c>
      <c r="E2517">
        <v>72.849999999999994</v>
      </c>
      <c r="F2517">
        <v>4312000</v>
      </c>
      <c r="G2517">
        <v>72.849999999999994</v>
      </c>
    </row>
    <row r="2518" spans="1:7" x14ac:dyDescent="0.25">
      <c r="A2518" s="5">
        <v>23277</v>
      </c>
      <c r="B2518">
        <v>73.3</v>
      </c>
      <c r="C2518">
        <v>73.87</v>
      </c>
      <c r="D2518">
        <v>71.599999999999994</v>
      </c>
      <c r="E2518">
        <v>72.13</v>
      </c>
      <c r="F2518">
        <v>5290000</v>
      </c>
      <c r="G2518">
        <v>72.13</v>
      </c>
    </row>
    <row r="2519" spans="1:7" x14ac:dyDescent="0.25">
      <c r="A2519" s="5">
        <v>23270</v>
      </c>
      <c r="B2519">
        <v>73.17</v>
      </c>
      <c r="C2519">
        <v>73.709999999999994</v>
      </c>
      <c r="D2519">
        <v>72.510000000000005</v>
      </c>
      <c r="E2519">
        <v>73.3</v>
      </c>
      <c r="F2519">
        <v>4830000</v>
      </c>
      <c r="G2519">
        <v>73.3</v>
      </c>
    </row>
    <row r="2520" spans="1:7" x14ac:dyDescent="0.25">
      <c r="A2520" s="5">
        <v>23263</v>
      </c>
      <c r="B2520">
        <v>72.84</v>
      </c>
      <c r="C2520">
        <v>73.790000000000006</v>
      </c>
      <c r="D2520">
        <v>72.25</v>
      </c>
      <c r="E2520">
        <v>73.17</v>
      </c>
      <c r="F2520">
        <v>5558000</v>
      </c>
      <c r="G2520">
        <v>73.17</v>
      </c>
    </row>
    <row r="2521" spans="1:7" x14ac:dyDescent="0.25">
      <c r="A2521" s="5">
        <v>23257</v>
      </c>
      <c r="B2521">
        <v>72.5</v>
      </c>
      <c r="C2521">
        <v>73.510000000000005</v>
      </c>
      <c r="D2521">
        <v>72.150000000000006</v>
      </c>
      <c r="E2521">
        <v>72.84</v>
      </c>
      <c r="F2521">
        <v>6125000</v>
      </c>
      <c r="G2521">
        <v>72.84</v>
      </c>
    </row>
    <row r="2522" spans="1:7" x14ac:dyDescent="0.25">
      <c r="A2522" s="5">
        <v>23249</v>
      </c>
      <c r="B2522">
        <v>71.760000000000005</v>
      </c>
      <c r="C2522">
        <v>72.709999999999994</v>
      </c>
      <c r="D2522">
        <v>71.27</v>
      </c>
      <c r="E2522">
        <v>72.5</v>
      </c>
      <c r="F2522">
        <v>4714000</v>
      </c>
      <c r="G2522">
        <v>72.5</v>
      </c>
    </row>
    <row r="2523" spans="1:7" x14ac:dyDescent="0.25">
      <c r="A2523" s="5">
        <v>23242</v>
      </c>
      <c r="B2523">
        <v>71.489999999999995</v>
      </c>
      <c r="C2523">
        <v>72.14</v>
      </c>
      <c r="D2523">
        <v>70.95</v>
      </c>
      <c r="E2523">
        <v>71.760000000000005</v>
      </c>
      <c r="F2523">
        <v>4110000</v>
      </c>
      <c r="G2523">
        <v>71.760000000000005</v>
      </c>
    </row>
    <row r="2524" spans="1:7" x14ac:dyDescent="0.25">
      <c r="A2524" s="5">
        <v>23235</v>
      </c>
      <c r="B2524">
        <v>70.48</v>
      </c>
      <c r="C2524">
        <v>71.95</v>
      </c>
      <c r="D2524">
        <v>70.19</v>
      </c>
      <c r="E2524">
        <v>71.489999999999995</v>
      </c>
      <c r="F2524">
        <v>4550000</v>
      </c>
      <c r="G2524">
        <v>71.489999999999995</v>
      </c>
    </row>
    <row r="2525" spans="1:7" x14ac:dyDescent="0.25">
      <c r="A2525" s="5">
        <v>23228</v>
      </c>
      <c r="B2525">
        <v>69.3</v>
      </c>
      <c r="C2525">
        <v>70.650000000000006</v>
      </c>
      <c r="D2525">
        <v>69.2</v>
      </c>
      <c r="E2525">
        <v>70.48</v>
      </c>
      <c r="F2525">
        <v>3686000</v>
      </c>
      <c r="G2525">
        <v>70.48</v>
      </c>
    </row>
    <row r="2526" spans="1:7" x14ac:dyDescent="0.25">
      <c r="A2526" s="5">
        <v>23221</v>
      </c>
      <c r="B2526">
        <v>68.540000000000006</v>
      </c>
      <c r="C2526">
        <v>69.83</v>
      </c>
      <c r="D2526">
        <v>68.319999999999993</v>
      </c>
      <c r="E2526">
        <v>69.3</v>
      </c>
      <c r="F2526">
        <v>3340000</v>
      </c>
      <c r="G2526">
        <v>69.3</v>
      </c>
    </row>
    <row r="2527" spans="1:7" x14ac:dyDescent="0.25">
      <c r="A2527" s="5">
        <v>23214</v>
      </c>
      <c r="B2527">
        <v>68.349999999999994</v>
      </c>
      <c r="C2527">
        <v>68.92</v>
      </c>
      <c r="D2527">
        <v>67.540000000000006</v>
      </c>
      <c r="E2527">
        <v>68.540000000000006</v>
      </c>
      <c r="F2527">
        <v>3246000</v>
      </c>
      <c r="G2527">
        <v>68.540000000000006</v>
      </c>
    </row>
    <row r="2528" spans="1:7" x14ac:dyDescent="0.25">
      <c r="A2528" s="5">
        <v>23207</v>
      </c>
      <c r="B2528">
        <v>69.64</v>
      </c>
      <c r="C2528">
        <v>69.73</v>
      </c>
      <c r="D2528">
        <v>67.900000000000006</v>
      </c>
      <c r="E2528">
        <v>68.349999999999994</v>
      </c>
      <c r="F2528">
        <v>3456000</v>
      </c>
      <c r="G2528">
        <v>68.349999999999994</v>
      </c>
    </row>
    <row r="2529" spans="1:7" x14ac:dyDescent="0.25">
      <c r="A2529" s="5">
        <v>23200</v>
      </c>
      <c r="B2529">
        <v>70.22</v>
      </c>
      <c r="C2529">
        <v>70.39</v>
      </c>
      <c r="D2529">
        <v>69.36</v>
      </c>
      <c r="E2529">
        <v>69.64</v>
      </c>
      <c r="F2529">
        <v>3722000</v>
      </c>
      <c r="G2529">
        <v>69.64</v>
      </c>
    </row>
    <row r="2530" spans="1:7" x14ac:dyDescent="0.25">
      <c r="A2530" s="5">
        <v>23193</v>
      </c>
      <c r="B2530">
        <v>69.37</v>
      </c>
      <c r="C2530">
        <v>70.48</v>
      </c>
      <c r="D2530">
        <v>68.58</v>
      </c>
      <c r="E2530">
        <v>70.22</v>
      </c>
      <c r="F2530">
        <v>3460000</v>
      </c>
      <c r="G2530">
        <v>70.22</v>
      </c>
    </row>
    <row r="2531" spans="1:7" x14ac:dyDescent="0.25">
      <c r="A2531" s="5">
        <v>23186</v>
      </c>
      <c r="B2531">
        <v>70.25</v>
      </c>
      <c r="C2531">
        <v>70.67</v>
      </c>
      <c r="D2531">
        <v>68.78</v>
      </c>
      <c r="E2531">
        <v>69.37</v>
      </c>
      <c r="F2531">
        <v>3976000</v>
      </c>
      <c r="G2531">
        <v>69.37</v>
      </c>
    </row>
    <row r="2532" spans="1:7" x14ac:dyDescent="0.25">
      <c r="A2532" s="5">
        <v>23179</v>
      </c>
      <c r="B2532">
        <v>69.95</v>
      </c>
      <c r="C2532">
        <v>70.569999999999993</v>
      </c>
      <c r="D2532">
        <v>69.31</v>
      </c>
      <c r="E2532">
        <v>70.25</v>
      </c>
      <c r="F2532">
        <v>4110000</v>
      </c>
      <c r="G2532">
        <v>70.25</v>
      </c>
    </row>
    <row r="2533" spans="1:7" x14ac:dyDescent="0.25">
      <c r="A2533" s="5">
        <v>23172</v>
      </c>
      <c r="B2533">
        <v>70.41</v>
      </c>
      <c r="C2533">
        <v>70.849999999999994</v>
      </c>
      <c r="D2533">
        <v>69.569999999999993</v>
      </c>
      <c r="E2533">
        <v>70.25</v>
      </c>
      <c r="F2533">
        <v>4564000</v>
      </c>
      <c r="G2533">
        <v>70.25</v>
      </c>
    </row>
    <row r="2534" spans="1:7" x14ac:dyDescent="0.25">
      <c r="A2534" s="5">
        <v>23165</v>
      </c>
      <c r="B2534">
        <v>70.8</v>
      </c>
      <c r="C2534">
        <v>71.239999999999995</v>
      </c>
      <c r="D2534">
        <v>70.099999999999994</v>
      </c>
      <c r="E2534">
        <v>70.41</v>
      </c>
      <c r="F2534">
        <v>5466000</v>
      </c>
      <c r="G2534">
        <v>70.41</v>
      </c>
    </row>
    <row r="2535" spans="1:7" x14ac:dyDescent="0.25">
      <c r="A2535" s="5">
        <v>23158</v>
      </c>
      <c r="B2535">
        <v>70.02</v>
      </c>
      <c r="C2535">
        <v>71.14</v>
      </c>
      <c r="D2535">
        <v>69.48</v>
      </c>
      <c r="E2535">
        <v>70.8</v>
      </c>
      <c r="F2535">
        <v>4155000</v>
      </c>
      <c r="G2535">
        <v>70.8</v>
      </c>
    </row>
    <row r="2536" spans="1:7" x14ac:dyDescent="0.25">
      <c r="A2536" s="5">
        <v>23151</v>
      </c>
      <c r="B2536">
        <v>70.290000000000006</v>
      </c>
      <c r="C2536">
        <v>70.680000000000007</v>
      </c>
      <c r="D2536">
        <v>69.59</v>
      </c>
      <c r="E2536">
        <v>70.02</v>
      </c>
      <c r="F2536">
        <v>4912000</v>
      </c>
      <c r="G2536">
        <v>70.02</v>
      </c>
    </row>
    <row r="2537" spans="1:7" x14ac:dyDescent="0.25">
      <c r="A2537" s="5">
        <v>23144</v>
      </c>
      <c r="B2537">
        <v>70.52</v>
      </c>
      <c r="C2537">
        <v>70.89</v>
      </c>
      <c r="D2537">
        <v>69.83</v>
      </c>
      <c r="E2537">
        <v>70.290000000000006</v>
      </c>
      <c r="F2537">
        <v>5072000</v>
      </c>
      <c r="G2537">
        <v>70.290000000000006</v>
      </c>
    </row>
    <row r="2538" spans="1:7" x14ac:dyDescent="0.25">
      <c r="A2538" s="5">
        <v>23137</v>
      </c>
      <c r="B2538">
        <v>70.03</v>
      </c>
      <c r="C2538">
        <v>70.81</v>
      </c>
      <c r="D2538">
        <v>69.03</v>
      </c>
      <c r="E2538">
        <v>70.52</v>
      </c>
      <c r="F2538">
        <v>4846000</v>
      </c>
      <c r="G2538">
        <v>70.52</v>
      </c>
    </row>
    <row r="2539" spans="1:7" x14ac:dyDescent="0.25">
      <c r="A2539" s="5">
        <v>23130</v>
      </c>
      <c r="B2539">
        <v>69.7</v>
      </c>
      <c r="C2539">
        <v>70.510000000000005</v>
      </c>
      <c r="D2539">
        <v>69.260000000000005</v>
      </c>
      <c r="E2539">
        <v>70.03</v>
      </c>
      <c r="F2539">
        <v>4592000</v>
      </c>
      <c r="G2539">
        <v>70.03</v>
      </c>
    </row>
    <row r="2540" spans="1:7" x14ac:dyDescent="0.25">
      <c r="A2540" s="5">
        <v>23123</v>
      </c>
      <c r="B2540">
        <v>69.23</v>
      </c>
      <c r="C2540">
        <v>70.12</v>
      </c>
      <c r="D2540">
        <v>68.95</v>
      </c>
      <c r="E2540">
        <v>69.7</v>
      </c>
      <c r="F2540">
        <v>5174000</v>
      </c>
      <c r="G2540">
        <v>69.7</v>
      </c>
    </row>
    <row r="2541" spans="1:7" x14ac:dyDescent="0.25">
      <c r="A2541" s="5">
        <v>23116</v>
      </c>
      <c r="B2541">
        <v>68.77</v>
      </c>
      <c r="C2541">
        <v>69.61</v>
      </c>
      <c r="D2541">
        <v>68.47</v>
      </c>
      <c r="E2541">
        <v>69.23</v>
      </c>
      <c r="F2541">
        <v>5230000</v>
      </c>
      <c r="G2541">
        <v>69.23</v>
      </c>
    </row>
    <row r="2542" spans="1:7" x14ac:dyDescent="0.25">
      <c r="A2542" s="5">
        <v>23109</v>
      </c>
      <c r="B2542">
        <v>68.28</v>
      </c>
      <c r="C2542">
        <v>69.069999999999993</v>
      </c>
      <c r="D2542">
        <v>67.66</v>
      </c>
      <c r="E2542">
        <v>68.77</v>
      </c>
      <c r="F2542">
        <v>5540000</v>
      </c>
      <c r="G2542">
        <v>68.77</v>
      </c>
    </row>
    <row r="2543" spans="1:7" x14ac:dyDescent="0.25">
      <c r="A2543" s="5">
        <v>23102</v>
      </c>
      <c r="B2543">
        <v>66.569999999999993</v>
      </c>
      <c r="C2543">
        <v>68.459999999999994</v>
      </c>
      <c r="D2543">
        <v>66.23</v>
      </c>
      <c r="E2543">
        <v>68.28</v>
      </c>
      <c r="F2543">
        <v>4690000</v>
      </c>
      <c r="G2543">
        <v>68.28</v>
      </c>
    </row>
    <row r="2544" spans="1:7" x14ac:dyDescent="0.25">
      <c r="A2544" s="5">
        <v>23095</v>
      </c>
      <c r="B2544">
        <v>66.19</v>
      </c>
      <c r="C2544">
        <v>67.010000000000005</v>
      </c>
      <c r="D2544">
        <v>65.92</v>
      </c>
      <c r="E2544">
        <v>66.569999999999993</v>
      </c>
      <c r="F2544">
        <v>3870000</v>
      </c>
      <c r="G2544">
        <v>66.569999999999993</v>
      </c>
    </row>
    <row r="2545" spans="1:7" x14ac:dyDescent="0.25">
      <c r="A2545" s="5">
        <v>23088</v>
      </c>
      <c r="B2545">
        <v>65.930000000000007</v>
      </c>
      <c r="C2545">
        <v>66.44</v>
      </c>
      <c r="D2545">
        <v>65.19</v>
      </c>
      <c r="E2545">
        <v>66.19</v>
      </c>
      <c r="F2545">
        <v>3432000</v>
      </c>
      <c r="G2545">
        <v>66.19</v>
      </c>
    </row>
    <row r="2546" spans="1:7" x14ac:dyDescent="0.25">
      <c r="A2546" s="5">
        <v>23081</v>
      </c>
      <c r="B2546">
        <v>65.33</v>
      </c>
      <c r="C2546">
        <v>66.27</v>
      </c>
      <c r="D2546">
        <v>65.11</v>
      </c>
      <c r="E2546">
        <v>65.930000000000007</v>
      </c>
      <c r="F2546">
        <v>3518000</v>
      </c>
      <c r="G2546">
        <v>65.930000000000007</v>
      </c>
    </row>
    <row r="2547" spans="1:7" x14ac:dyDescent="0.25">
      <c r="A2547" s="5">
        <v>23074</v>
      </c>
      <c r="B2547">
        <v>64.099999999999994</v>
      </c>
      <c r="C2547">
        <v>65.739999999999995</v>
      </c>
      <c r="D2547">
        <v>63.88</v>
      </c>
      <c r="E2547">
        <v>65.33</v>
      </c>
      <c r="F2547">
        <v>3348000</v>
      </c>
      <c r="G2547">
        <v>65.33</v>
      </c>
    </row>
    <row r="2548" spans="1:7" x14ac:dyDescent="0.25">
      <c r="A2548" s="5">
        <v>23067</v>
      </c>
      <c r="B2548">
        <v>65.92</v>
      </c>
      <c r="C2548">
        <v>66.09</v>
      </c>
      <c r="D2548">
        <v>63.8</v>
      </c>
      <c r="E2548">
        <v>64.099999999999994</v>
      </c>
      <c r="F2548">
        <v>3808000</v>
      </c>
      <c r="G2548">
        <v>64.099999999999994</v>
      </c>
    </row>
    <row r="2549" spans="1:7" x14ac:dyDescent="0.25">
      <c r="A2549" s="5">
        <v>23060</v>
      </c>
      <c r="B2549">
        <v>66.41</v>
      </c>
      <c r="C2549">
        <v>66.959999999999994</v>
      </c>
      <c r="D2549">
        <v>65.36</v>
      </c>
      <c r="E2549">
        <v>65.92</v>
      </c>
      <c r="F2549">
        <v>4232500</v>
      </c>
      <c r="G2549">
        <v>65.92</v>
      </c>
    </row>
    <row r="2550" spans="1:7" x14ac:dyDescent="0.25">
      <c r="A2550" s="5">
        <v>23053</v>
      </c>
      <c r="B2550">
        <v>66.17</v>
      </c>
      <c r="C2550">
        <v>66.75</v>
      </c>
      <c r="D2550">
        <v>65.16</v>
      </c>
      <c r="E2550">
        <v>66.41</v>
      </c>
      <c r="F2550">
        <v>4520000</v>
      </c>
      <c r="G2550">
        <v>66.41</v>
      </c>
    </row>
    <row r="2551" spans="1:7" x14ac:dyDescent="0.25">
      <c r="A2551" s="5">
        <v>23046</v>
      </c>
      <c r="B2551">
        <v>66.31</v>
      </c>
      <c r="C2551">
        <v>66.81</v>
      </c>
      <c r="D2551">
        <v>65.38</v>
      </c>
      <c r="E2551">
        <v>66.17</v>
      </c>
      <c r="F2551">
        <v>4038000</v>
      </c>
      <c r="G2551">
        <v>66.17</v>
      </c>
    </row>
    <row r="2552" spans="1:7" x14ac:dyDescent="0.25">
      <c r="A2552" s="5">
        <v>23039</v>
      </c>
      <c r="B2552">
        <v>65.92</v>
      </c>
      <c r="C2552">
        <v>66.59</v>
      </c>
      <c r="D2552">
        <v>65.510000000000005</v>
      </c>
      <c r="E2552">
        <v>66.31</v>
      </c>
      <c r="F2552">
        <v>4274000</v>
      </c>
      <c r="G2552">
        <v>66.31</v>
      </c>
    </row>
    <row r="2553" spans="1:7" x14ac:dyDescent="0.25">
      <c r="A2553" s="5">
        <v>23032</v>
      </c>
      <c r="B2553">
        <v>65.180000000000007</v>
      </c>
      <c r="C2553">
        <v>66.23</v>
      </c>
      <c r="D2553">
        <v>64.64</v>
      </c>
      <c r="E2553">
        <v>65.92</v>
      </c>
      <c r="F2553">
        <v>4660000</v>
      </c>
      <c r="G2553">
        <v>65.92</v>
      </c>
    </row>
    <row r="2554" spans="1:7" x14ac:dyDescent="0.25">
      <c r="A2554" s="5">
        <v>23025</v>
      </c>
      <c r="B2554">
        <v>64.849999999999994</v>
      </c>
      <c r="C2554">
        <v>65.7</v>
      </c>
      <c r="D2554">
        <v>64.349999999999994</v>
      </c>
      <c r="E2554">
        <v>65.180000000000007</v>
      </c>
      <c r="F2554">
        <v>5036000</v>
      </c>
      <c r="G2554">
        <v>65.180000000000007</v>
      </c>
    </row>
    <row r="2555" spans="1:7" x14ac:dyDescent="0.25">
      <c r="A2555" s="5">
        <v>23018</v>
      </c>
      <c r="B2555">
        <v>64.13</v>
      </c>
      <c r="C2555">
        <v>65.22</v>
      </c>
      <c r="D2555">
        <v>63.67</v>
      </c>
      <c r="E2555">
        <v>64.849999999999994</v>
      </c>
      <c r="F2555">
        <v>4778000</v>
      </c>
      <c r="G2555">
        <v>64.849999999999994</v>
      </c>
    </row>
    <row r="2556" spans="1:7" x14ac:dyDescent="0.25">
      <c r="A2556" s="5">
        <v>23011</v>
      </c>
      <c r="B2556">
        <v>62.96</v>
      </c>
      <c r="C2556">
        <v>64.45</v>
      </c>
      <c r="D2556">
        <v>62.32</v>
      </c>
      <c r="E2556">
        <v>64.13</v>
      </c>
      <c r="F2556">
        <v>4482500</v>
      </c>
      <c r="G2556">
        <v>64.13</v>
      </c>
    </row>
    <row r="2557" spans="1:7" x14ac:dyDescent="0.25">
      <c r="A2557" s="5">
        <v>23004</v>
      </c>
      <c r="B2557">
        <v>62.64</v>
      </c>
      <c r="C2557">
        <v>63.41</v>
      </c>
      <c r="D2557">
        <v>62.19</v>
      </c>
      <c r="E2557">
        <v>62.96</v>
      </c>
      <c r="F2557">
        <v>3590000</v>
      </c>
      <c r="G2557">
        <v>62.96</v>
      </c>
    </row>
    <row r="2558" spans="1:7" x14ac:dyDescent="0.25">
      <c r="A2558" s="5">
        <v>22997</v>
      </c>
      <c r="B2558">
        <v>62.57</v>
      </c>
      <c r="C2558">
        <v>63.28</v>
      </c>
      <c r="D2558">
        <v>61.72</v>
      </c>
      <c r="E2558">
        <v>62.64</v>
      </c>
      <c r="F2558">
        <v>3780000</v>
      </c>
      <c r="G2558">
        <v>62.64</v>
      </c>
    </row>
    <row r="2559" spans="1:7" x14ac:dyDescent="0.25">
      <c r="A2559" s="5">
        <v>22990</v>
      </c>
      <c r="B2559">
        <v>63.06</v>
      </c>
      <c r="C2559">
        <v>63.35</v>
      </c>
      <c r="D2559">
        <v>61.72</v>
      </c>
      <c r="E2559">
        <v>62.57</v>
      </c>
      <c r="F2559">
        <v>3678000</v>
      </c>
      <c r="G2559">
        <v>62.57</v>
      </c>
    </row>
    <row r="2560" spans="1:7" x14ac:dyDescent="0.25">
      <c r="A2560" s="5">
        <v>22983</v>
      </c>
      <c r="B2560">
        <v>62.26</v>
      </c>
      <c r="C2560">
        <v>63.5</v>
      </c>
      <c r="D2560">
        <v>61.28</v>
      </c>
      <c r="E2560">
        <v>63.06</v>
      </c>
      <c r="F2560">
        <v>4760000</v>
      </c>
      <c r="G2560">
        <v>63.06</v>
      </c>
    </row>
    <row r="2561" spans="1:7" x14ac:dyDescent="0.25">
      <c r="A2561" s="5">
        <v>22976</v>
      </c>
      <c r="B2561">
        <v>61.54</v>
      </c>
      <c r="C2561">
        <v>62.78</v>
      </c>
      <c r="D2561">
        <v>60.95</v>
      </c>
      <c r="E2561">
        <v>62.26</v>
      </c>
      <c r="F2561">
        <v>5502000</v>
      </c>
      <c r="G2561">
        <v>62.26</v>
      </c>
    </row>
    <row r="2562" spans="1:7" x14ac:dyDescent="0.25">
      <c r="A2562" s="5">
        <v>22969</v>
      </c>
      <c r="B2562">
        <v>60.16</v>
      </c>
      <c r="C2562">
        <v>62.03</v>
      </c>
      <c r="D2562">
        <v>59.46</v>
      </c>
      <c r="E2562">
        <v>61.54</v>
      </c>
      <c r="F2562">
        <v>4615000</v>
      </c>
      <c r="G2562">
        <v>61.54</v>
      </c>
    </row>
    <row r="2563" spans="1:7" x14ac:dyDescent="0.25">
      <c r="A2563" s="5">
        <v>22962</v>
      </c>
      <c r="B2563">
        <v>58.78</v>
      </c>
      <c r="C2563">
        <v>60.67</v>
      </c>
      <c r="D2563">
        <v>58.59</v>
      </c>
      <c r="E2563">
        <v>60.16</v>
      </c>
      <c r="F2563">
        <v>4756000</v>
      </c>
      <c r="G2563">
        <v>60.16</v>
      </c>
    </row>
    <row r="2564" spans="1:7" x14ac:dyDescent="0.25">
      <c r="A2564" s="5">
        <v>22955</v>
      </c>
      <c r="B2564">
        <v>57.75</v>
      </c>
      <c r="C2564">
        <v>59.12</v>
      </c>
      <c r="D2564">
        <v>57.69</v>
      </c>
      <c r="E2564">
        <v>58.78</v>
      </c>
      <c r="F2564">
        <v>4350000</v>
      </c>
      <c r="G2564">
        <v>58.78</v>
      </c>
    </row>
    <row r="2565" spans="1:7" x14ac:dyDescent="0.25">
      <c r="A2565" s="5">
        <v>22948</v>
      </c>
      <c r="B2565">
        <v>55.34</v>
      </c>
      <c r="C2565">
        <v>58.19</v>
      </c>
      <c r="D2565">
        <v>55.34</v>
      </c>
      <c r="E2565">
        <v>57.75</v>
      </c>
      <c r="F2565">
        <v>4014000</v>
      </c>
      <c r="G2565">
        <v>57.75</v>
      </c>
    </row>
    <row r="2566" spans="1:7" x14ac:dyDescent="0.25">
      <c r="A2566" s="5">
        <v>22941</v>
      </c>
      <c r="B2566">
        <v>55.48</v>
      </c>
      <c r="C2566">
        <v>55.48</v>
      </c>
      <c r="D2566">
        <v>52.55</v>
      </c>
      <c r="E2566">
        <v>54.54</v>
      </c>
      <c r="F2566">
        <v>5010000</v>
      </c>
      <c r="G2566">
        <v>54.54</v>
      </c>
    </row>
    <row r="2567" spans="1:7" x14ac:dyDescent="0.25">
      <c r="A2567" s="5">
        <v>22934</v>
      </c>
      <c r="B2567">
        <v>56.95</v>
      </c>
      <c r="C2567">
        <v>57.63</v>
      </c>
      <c r="D2567">
        <v>55.34</v>
      </c>
      <c r="E2567">
        <v>55.59</v>
      </c>
      <c r="F2567">
        <v>3334000</v>
      </c>
      <c r="G2567">
        <v>55.59</v>
      </c>
    </row>
    <row r="2568" spans="1:7" x14ac:dyDescent="0.25">
      <c r="A2568" s="5">
        <v>22927</v>
      </c>
      <c r="B2568">
        <v>57.07</v>
      </c>
      <c r="C2568">
        <v>57.83</v>
      </c>
      <c r="D2568">
        <v>56.66</v>
      </c>
      <c r="E2568">
        <v>56.95</v>
      </c>
      <c r="F2568">
        <v>2362000</v>
      </c>
      <c r="G2568">
        <v>56.95</v>
      </c>
    </row>
    <row r="2569" spans="1:7" x14ac:dyDescent="0.25">
      <c r="A2569" s="5">
        <v>22920</v>
      </c>
      <c r="B2569">
        <v>56.27</v>
      </c>
      <c r="C2569">
        <v>57.3</v>
      </c>
      <c r="D2569">
        <v>55.26</v>
      </c>
      <c r="E2569">
        <v>57.07</v>
      </c>
      <c r="F2569">
        <v>2792000</v>
      </c>
      <c r="G2569">
        <v>57.07</v>
      </c>
    </row>
    <row r="2570" spans="1:7" x14ac:dyDescent="0.25">
      <c r="A2570" s="5">
        <v>22913</v>
      </c>
      <c r="B2570">
        <v>57.45</v>
      </c>
      <c r="C2570">
        <v>57.45</v>
      </c>
      <c r="D2570">
        <v>55.53</v>
      </c>
      <c r="E2570">
        <v>56.27</v>
      </c>
      <c r="F2570">
        <v>3712000</v>
      </c>
      <c r="G2570">
        <v>56.27</v>
      </c>
    </row>
    <row r="2571" spans="1:7" x14ac:dyDescent="0.25">
      <c r="A2571" s="5">
        <v>22906</v>
      </c>
      <c r="B2571">
        <v>58.89</v>
      </c>
      <c r="C2571">
        <v>59.54</v>
      </c>
      <c r="D2571">
        <v>57.43</v>
      </c>
      <c r="E2571">
        <v>57.69</v>
      </c>
      <c r="F2571">
        <v>3520000</v>
      </c>
      <c r="G2571">
        <v>57.69</v>
      </c>
    </row>
    <row r="2572" spans="1:7" x14ac:dyDescent="0.25">
      <c r="A2572" s="5">
        <v>22899</v>
      </c>
      <c r="B2572">
        <v>58.38</v>
      </c>
      <c r="C2572">
        <v>59.18</v>
      </c>
      <c r="D2572">
        <v>57.88</v>
      </c>
      <c r="E2572">
        <v>58.89</v>
      </c>
      <c r="F2572">
        <v>2928000</v>
      </c>
      <c r="G2572">
        <v>58.89</v>
      </c>
    </row>
    <row r="2573" spans="1:7" x14ac:dyDescent="0.25">
      <c r="A2573" s="5">
        <v>22893</v>
      </c>
      <c r="B2573">
        <v>59.12</v>
      </c>
      <c r="C2573">
        <v>59.49</v>
      </c>
      <c r="D2573">
        <v>57.72</v>
      </c>
      <c r="E2573">
        <v>58.38</v>
      </c>
      <c r="F2573">
        <v>3022500</v>
      </c>
      <c r="G2573">
        <v>58.38</v>
      </c>
    </row>
    <row r="2574" spans="1:7" x14ac:dyDescent="0.25">
      <c r="A2574" s="5">
        <v>22885</v>
      </c>
      <c r="B2574">
        <v>59.58</v>
      </c>
      <c r="C2574">
        <v>59.94</v>
      </c>
      <c r="D2574">
        <v>58.17</v>
      </c>
      <c r="E2574">
        <v>59.12</v>
      </c>
      <c r="F2574">
        <v>2862000</v>
      </c>
      <c r="G2574">
        <v>59.12</v>
      </c>
    </row>
    <row r="2575" spans="1:7" x14ac:dyDescent="0.25">
      <c r="A2575" s="5">
        <v>22878</v>
      </c>
      <c r="B2575">
        <v>59.01</v>
      </c>
      <c r="C2575">
        <v>60.33</v>
      </c>
      <c r="D2575">
        <v>58.9</v>
      </c>
      <c r="E2575">
        <v>59.58</v>
      </c>
      <c r="F2575">
        <v>4098000</v>
      </c>
      <c r="G2575">
        <v>59.58</v>
      </c>
    </row>
    <row r="2576" spans="1:7" x14ac:dyDescent="0.25">
      <c r="A2576" s="5">
        <v>22871</v>
      </c>
      <c r="B2576">
        <v>57.55</v>
      </c>
      <c r="C2576">
        <v>59.24</v>
      </c>
      <c r="D2576">
        <v>57.22</v>
      </c>
      <c r="E2576">
        <v>59.01</v>
      </c>
      <c r="F2576">
        <v>3760000</v>
      </c>
      <c r="G2576">
        <v>59.01</v>
      </c>
    </row>
    <row r="2577" spans="1:7" x14ac:dyDescent="0.25">
      <c r="A2577" s="5">
        <v>22864</v>
      </c>
      <c r="B2577">
        <v>58.12</v>
      </c>
      <c r="C2577">
        <v>58.35</v>
      </c>
      <c r="D2577">
        <v>56.76</v>
      </c>
      <c r="E2577">
        <v>57.55</v>
      </c>
      <c r="F2577">
        <v>2860000</v>
      </c>
      <c r="G2577">
        <v>57.55</v>
      </c>
    </row>
    <row r="2578" spans="1:7" x14ac:dyDescent="0.25">
      <c r="A2578" s="5">
        <v>22857</v>
      </c>
      <c r="B2578">
        <v>57.2</v>
      </c>
      <c r="C2578">
        <v>58.58</v>
      </c>
      <c r="D2578">
        <v>57.08</v>
      </c>
      <c r="E2578">
        <v>58.12</v>
      </c>
      <c r="F2578">
        <v>3978000</v>
      </c>
      <c r="G2578">
        <v>58.12</v>
      </c>
    </row>
    <row r="2579" spans="1:7" x14ac:dyDescent="0.25">
      <c r="A2579" s="5">
        <v>22850</v>
      </c>
      <c r="B2579">
        <v>56.81</v>
      </c>
      <c r="C2579">
        <v>57.36</v>
      </c>
      <c r="D2579">
        <v>55.78</v>
      </c>
      <c r="E2579">
        <v>57.2</v>
      </c>
      <c r="F2579">
        <v>2784000</v>
      </c>
      <c r="G2579">
        <v>57.2</v>
      </c>
    </row>
    <row r="2580" spans="1:7" x14ac:dyDescent="0.25">
      <c r="A2580" s="5">
        <v>22843</v>
      </c>
      <c r="B2580">
        <v>57.83</v>
      </c>
      <c r="C2580">
        <v>58.1</v>
      </c>
      <c r="D2580">
        <v>55.86</v>
      </c>
      <c r="E2580">
        <v>56.81</v>
      </c>
      <c r="F2580">
        <v>3190000</v>
      </c>
      <c r="G2580">
        <v>56.81</v>
      </c>
    </row>
    <row r="2581" spans="1:7" x14ac:dyDescent="0.25">
      <c r="A2581" s="5">
        <v>22836</v>
      </c>
      <c r="B2581">
        <v>56.17</v>
      </c>
      <c r="C2581">
        <v>58.67</v>
      </c>
      <c r="D2581">
        <v>55.54</v>
      </c>
      <c r="E2581">
        <v>57.83</v>
      </c>
      <c r="F2581">
        <v>4614000</v>
      </c>
      <c r="G2581">
        <v>57.83</v>
      </c>
    </row>
    <row r="2582" spans="1:7" x14ac:dyDescent="0.25">
      <c r="A2582" s="5">
        <v>22829</v>
      </c>
      <c r="B2582">
        <v>54.75</v>
      </c>
      <c r="C2582">
        <v>57.1</v>
      </c>
      <c r="D2582">
        <v>54.47</v>
      </c>
      <c r="E2582">
        <v>56.17</v>
      </c>
      <c r="F2582">
        <v>3457500</v>
      </c>
      <c r="G2582">
        <v>56.17</v>
      </c>
    </row>
    <row r="2583" spans="1:7" x14ac:dyDescent="0.25">
      <c r="A2583" s="5">
        <v>22822</v>
      </c>
      <c r="B2583">
        <v>52.68</v>
      </c>
      <c r="C2583">
        <v>55.47</v>
      </c>
      <c r="D2583">
        <v>51.35</v>
      </c>
      <c r="E2583">
        <v>54.75</v>
      </c>
      <c r="F2583">
        <v>5154000</v>
      </c>
      <c r="G2583">
        <v>54.75</v>
      </c>
    </row>
    <row r="2584" spans="1:7" x14ac:dyDescent="0.25">
      <c r="A2584" s="5">
        <v>22815</v>
      </c>
      <c r="B2584">
        <v>55.89</v>
      </c>
      <c r="C2584">
        <v>56.53</v>
      </c>
      <c r="D2584">
        <v>52.48</v>
      </c>
      <c r="E2584">
        <v>52.68</v>
      </c>
      <c r="F2584">
        <v>4164000</v>
      </c>
      <c r="G2584">
        <v>52.68</v>
      </c>
    </row>
    <row r="2585" spans="1:7" x14ac:dyDescent="0.25">
      <c r="A2585" s="5">
        <v>22808</v>
      </c>
      <c r="B2585">
        <v>58.45</v>
      </c>
      <c r="C2585">
        <v>58.58</v>
      </c>
      <c r="D2585">
        <v>53.66</v>
      </c>
      <c r="E2585">
        <v>55.89</v>
      </c>
      <c r="F2585">
        <v>5356000</v>
      </c>
      <c r="G2585">
        <v>55.89</v>
      </c>
    </row>
    <row r="2586" spans="1:7" x14ac:dyDescent="0.25">
      <c r="A2586" s="5">
        <v>22801</v>
      </c>
      <c r="B2586">
        <v>59.12</v>
      </c>
      <c r="C2586">
        <v>59.17</v>
      </c>
      <c r="D2586">
        <v>56.33</v>
      </c>
      <c r="E2586">
        <v>58.45</v>
      </c>
      <c r="F2586">
        <v>4206000</v>
      </c>
      <c r="G2586">
        <v>58.45</v>
      </c>
    </row>
    <row r="2587" spans="1:7" x14ac:dyDescent="0.25">
      <c r="A2587" s="5">
        <v>22794</v>
      </c>
      <c r="B2587">
        <v>59.15</v>
      </c>
      <c r="C2587">
        <v>60.82</v>
      </c>
      <c r="D2587">
        <v>53.13</v>
      </c>
      <c r="E2587">
        <v>59.38</v>
      </c>
      <c r="F2587">
        <v>10142500</v>
      </c>
      <c r="G2587">
        <v>59.38</v>
      </c>
    </row>
    <row r="2588" spans="1:7" x14ac:dyDescent="0.25">
      <c r="A2588" s="5">
        <v>22787</v>
      </c>
      <c r="B2588">
        <v>63.82</v>
      </c>
      <c r="C2588">
        <v>64</v>
      </c>
      <c r="D2588">
        <v>59</v>
      </c>
      <c r="E2588">
        <v>59.47</v>
      </c>
      <c r="F2588">
        <v>4596000</v>
      </c>
      <c r="G2588">
        <v>59.47</v>
      </c>
    </row>
    <row r="2589" spans="1:7" x14ac:dyDescent="0.25">
      <c r="A2589" s="5">
        <v>22780</v>
      </c>
      <c r="B2589">
        <v>62.65</v>
      </c>
      <c r="C2589">
        <v>64.88</v>
      </c>
      <c r="D2589">
        <v>61.11</v>
      </c>
      <c r="E2589">
        <v>63.82</v>
      </c>
      <c r="F2589">
        <v>3914000</v>
      </c>
      <c r="G2589">
        <v>63.82</v>
      </c>
    </row>
    <row r="2590" spans="1:7" x14ac:dyDescent="0.25">
      <c r="A2590" s="5">
        <v>22773</v>
      </c>
      <c r="B2590">
        <v>66.239999999999995</v>
      </c>
      <c r="C2590">
        <v>66.56</v>
      </c>
      <c r="D2590">
        <v>62.44</v>
      </c>
      <c r="E2590">
        <v>62.65</v>
      </c>
      <c r="F2590">
        <v>3692000</v>
      </c>
      <c r="G2590">
        <v>62.65</v>
      </c>
    </row>
    <row r="2591" spans="1:7" x14ac:dyDescent="0.25">
      <c r="A2591" s="5">
        <v>22766</v>
      </c>
      <c r="B2591">
        <v>66.3</v>
      </c>
      <c r="C2591">
        <v>66.930000000000007</v>
      </c>
      <c r="D2591">
        <v>63.76</v>
      </c>
      <c r="E2591">
        <v>66.239999999999995</v>
      </c>
      <c r="F2591">
        <v>3872000</v>
      </c>
      <c r="G2591">
        <v>66.239999999999995</v>
      </c>
    </row>
    <row r="2592" spans="1:7" x14ac:dyDescent="0.25">
      <c r="A2592" s="5">
        <v>22759</v>
      </c>
      <c r="B2592">
        <v>68.59</v>
      </c>
      <c r="C2592">
        <v>69.010000000000005</v>
      </c>
      <c r="D2592">
        <v>65.989999999999995</v>
      </c>
      <c r="E2592">
        <v>66.3</v>
      </c>
      <c r="F2592">
        <v>3482000</v>
      </c>
      <c r="G2592">
        <v>66.3</v>
      </c>
    </row>
    <row r="2593" spans="1:7" x14ac:dyDescent="0.25">
      <c r="A2593" s="5">
        <v>22752</v>
      </c>
      <c r="B2593">
        <v>67.900000000000006</v>
      </c>
      <c r="C2593">
        <v>68.900000000000006</v>
      </c>
      <c r="D2593">
        <v>67.209999999999994</v>
      </c>
      <c r="E2593">
        <v>68.59</v>
      </c>
      <c r="F2593">
        <v>3115000</v>
      </c>
      <c r="G2593">
        <v>68.59</v>
      </c>
    </row>
    <row r="2594" spans="1:7" x14ac:dyDescent="0.25">
      <c r="A2594" s="5">
        <v>22745</v>
      </c>
      <c r="B2594">
        <v>68.84</v>
      </c>
      <c r="C2594">
        <v>69.260000000000005</v>
      </c>
      <c r="D2594">
        <v>67.03</v>
      </c>
      <c r="E2594">
        <v>67.900000000000006</v>
      </c>
      <c r="F2594">
        <v>3186000</v>
      </c>
      <c r="G2594">
        <v>67.900000000000006</v>
      </c>
    </row>
    <row r="2595" spans="1:7" x14ac:dyDescent="0.25">
      <c r="A2595" s="5">
        <v>22738</v>
      </c>
      <c r="B2595">
        <v>69.55</v>
      </c>
      <c r="C2595">
        <v>69.819999999999993</v>
      </c>
      <c r="D2595">
        <v>68.12</v>
      </c>
      <c r="E2595">
        <v>68.84</v>
      </c>
      <c r="F2595">
        <v>3058000</v>
      </c>
      <c r="G2595">
        <v>68.84</v>
      </c>
    </row>
    <row r="2596" spans="1:7" x14ac:dyDescent="0.25">
      <c r="A2596" s="5">
        <v>22731</v>
      </c>
      <c r="B2596">
        <v>70.45</v>
      </c>
      <c r="C2596">
        <v>70.63</v>
      </c>
      <c r="D2596">
        <v>69.16</v>
      </c>
      <c r="E2596">
        <v>69.55</v>
      </c>
      <c r="F2596">
        <v>2978000</v>
      </c>
      <c r="G2596">
        <v>69.55</v>
      </c>
    </row>
    <row r="2597" spans="1:7" x14ac:dyDescent="0.25">
      <c r="A2597" s="5">
        <v>22724</v>
      </c>
      <c r="B2597">
        <v>70.94</v>
      </c>
      <c r="C2597">
        <v>71.31</v>
      </c>
      <c r="D2597">
        <v>70.12</v>
      </c>
      <c r="E2597">
        <v>70.45</v>
      </c>
      <c r="F2597">
        <v>3164000</v>
      </c>
      <c r="G2597">
        <v>70.45</v>
      </c>
    </row>
    <row r="2598" spans="1:7" x14ac:dyDescent="0.25">
      <c r="A2598" s="5">
        <v>22717</v>
      </c>
      <c r="B2598">
        <v>70.42</v>
      </c>
      <c r="C2598">
        <v>71.44</v>
      </c>
      <c r="D2598">
        <v>70.02</v>
      </c>
      <c r="E2598">
        <v>70.94</v>
      </c>
      <c r="F2598">
        <v>3292000</v>
      </c>
      <c r="G2598">
        <v>70.94</v>
      </c>
    </row>
    <row r="2599" spans="1:7" x14ac:dyDescent="0.25">
      <c r="A2599" s="5">
        <v>22710</v>
      </c>
      <c r="B2599">
        <v>70.16</v>
      </c>
      <c r="C2599">
        <v>70.709999999999994</v>
      </c>
      <c r="D2599">
        <v>69.37</v>
      </c>
      <c r="E2599">
        <v>70.42</v>
      </c>
      <c r="F2599">
        <v>3066000</v>
      </c>
      <c r="G2599">
        <v>70.42</v>
      </c>
    </row>
    <row r="2600" spans="1:7" x14ac:dyDescent="0.25">
      <c r="A2600" s="5">
        <v>22703</v>
      </c>
      <c r="B2600">
        <v>70.16</v>
      </c>
      <c r="C2600">
        <v>70.599999999999994</v>
      </c>
      <c r="D2600">
        <v>69.44</v>
      </c>
      <c r="E2600">
        <v>70.16</v>
      </c>
      <c r="F2600">
        <v>2998000</v>
      </c>
      <c r="G2600">
        <v>70.16</v>
      </c>
    </row>
    <row r="2601" spans="1:7" x14ac:dyDescent="0.25">
      <c r="A2601" s="5">
        <v>22696</v>
      </c>
      <c r="B2601">
        <v>70.59</v>
      </c>
      <c r="C2601">
        <v>70.97</v>
      </c>
      <c r="D2601">
        <v>69.73</v>
      </c>
      <c r="E2601">
        <v>70.16</v>
      </c>
      <c r="F2601">
        <v>3297500</v>
      </c>
      <c r="G2601">
        <v>70.16</v>
      </c>
    </row>
    <row r="2602" spans="1:7" x14ac:dyDescent="0.25">
      <c r="A2602" s="5">
        <v>22689</v>
      </c>
      <c r="B2602">
        <v>70.48</v>
      </c>
      <c r="C2602">
        <v>71.13</v>
      </c>
      <c r="D2602">
        <v>70.03</v>
      </c>
      <c r="E2602">
        <v>70.59</v>
      </c>
      <c r="F2602">
        <v>3364000</v>
      </c>
      <c r="G2602">
        <v>70.59</v>
      </c>
    </row>
    <row r="2603" spans="1:7" x14ac:dyDescent="0.25">
      <c r="A2603" s="5">
        <v>22682</v>
      </c>
      <c r="B2603">
        <v>69.81</v>
      </c>
      <c r="C2603">
        <v>70.95</v>
      </c>
      <c r="D2603">
        <v>69.41</v>
      </c>
      <c r="E2603">
        <v>70.48</v>
      </c>
      <c r="F2603">
        <v>3772000</v>
      </c>
      <c r="G2603">
        <v>70.48</v>
      </c>
    </row>
    <row r="2604" spans="1:7" x14ac:dyDescent="0.25">
      <c r="A2604" s="5">
        <v>22675</v>
      </c>
      <c r="B2604">
        <v>68.13</v>
      </c>
      <c r="C2604">
        <v>70.02</v>
      </c>
      <c r="D2604">
        <v>67.55</v>
      </c>
      <c r="E2604">
        <v>69.81</v>
      </c>
      <c r="F2604">
        <v>3724000</v>
      </c>
      <c r="G2604">
        <v>69.81</v>
      </c>
    </row>
    <row r="2605" spans="1:7" x14ac:dyDescent="0.25">
      <c r="A2605" s="5">
        <v>22668</v>
      </c>
      <c r="B2605">
        <v>68.75</v>
      </c>
      <c r="C2605">
        <v>69.37</v>
      </c>
      <c r="D2605">
        <v>67.55</v>
      </c>
      <c r="E2605">
        <v>68.13</v>
      </c>
      <c r="F2605">
        <v>3562000</v>
      </c>
      <c r="G2605">
        <v>68.13</v>
      </c>
    </row>
    <row r="2606" spans="1:7" x14ac:dyDescent="0.25">
      <c r="A2606" s="5">
        <v>22661</v>
      </c>
      <c r="B2606">
        <v>69.61</v>
      </c>
      <c r="C2606">
        <v>70.08</v>
      </c>
      <c r="D2606">
        <v>67.75</v>
      </c>
      <c r="E2606">
        <v>68.75</v>
      </c>
      <c r="F2606">
        <v>3628000</v>
      </c>
      <c r="G2606">
        <v>68.75</v>
      </c>
    </row>
    <row r="2607" spans="1:7" x14ac:dyDescent="0.25">
      <c r="A2607" s="5">
        <v>22654</v>
      </c>
      <c r="B2607">
        <v>69.66</v>
      </c>
      <c r="C2607">
        <v>70.17</v>
      </c>
      <c r="D2607">
        <v>68.17</v>
      </c>
      <c r="E2607">
        <v>69.61</v>
      </c>
      <c r="F2607">
        <v>3728000</v>
      </c>
      <c r="G2607">
        <v>69.61</v>
      </c>
    </row>
    <row r="2608" spans="1:7" x14ac:dyDescent="0.25">
      <c r="A2608" s="5">
        <v>22648</v>
      </c>
      <c r="B2608">
        <v>71.55</v>
      </c>
      <c r="C2608">
        <v>71.959999999999994</v>
      </c>
      <c r="D2608">
        <v>69.349999999999994</v>
      </c>
      <c r="E2608">
        <v>69.66</v>
      </c>
      <c r="F2608">
        <v>3947500</v>
      </c>
      <c r="G2608">
        <v>69.66</v>
      </c>
    </row>
    <row r="2609" spans="1:7" x14ac:dyDescent="0.25">
      <c r="A2609" s="5">
        <v>22641</v>
      </c>
      <c r="B2609">
        <v>71.02</v>
      </c>
      <c r="C2609">
        <v>71.69</v>
      </c>
      <c r="D2609">
        <v>71.02</v>
      </c>
      <c r="E2609">
        <v>71.55</v>
      </c>
      <c r="F2609">
        <v>4312500</v>
      </c>
      <c r="G2609">
        <v>71.55</v>
      </c>
    </row>
    <row r="2610" spans="1:7" x14ac:dyDescent="0.25">
      <c r="A2610" s="5">
        <v>22633</v>
      </c>
      <c r="B2610">
        <v>71.760000000000005</v>
      </c>
      <c r="C2610">
        <v>71.760000000000005</v>
      </c>
      <c r="D2610">
        <v>70.86</v>
      </c>
      <c r="E2610">
        <v>70.91</v>
      </c>
      <c r="F2610">
        <v>3544000</v>
      </c>
      <c r="G2610">
        <v>70.91</v>
      </c>
    </row>
    <row r="2611" spans="1:7" x14ac:dyDescent="0.25">
      <c r="A2611" s="5">
        <v>22626</v>
      </c>
      <c r="B2611">
        <v>72.39</v>
      </c>
      <c r="C2611">
        <v>72.64</v>
      </c>
      <c r="D2611">
        <v>71.98</v>
      </c>
      <c r="E2611">
        <v>72.010000000000005</v>
      </c>
      <c r="F2611">
        <v>4398000</v>
      </c>
      <c r="G2611">
        <v>72.010000000000005</v>
      </c>
    </row>
    <row r="2612" spans="1:7" x14ac:dyDescent="0.25">
      <c r="A2612" s="5">
        <v>22619</v>
      </c>
      <c r="B2612">
        <v>72.010000000000005</v>
      </c>
      <c r="C2612">
        <v>72.040000000000006</v>
      </c>
      <c r="D2612">
        <v>71.7</v>
      </c>
      <c r="E2612">
        <v>72.040000000000006</v>
      </c>
      <c r="F2612">
        <v>4200000</v>
      </c>
      <c r="G2612">
        <v>72.040000000000006</v>
      </c>
    </row>
    <row r="2613" spans="1:7" x14ac:dyDescent="0.25">
      <c r="A2613" s="5">
        <v>22612</v>
      </c>
      <c r="B2613">
        <v>71.849999999999994</v>
      </c>
      <c r="C2613">
        <v>71.849999999999994</v>
      </c>
      <c r="D2613">
        <v>71.319999999999993</v>
      </c>
      <c r="E2613">
        <v>71.78</v>
      </c>
      <c r="F2613">
        <v>4448000</v>
      </c>
      <c r="G2613">
        <v>71.78</v>
      </c>
    </row>
    <row r="2614" spans="1:7" x14ac:dyDescent="0.25">
      <c r="A2614" s="5">
        <v>22605</v>
      </c>
      <c r="B2614">
        <v>71.72</v>
      </c>
      <c r="C2614">
        <v>71.84</v>
      </c>
      <c r="D2614">
        <v>71.7</v>
      </c>
      <c r="E2614">
        <v>71.84</v>
      </c>
      <c r="F2614">
        <v>4400000</v>
      </c>
      <c r="G2614">
        <v>71.84</v>
      </c>
    </row>
    <row r="2615" spans="1:7" x14ac:dyDescent="0.25">
      <c r="A2615" s="5">
        <v>22598</v>
      </c>
      <c r="B2615">
        <v>71.27</v>
      </c>
      <c r="C2615">
        <v>71.67</v>
      </c>
      <c r="D2615">
        <v>71.27</v>
      </c>
      <c r="E2615">
        <v>71.62</v>
      </c>
      <c r="F2615">
        <v>4378000</v>
      </c>
      <c r="G2615">
        <v>71.62</v>
      </c>
    </row>
    <row r="2616" spans="1:7" x14ac:dyDescent="0.25">
      <c r="A2616" s="5">
        <v>22591</v>
      </c>
      <c r="B2616">
        <v>70.010000000000005</v>
      </c>
      <c r="C2616">
        <v>71.069999999999993</v>
      </c>
      <c r="D2616">
        <v>70.010000000000005</v>
      </c>
      <c r="E2616">
        <v>71.069999999999993</v>
      </c>
      <c r="F2616">
        <v>4822500</v>
      </c>
      <c r="G2616">
        <v>71.069999999999993</v>
      </c>
    </row>
    <row r="2617" spans="1:7" x14ac:dyDescent="0.25">
      <c r="A2617" s="5">
        <v>22584</v>
      </c>
      <c r="B2617">
        <v>68.42</v>
      </c>
      <c r="C2617">
        <v>69.47</v>
      </c>
      <c r="D2617">
        <v>68.42</v>
      </c>
      <c r="E2617">
        <v>69.47</v>
      </c>
      <c r="F2617">
        <v>3590000</v>
      </c>
      <c r="G2617">
        <v>69.47</v>
      </c>
    </row>
    <row r="2618" spans="1:7" x14ac:dyDescent="0.25">
      <c r="A2618" s="5">
        <v>22577</v>
      </c>
      <c r="B2618">
        <v>68.06</v>
      </c>
      <c r="C2618">
        <v>68.459999999999994</v>
      </c>
      <c r="D2618">
        <v>67.98</v>
      </c>
      <c r="E2618">
        <v>68.34</v>
      </c>
      <c r="F2618">
        <v>3398000</v>
      </c>
      <c r="G2618">
        <v>68.34</v>
      </c>
    </row>
    <row r="2619" spans="1:7" x14ac:dyDescent="0.25">
      <c r="A2619" s="5">
        <v>22570</v>
      </c>
      <c r="B2619">
        <v>67.849999999999994</v>
      </c>
      <c r="C2619">
        <v>68.45</v>
      </c>
      <c r="D2619">
        <v>67.849999999999994</v>
      </c>
      <c r="E2619">
        <v>68</v>
      </c>
      <c r="F2619">
        <v>3358000</v>
      </c>
      <c r="G2619">
        <v>68</v>
      </c>
    </row>
    <row r="2620" spans="1:7" x14ac:dyDescent="0.25">
      <c r="A2620" s="5">
        <v>22563</v>
      </c>
      <c r="B2620">
        <v>67.94</v>
      </c>
      <c r="C2620">
        <v>68.17</v>
      </c>
      <c r="D2620">
        <v>67.94</v>
      </c>
      <c r="E2620">
        <v>68.040000000000006</v>
      </c>
      <c r="F2620">
        <v>3234000</v>
      </c>
      <c r="G2620">
        <v>68.040000000000006</v>
      </c>
    </row>
    <row r="2621" spans="1:7" x14ac:dyDescent="0.25">
      <c r="A2621" s="5">
        <v>22556</v>
      </c>
      <c r="B2621">
        <v>66.77</v>
      </c>
      <c r="C2621">
        <v>67.77</v>
      </c>
      <c r="D2621">
        <v>66.73</v>
      </c>
      <c r="E2621">
        <v>66.97</v>
      </c>
      <c r="F2621">
        <v>3250000</v>
      </c>
      <c r="G2621">
        <v>66.97</v>
      </c>
    </row>
    <row r="2622" spans="1:7" x14ac:dyDescent="0.25">
      <c r="A2622" s="5">
        <v>22549</v>
      </c>
      <c r="B2622">
        <v>65.77</v>
      </c>
      <c r="C2622">
        <v>66.73</v>
      </c>
      <c r="D2622">
        <v>65.77</v>
      </c>
      <c r="E2622">
        <v>66.73</v>
      </c>
      <c r="F2622">
        <v>3304000</v>
      </c>
      <c r="G2622">
        <v>66.73</v>
      </c>
    </row>
    <row r="2623" spans="1:7" x14ac:dyDescent="0.25">
      <c r="A2623" s="5">
        <v>22542</v>
      </c>
      <c r="B2623">
        <v>67.209999999999994</v>
      </c>
      <c r="C2623">
        <v>67.209999999999994</v>
      </c>
      <c r="D2623">
        <v>66.08</v>
      </c>
      <c r="E2623">
        <v>66.72</v>
      </c>
      <c r="F2623">
        <v>3184000</v>
      </c>
      <c r="G2623">
        <v>66.72</v>
      </c>
    </row>
    <row r="2624" spans="1:7" x14ac:dyDescent="0.25">
      <c r="A2624" s="5">
        <v>22535</v>
      </c>
      <c r="B2624">
        <v>67.28</v>
      </c>
      <c r="C2624">
        <v>68.010000000000005</v>
      </c>
      <c r="D2624">
        <v>67.28</v>
      </c>
      <c r="E2624">
        <v>67.650000000000006</v>
      </c>
      <c r="F2624">
        <v>2980000</v>
      </c>
      <c r="G2624">
        <v>67.650000000000006</v>
      </c>
    </row>
    <row r="2625" spans="1:7" x14ac:dyDescent="0.25">
      <c r="A2625" s="5">
        <v>22529</v>
      </c>
      <c r="B2625">
        <v>67.959999999999994</v>
      </c>
      <c r="C2625">
        <v>68.459999999999994</v>
      </c>
      <c r="D2625">
        <v>67.88</v>
      </c>
      <c r="E2625">
        <v>67.88</v>
      </c>
      <c r="F2625">
        <v>3442500</v>
      </c>
      <c r="G2625">
        <v>67.88</v>
      </c>
    </row>
    <row r="2626" spans="1:7" x14ac:dyDescent="0.25">
      <c r="A2626" s="5">
        <v>22521</v>
      </c>
      <c r="B2626">
        <v>67.7</v>
      </c>
      <c r="C2626">
        <v>68.19</v>
      </c>
      <c r="D2626">
        <v>67.55</v>
      </c>
      <c r="E2626">
        <v>68.19</v>
      </c>
      <c r="F2626">
        <v>3032000</v>
      </c>
      <c r="G2626">
        <v>68.19</v>
      </c>
    </row>
    <row r="2627" spans="1:7" x14ac:dyDescent="0.25">
      <c r="A2627" s="5">
        <v>22514</v>
      </c>
      <c r="B2627">
        <v>68.430000000000007</v>
      </c>
      <c r="C2627">
        <v>68.44</v>
      </c>
      <c r="D2627">
        <v>67.59</v>
      </c>
      <c r="E2627">
        <v>67.67</v>
      </c>
      <c r="F2627">
        <v>3442000</v>
      </c>
      <c r="G2627">
        <v>67.67</v>
      </c>
    </row>
    <row r="2628" spans="1:7" x14ac:dyDescent="0.25">
      <c r="A2628" s="5">
        <v>22507</v>
      </c>
      <c r="B2628">
        <v>67.72</v>
      </c>
      <c r="C2628">
        <v>68.290000000000006</v>
      </c>
      <c r="D2628">
        <v>67.55</v>
      </c>
      <c r="E2628">
        <v>68.290000000000006</v>
      </c>
      <c r="F2628">
        <v>3606000</v>
      </c>
      <c r="G2628">
        <v>68.290000000000006</v>
      </c>
    </row>
    <row r="2629" spans="1:7" x14ac:dyDescent="0.25">
      <c r="A2629" s="5">
        <v>22500</v>
      </c>
      <c r="B2629">
        <v>67.67</v>
      </c>
      <c r="C2629">
        <v>68.06</v>
      </c>
      <c r="D2629">
        <v>67.67</v>
      </c>
      <c r="E2629">
        <v>68.06</v>
      </c>
      <c r="F2629">
        <v>3630000</v>
      </c>
      <c r="G2629">
        <v>68.06</v>
      </c>
    </row>
    <row r="2630" spans="1:7" x14ac:dyDescent="0.25">
      <c r="A2630" s="5">
        <v>22493</v>
      </c>
      <c r="B2630">
        <v>66.760000000000005</v>
      </c>
      <c r="C2630">
        <v>67.680000000000007</v>
      </c>
      <c r="D2630">
        <v>66.760000000000005</v>
      </c>
      <c r="E2630">
        <v>67.680000000000007</v>
      </c>
      <c r="F2630">
        <v>3764000</v>
      </c>
      <c r="G2630">
        <v>67.680000000000007</v>
      </c>
    </row>
    <row r="2631" spans="1:7" x14ac:dyDescent="0.25">
      <c r="A2631" s="5">
        <v>22486</v>
      </c>
      <c r="B2631">
        <v>64.87</v>
      </c>
      <c r="C2631">
        <v>66.709999999999994</v>
      </c>
      <c r="D2631">
        <v>64.87</v>
      </c>
      <c r="E2631">
        <v>66.709999999999994</v>
      </c>
      <c r="F2631">
        <v>3470000</v>
      </c>
      <c r="G2631">
        <v>66.709999999999994</v>
      </c>
    </row>
    <row r="2632" spans="1:7" x14ac:dyDescent="0.25">
      <c r="A2632" s="5">
        <v>22479</v>
      </c>
      <c r="B2632">
        <v>64.790000000000006</v>
      </c>
      <c r="C2632">
        <v>64.86</v>
      </c>
      <c r="D2632">
        <v>64.41</v>
      </c>
      <c r="E2632">
        <v>64.86</v>
      </c>
      <c r="F2632">
        <v>2706000</v>
      </c>
      <c r="G2632">
        <v>64.86</v>
      </c>
    </row>
    <row r="2633" spans="1:7" x14ac:dyDescent="0.25">
      <c r="A2633" s="5">
        <v>22472</v>
      </c>
      <c r="B2633">
        <v>65.709999999999994</v>
      </c>
      <c r="C2633">
        <v>65.709999999999994</v>
      </c>
      <c r="D2633">
        <v>64.86</v>
      </c>
      <c r="E2633">
        <v>65.28</v>
      </c>
      <c r="F2633">
        <v>2968000</v>
      </c>
      <c r="G2633">
        <v>65.28</v>
      </c>
    </row>
    <row r="2634" spans="1:7" x14ac:dyDescent="0.25">
      <c r="A2634" s="5">
        <v>22465</v>
      </c>
      <c r="B2634">
        <v>65.209999999999994</v>
      </c>
      <c r="C2634">
        <v>65.81</v>
      </c>
      <c r="D2634">
        <v>65.209999999999994</v>
      </c>
      <c r="E2634">
        <v>65.77</v>
      </c>
      <c r="F2634">
        <v>2987500</v>
      </c>
      <c r="G2634">
        <v>65.77</v>
      </c>
    </row>
    <row r="2635" spans="1:7" x14ac:dyDescent="0.25">
      <c r="A2635" s="5">
        <v>22458</v>
      </c>
      <c r="B2635">
        <v>64.47</v>
      </c>
      <c r="C2635">
        <v>64.64</v>
      </c>
      <c r="D2635">
        <v>64.47</v>
      </c>
      <c r="E2635">
        <v>64.64</v>
      </c>
      <c r="F2635">
        <v>2710000</v>
      </c>
      <c r="G2635">
        <v>64.64</v>
      </c>
    </row>
    <row r="2636" spans="1:7" x14ac:dyDescent="0.25">
      <c r="A2636" s="5">
        <v>22451</v>
      </c>
      <c r="B2636">
        <v>64.58</v>
      </c>
      <c r="C2636">
        <v>65.16</v>
      </c>
      <c r="D2636">
        <v>64.58</v>
      </c>
      <c r="E2636">
        <v>65.16</v>
      </c>
      <c r="F2636">
        <v>3214000</v>
      </c>
      <c r="G2636">
        <v>65.16</v>
      </c>
    </row>
    <row r="2637" spans="1:7" x14ac:dyDescent="0.25">
      <c r="A2637" s="5">
        <v>22444</v>
      </c>
      <c r="B2637">
        <v>66.150000000000006</v>
      </c>
      <c r="C2637">
        <v>66.150000000000006</v>
      </c>
      <c r="D2637">
        <v>65.180000000000007</v>
      </c>
      <c r="E2637">
        <v>65.180000000000007</v>
      </c>
      <c r="F2637">
        <v>3264000</v>
      </c>
      <c r="G2637">
        <v>65.180000000000007</v>
      </c>
    </row>
    <row r="2638" spans="1:7" x14ac:dyDescent="0.25">
      <c r="A2638" s="5">
        <v>22437</v>
      </c>
      <c r="B2638">
        <v>67.08</v>
      </c>
      <c r="C2638">
        <v>67.08</v>
      </c>
      <c r="D2638">
        <v>65.64</v>
      </c>
      <c r="E2638">
        <v>66.66</v>
      </c>
      <c r="F2638">
        <v>3942000</v>
      </c>
      <c r="G2638">
        <v>66.66</v>
      </c>
    </row>
    <row r="2639" spans="1:7" x14ac:dyDescent="0.25">
      <c r="A2639" s="5">
        <v>22432</v>
      </c>
      <c r="B2639">
        <v>66.56</v>
      </c>
      <c r="C2639">
        <v>66.73</v>
      </c>
      <c r="D2639">
        <v>66.56</v>
      </c>
      <c r="E2639">
        <v>66.73</v>
      </c>
      <c r="F2639">
        <v>3920000</v>
      </c>
      <c r="G2639">
        <v>66.73</v>
      </c>
    </row>
    <row r="2640" spans="1:7" x14ac:dyDescent="0.25">
      <c r="A2640" s="5">
        <v>22423</v>
      </c>
      <c r="B2640">
        <v>66.849999999999994</v>
      </c>
      <c r="C2640">
        <v>66.849999999999994</v>
      </c>
      <c r="D2640">
        <v>66.010000000000005</v>
      </c>
      <c r="E2640">
        <v>66.430000000000007</v>
      </c>
      <c r="F2640">
        <v>3848000</v>
      </c>
      <c r="G2640">
        <v>66.430000000000007</v>
      </c>
    </row>
    <row r="2641" spans="1:7" x14ac:dyDescent="0.25">
      <c r="A2641" s="5">
        <v>22416</v>
      </c>
      <c r="B2641">
        <v>66.83</v>
      </c>
      <c r="C2641">
        <v>67.39</v>
      </c>
      <c r="D2641">
        <v>66.83</v>
      </c>
      <c r="E2641">
        <v>67.27</v>
      </c>
      <c r="F2641">
        <v>4856000</v>
      </c>
      <c r="G2641">
        <v>67.27</v>
      </c>
    </row>
    <row r="2642" spans="1:7" x14ac:dyDescent="0.25">
      <c r="A2642" s="5">
        <v>22409</v>
      </c>
      <c r="B2642">
        <v>66.41</v>
      </c>
      <c r="C2642">
        <v>66.5</v>
      </c>
      <c r="D2642">
        <v>66.39</v>
      </c>
      <c r="E2642">
        <v>66.5</v>
      </c>
      <c r="F2642">
        <v>5202000</v>
      </c>
      <c r="G2642">
        <v>66.5</v>
      </c>
    </row>
    <row r="2643" spans="1:7" x14ac:dyDescent="0.25">
      <c r="A2643" s="5">
        <v>22402</v>
      </c>
      <c r="B2643">
        <v>65.17</v>
      </c>
      <c r="C2643">
        <v>66.52</v>
      </c>
      <c r="D2643">
        <v>65.17</v>
      </c>
      <c r="E2643">
        <v>66.52</v>
      </c>
      <c r="F2643">
        <v>4618000</v>
      </c>
      <c r="G2643">
        <v>66.52</v>
      </c>
    </row>
    <row r="2644" spans="1:7" x14ac:dyDescent="0.25">
      <c r="A2644" s="5">
        <v>22395</v>
      </c>
      <c r="B2644">
        <v>64.400000000000006</v>
      </c>
      <c r="C2644">
        <v>65.55</v>
      </c>
      <c r="D2644">
        <v>64.400000000000006</v>
      </c>
      <c r="E2644">
        <v>65.31</v>
      </c>
      <c r="F2644">
        <v>4480000</v>
      </c>
      <c r="G2644">
        <v>65.31</v>
      </c>
    </row>
    <row r="2645" spans="1:7" x14ac:dyDescent="0.25">
      <c r="A2645" s="5">
        <v>22388</v>
      </c>
      <c r="B2645">
        <v>68.680000000000007</v>
      </c>
      <c r="C2645">
        <v>68.680000000000007</v>
      </c>
      <c r="D2645">
        <v>65.77</v>
      </c>
      <c r="E2645">
        <v>65.77</v>
      </c>
      <c r="F2645">
        <v>4942000</v>
      </c>
      <c r="G2645">
        <v>65.77</v>
      </c>
    </row>
    <row r="2646" spans="1:7" x14ac:dyDescent="0.25">
      <c r="A2646" s="5">
        <v>22381</v>
      </c>
      <c r="B2646">
        <v>66.53</v>
      </c>
      <c r="C2646">
        <v>66.62</v>
      </c>
      <c r="D2646">
        <v>66.260000000000005</v>
      </c>
      <c r="E2646">
        <v>66.37</v>
      </c>
      <c r="F2646">
        <v>5132000</v>
      </c>
      <c r="G2646">
        <v>66.37</v>
      </c>
    </row>
    <row r="2647" spans="1:7" x14ac:dyDescent="0.25">
      <c r="A2647" s="5">
        <v>22374</v>
      </c>
      <c r="B2647">
        <v>65.599999999999994</v>
      </c>
      <c r="C2647">
        <v>65.959999999999994</v>
      </c>
      <c r="D2647">
        <v>65.459999999999994</v>
      </c>
      <c r="E2647">
        <v>65.959999999999994</v>
      </c>
      <c r="F2647">
        <v>5798000</v>
      </c>
      <c r="G2647">
        <v>65.959999999999994</v>
      </c>
    </row>
    <row r="2648" spans="1:7" x14ac:dyDescent="0.25">
      <c r="A2648" s="5">
        <v>22367</v>
      </c>
      <c r="B2648">
        <v>64.349999999999994</v>
      </c>
      <c r="C2648">
        <v>65.06</v>
      </c>
      <c r="D2648">
        <v>64.349999999999994</v>
      </c>
      <c r="E2648">
        <v>65.06</v>
      </c>
      <c r="F2648">
        <v>4940000</v>
      </c>
      <c r="G2648">
        <v>65.06</v>
      </c>
    </row>
    <row r="2649" spans="1:7" x14ac:dyDescent="0.25">
      <c r="A2649" s="5">
        <v>22360</v>
      </c>
      <c r="B2649">
        <v>64.86</v>
      </c>
      <c r="C2649">
        <v>64.86</v>
      </c>
      <c r="D2649">
        <v>64.42</v>
      </c>
      <c r="E2649">
        <v>64.42</v>
      </c>
      <c r="F2649">
        <v>4796000</v>
      </c>
      <c r="G2649">
        <v>64.42</v>
      </c>
    </row>
    <row r="2650" spans="1:7" x14ac:dyDescent="0.25">
      <c r="A2650" s="5">
        <v>22353</v>
      </c>
      <c r="B2650">
        <v>63.66</v>
      </c>
      <c r="C2650">
        <v>64.209999999999994</v>
      </c>
      <c r="D2650">
        <v>63.38</v>
      </c>
      <c r="E2650">
        <v>64</v>
      </c>
      <c r="F2650">
        <v>5290000</v>
      </c>
      <c r="G2650">
        <v>64</v>
      </c>
    </row>
    <row r="2651" spans="1:7" x14ac:dyDescent="0.25">
      <c r="A2651" s="5">
        <v>22346</v>
      </c>
      <c r="B2651">
        <v>64.05</v>
      </c>
      <c r="C2651">
        <v>64.05</v>
      </c>
      <c r="D2651">
        <v>63.44</v>
      </c>
      <c r="E2651">
        <v>63.48</v>
      </c>
      <c r="F2651">
        <v>5812000</v>
      </c>
      <c r="G2651">
        <v>63.48</v>
      </c>
    </row>
    <row r="2652" spans="1:7" x14ac:dyDescent="0.25">
      <c r="A2652" s="5">
        <v>22339</v>
      </c>
      <c r="B2652">
        <v>63.3</v>
      </c>
      <c r="C2652">
        <v>63.95</v>
      </c>
      <c r="D2652">
        <v>63.3</v>
      </c>
      <c r="E2652">
        <v>63.95</v>
      </c>
      <c r="F2652">
        <v>5420000</v>
      </c>
      <c r="G2652">
        <v>63.95</v>
      </c>
    </row>
    <row r="2653" spans="1:7" x14ac:dyDescent="0.25">
      <c r="A2653" s="5">
        <v>22332</v>
      </c>
      <c r="B2653">
        <v>62.32</v>
      </c>
      <c r="C2653">
        <v>62.84</v>
      </c>
      <c r="D2653">
        <v>62.32</v>
      </c>
      <c r="E2653">
        <v>62.84</v>
      </c>
      <c r="F2653">
        <v>5175000</v>
      </c>
      <c r="G2653">
        <v>62.84</v>
      </c>
    </row>
    <row r="2654" spans="1:7" x14ac:dyDescent="0.25">
      <c r="A2654" s="5">
        <v>22325</v>
      </c>
      <c r="B2654">
        <v>61.14</v>
      </c>
      <c r="C2654">
        <v>62.3</v>
      </c>
      <c r="D2654">
        <v>61.14</v>
      </c>
      <c r="E2654">
        <v>62.1</v>
      </c>
      <c r="F2654">
        <v>4592000</v>
      </c>
      <c r="G2654">
        <v>62.1</v>
      </c>
    </row>
    <row r="2655" spans="1:7" x14ac:dyDescent="0.25">
      <c r="A2655" s="5">
        <v>22318</v>
      </c>
      <c r="B2655">
        <v>61.76</v>
      </c>
      <c r="C2655">
        <v>62.21</v>
      </c>
      <c r="D2655">
        <v>61.5</v>
      </c>
      <c r="E2655">
        <v>61.5</v>
      </c>
      <c r="F2655">
        <v>4656000</v>
      </c>
      <c r="G2655">
        <v>61.5</v>
      </c>
    </row>
    <row r="2656" spans="1:7" x14ac:dyDescent="0.25">
      <c r="A2656" s="5">
        <v>22311</v>
      </c>
      <c r="B2656">
        <v>61.97</v>
      </c>
      <c r="C2656">
        <v>62.3</v>
      </c>
      <c r="D2656">
        <v>61.78</v>
      </c>
      <c r="E2656">
        <v>62.22</v>
      </c>
      <c r="F2656">
        <v>4874000</v>
      </c>
      <c r="G2656">
        <v>62.22</v>
      </c>
    </row>
    <row r="2657" spans="1:7" x14ac:dyDescent="0.25">
      <c r="A2657" s="5">
        <v>22304</v>
      </c>
      <c r="B2657">
        <v>60.29</v>
      </c>
      <c r="C2657">
        <v>61.24</v>
      </c>
      <c r="D2657">
        <v>60.29</v>
      </c>
      <c r="E2657">
        <v>61.24</v>
      </c>
      <c r="F2657">
        <v>4364000</v>
      </c>
      <c r="G2657">
        <v>61.24</v>
      </c>
    </row>
    <row r="2658" spans="1:7" x14ac:dyDescent="0.25">
      <c r="A2658" s="5">
        <v>22297</v>
      </c>
      <c r="B2658">
        <v>59.58</v>
      </c>
      <c r="C2658">
        <v>59.96</v>
      </c>
      <c r="D2658">
        <v>59.58</v>
      </c>
      <c r="E2658">
        <v>59.96</v>
      </c>
      <c r="F2658">
        <v>4148000</v>
      </c>
      <c r="G2658">
        <v>59.96</v>
      </c>
    </row>
    <row r="2659" spans="1:7" x14ac:dyDescent="0.25">
      <c r="A2659" s="5">
        <v>22290</v>
      </c>
      <c r="B2659">
        <v>58.81</v>
      </c>
      <c r="C2659">
        <v>59.6</v>
      </c>
      <c r="D2659">
        <v>58.81</v>
      </c>
      <c r="E2659">
        <v>59.6</v>
      </c>
      <c r="F2659">
        <v>4442000</v>
      </c>
      <c r="G2659">
        <v>59.6</v>
      </c>
    </row>
    <row r="2660" spans="1:7" x14ac:dyDescent="0.25">
      <c r="A2660" s="5">
        <v>22284</v>
      </c>
      <c r="B2660">
        <v>57.57</v>
      </c>
      <c r="C2660">
        <v>58.57</v>
      </c>
      <c r="D2660">
        <v>57.57</v>
      </c>
      <c r="E2660">
        <v>58.4</v>
      </c>
      <c r="F2660">
        <v>3590000</v>
      </c>
      <c r="G2660">
        <v>58.4</v>
      </c>
    </row>
    <row r="2661" spans="1:7" x14ac:dyDescent="0.25">
      <c r="A2661" s="5">
        <v>22277</v>
      </c>
      <c r="B2661">
        <v>57.52</v>
      </c>
      <c r="C2661">
        <v>58.11</v>
      </c>
      <c r="D2661">
        <v>57.52</v>
      </c>
      <c r="E2661">
        <v>58.11</v>
      </c>
      <c r="F2661">
        <v>4132500</v>
      </c>
      <c r="G2661">
        <v>58.11</v>
      </c>
    </row>
    <row r="2662" spans="1:7" x14ac:dyDescent="0.25">
      <c r="A2662" s="5">
        <v>22269</v>
      </c>
      <c r="B2662">
        <v>57.13</v>
      </c>
      <c r="C2662">
        <v>57.55</v>
      </c>
      <c r="D2662">
        <v>57.09</v>
      </c>
      <c r="E2662">
        <v>57.44</v>
      </c>
      <c r="F2662">
        <v>3686000</v>
      </c>
      <c r="G2662">
        <v>57.44</v>
      </c>
    </row>
    <row r="2663" spans="1:7" x14ac:dyDescent="0.25">
      <c r="A2663" s="5">
        <v>22262</v>
      </c>
      <c r="B2663">
        <v>56.85</v>
      </c>
      <c r="C2663">
        <v>57.2</v>
      </c>
      <c r="D2663">
        <v>56.68</v>
      </c>
      <c r="E2663">
        <v>57.2</v>
      </c>
      <c r="F2663">
        <v>3566000</v>
      </c>
      <c r="G2663">
        <v>57.2</v>
      </c>
    </row>
    <row r="2664" spans="1:7" x14ac:dyDescent="0.25">
      <c r="A2664" s="5">
        <v>22255</v>
      </c>
      <c r="B2664">
        <v>55.31</v>
      </c>
      <c r="C2664">
        <v>56.65</v>
      </c>
      <c r="D2664">
        <v>55.31</v>
      </c>
      <c r="E2664">
        <v>56.65</v>
      </c>
      <c r="F2664">
        <v>3662000</v>
      </c>
      <c r="G2664">
        <v>56.65</v>
      </c>
    </row>
    <row r="2665" spans="1:7" x14ac:dyDescent="0.25">
      <c r="A2665" s="5">
        <v>22248</v>
      </c>
      <c r="B2665">
        <v>56.03</v>
      </c>
      <c r="C2665">
        <v>56.03</v>
      </c>
      <c r="D2665">
        <v>55.3</v>
      </c>
      <c r="E2665">
        <v>55.39</v>
      </c>
      <c r="F2665">
        <v>3360000</v>
      </c>
      <c r="G2665">
        <v>55.39</v>
      </c>
    </row>
    <row r="2666" spans="1:7" x14ac:dyDescent="0.25">
      <c r="A2666" s="5">
        <v>22241</v>
      </c>
      <c r="B2666">
        <v>55.93</v>
      </c>
      <c r="C2666">
        <v>56.13</v>
      </c>
      <c r="D2666">
        <v>55.72</v>
      </c>
      <c r="E2666">
        <v>56.13</v>
      </c>
      <c r="F2666">
        <v>3177500</v>
      </c>
      <c r="G2666">
        <v>56.13</v>
      </c>
    </row>
    <row r="2667" spans="1:7" x14ac:dyDescent="0.25">
      <c r="A2667" s="5">
        <v>22234</v>
      </c>
      <c r="B2667">
        <v>55.59</v>
      </c>
      <c r="C2667">
        <v>55.82</v>
      </c>
      <c r="D2667">
        <v>55.55</v>
      </c>
      <c r="E2667">
        <v>55.82</v>
      </c>
      <c r="F2667">
        <v>2794000</v>
      </c>
      <c r="G2667">
        <v>55.82</v>
      </c>
    </row>
    <row r="2668" spans="1:7" x14ac:dyDescent="0.25">
      <c r="A2668" s="5">
        <v>22227</v>
      </c>
      <c r="B2668">
        <v>55.11</v>
      </c>
      <c r="C2668">
        <v>56.43</v>
      </c>
      <c r="D2668">
        <v>55.11</v>
      </c>
      <c r="E2668">
        <v>55.87</v>
      </c>
      <c r="F2668">
        <v>3437500</v>
      </c>
      <c r="G2668">
        <v>55.87</v>
      </c>
    </row>
    <row r="2669" spans="1:7" x14ac:dyDescent="0.25">
      <c r="A2669" s="5">
        <v>22220</v>
      </c>
      <c r="B2669">
        <v>53.39</v>
      </c>
      <c r="C2669">
        <v>54.9</v>
      </c>
      <c r="D2669">
        <v>53.39</v>
      </c>
      <c r="E2669">
        <v>54.9</v>
      </c>
      <c r="F2669">
        <v>2694000</v>
      </c>
      <c r="G2669">
        <v>54.9</v>
      </c>
    </row>
    <row r="2670" spans="1:7" x14ac:dyDescent="0.25">
      <c r="A2670" s="5">
        <v>22213</v>
      </c>
      <c r="B2670">
        <v>52.7</v>
      </c>
      <c r="C2670">
        <v>53.62</v>
      </c>
      <c r="D2670">
        <v>52.2</v>
      </c>
      <c r="E2670">
        <v>53.41</v>
      </c>
      <c r="F2670">
        <v>3172000</v>
      </c>
      <c r="G2670">
        <v>53.41</v>
      </c>
    </row>
    <row r="2671" spans="1:7" x14ac:dyDescent="0.25">
      <c r="A2671" s="5">
        <v>22206</v>
      </c>
      <c r="B2671">
        <v>54.63</v>
      </c>
      <c r="C2671">
        <v>54.63</v>
      </c>
      <c r="D2671">
        <v>53.72</v>
      </c>
      <c r="E2671">
        <v>53.72</v>
      </c>
      <c r="F2671">
        <v>2582000</v>
      </c>
      <c r="G2671">
        <v>53.72</v>
      </c>
    </row>
    <row r="2672" spans="1:7" x14ac:dyDescent="0.25">
      <c r="A2672" s="5">
        <v>22199</v>
      </c>
      <c r="B2672">
        <v>54.14</v>
      </c>
      <c r="C2672">
        <v>54.86</v>
      </c>
      <c r="D2672">
        <v>54.14</v>
      </c>
      <c r="E2672">
        <v>54.86</v>
      </c>
      <c r="F2672">
        <v>2192000</v>
      </c>
      <c r="G2672">
        <v>54.86</v>
      </c>
    </row>
    <row r="2673" spans="1:7" x14ac:dyDescent="0.25">
      <c r="A2673" s="5">
        <v>22192</v>
      </c>
      <c r="B2673">
        <v>53.36</v>
      </c>
      <c r="C2673">
        <v>54.03</v>
      </c>
      <c r="D2673">
        <v>52.99</v>
      </c>
      <c r="E2673">
        <v>54.03</v>
      </c>
      <c r="F2673">
        <v>2436000</v>
      </c>
      <c r="G2673">
        <v>54.03</v>
      </c>
    </row>
    <row r="2674" spans="1:7" x14ac:dyDescent="0.25">
      <c r="A2674" s="5">
        <v>22185</v>
      </c>
      <c r="B2674">
        <v>53.06</v>
      </c>
      <c r="C2674">
        <v>53.52</v>
      </c>
      <c r="D2674">
        <v>52.48</v>
      </c>
      <c r="E2674">
        <v>53.52</v>
      </c>
      <c r="F2674">
        <v>3368000</v>
      </c>
      <c r="G2674">
        <v>53.52</v>
      </c>
    </row>
    <row r="2675" spans="1:7" x14ac:dyDescent="0.25">
      <c r="A2675" s="5">
        <v>22178</v>
      </c>
      <c r="B2675">
        <v>53.86</v>
      </c>
      <c r="C2675">
        <v>54.57</v>
      </c>
      <c r="D2675">
        <v>53.86</v>
      </c>
      <c r="E2675">
        <v>53.9</v>
      </c>
      <c r="F2675">
        <v>2986000</v>
      </c>
      <c r="G2675">
        <v>53.9</v>
      </c>
    </row>
    <row r="2676" spans="1:7" x14ac:dyDescent="0.25">
      <c r="A2676" s="5">
        <v>22171</v>
      </c>
      <c r="B2676">
        <v>55.72</v>
      </c>
      <c r="C2676">
        <v>55.83</v>
      </c>
      <c r="D2676">
        <v>55.11</v>
      </c>
      <c r="E2676">
        <v>55.11</v>
      </c>
      <c r="F2676">
        <v>2416000</v>
      </c>
      <c r="G2676">
        <v>55.11</v>
      </c>
    </row>
    <row r="2677" spans="1:7" x14ac:dyDescent="0.25">
      <c r="A2677" s="5">
        <v>22165</v>
      </c>
      <c r="B2677">
        <v>56.49</v>
      </c>
      <c r="C2677">
        <v>56.49</v>
      </c>
      <c r="D2677">
        <v>55.74</v>
      </c>
      <c r="E2677">
        <v>56.11</v>
      </c>
      <c r="F2677">
        <v>2712500</v>
      </c>
      <c r="G2677">
        <v>56.11</v>
      </c>
    </row>
    <row r="2678" spans="1:7" x14ac:dyDescent="0.25">
      <c r="A2678" s="5">
        <v>22157</v>
      </c>
      <c r="B2678">
        <v>57.44</v>
      </c>
      <c r="C2678">
        <v>57.44</v>
      </c>
      <c r="D2678">
        <v>56.84</v>
      </c>
      <c r="E2678">
        <v>57</v>
      </c>
      <c r="F2678">
        <v>2988000</v>
      </c>
      <c r="G2678">
        <v>57</v>
      </c>
    </row>
    <row r="2679" spans="1:7" x14ac:dyDescent="0.25">
      <c r="A2679" s="5">
        <v>22150</v>
      </c>
      <c r="B2679">
        <v>57.19</v>
      </c>
      <c r="C2679">
        <v>58.07</v>
      </c>
      <c r="D2679">
        <v>57.19</v>
      </c>
      <c r="E2679">
        <v>57.6</v>
      </c>
      <c r="F2679">
        <v>3056000</v>
      </c>
      <c r="G2679">
        <v>57.6</v>
      </c>
    </row>
    <row r="2680" spans="1:7" x14ac:dyDescent="0.25">
      <c r="A2680" s="5">
        <v>22143</v>
      </c>
      <c r="B2680">
        <v>56.61</v>
      </c>
      <c r="C2680">
        <v>57.01</v>
      </c>
      <c r="D2680">
        <v>56.61</v>
      </c>
      <c r="E2680">
        <v>57.01</v>
      </c>
      <c r="F2680">
        <v>2742000</v>
      </c>
      <c r="G2680">
        <v>57.01</v>
      </c>
    </row>
    <row r="2681" spans="1:7" x14ac:dyDescent="0.25">
      <c r="A2681" s="5">
        <v>22136</v>
      </c>
      <c r="B2681">
        <v>55.52</v>
      </c>
      <c r="C2681">
        <v>56.66</v>
      </c>
      <c r="D2681">
        <v>55.52</v>
      </c>
      <c r="E2681">
        <v>56.66</v>
      </c>
      <c r="F2681">
        <v>2940000</v>
      </c>
      <c r="G2681">
        <v>56.66</v>
      </c>
    </row>
    <row r="2682" spans="1:7" x14ac:dyDescent="0.25">
      <c r="A2682" s="5">
        <v>22129</v>
      </c>
      <c r="B2682">
        <v>55.53</v>
      </c>
      <c r="C2682">
        <v>55.53</v>
      </c>
      <c r="D2682">
        <v>54.72</v>
      </c>
      <c r="E2682">
        <v>55.44</v>
      </c>
      <c r="F2682">
        <v>2568000</v>
      </c>
      <c r="G2682">
        <v>55.44</v>
      </c>
    </row>
    <row r="2683" spans="1:7" x14ac:dyDescent="0.25">
      <c r="A2683" s="5">
        <v>22122</v>
      </c>
      <c r="B2683">
        <v>54.18</v>
      </c>
      <c r="C2683">
        <v>55.51</v>
      </c>
      <c r="D2683">
        <v>54.17</v>
      </c>
      <c r="E2683">
        <v>55.51</v>
      </c>
      <c r="F2683">
        <v>2774000</v>
      </c>
      <c r="G2683">
        <v>55.51</v>
      </c>
    </row>
    <row r="2684" spans="1:7" x14ac:dyDescent="0.25">
      <c r="A2684" s="5">
        <v>22115</v>
      </c>
      <c r="B2684">
        <v>55.7</v>
      </c>
      <c r="C2684">
        <v>55.7</v>
      </c>
      <c r="D2684">
        <v>54.72</v>
      </c>
      <c r="E2684">
        <v>54.72</v>
      </c>
      <c r="F2684">
        <v>2514000</v>
      </c>
      <c r="G2684">
        <v>54.72</v>
      </c>
    </row>
    <row r="2685" spans="1:7" x14ac:dyDescent="0.25">
      <c r="A2685" s="5">
        <v>22108</v>
      </c>
      <c r="B2685">
        <v>56.87</v>
      </c>
      <c r="C2685">
        <v>56.87</v>
      </c>
      <c r="D2685">
        <v>56.05</v>
      </c>
      <c r="E2685">
        <v>56.05</v>
      </c>
      <c r="F2685">
        <v>2598000</v>
      </c>
      <c r="G2685">
        <v>56.05</v>
      </c>
    </row>
    <row r="2686" spans="1:7" x14ac:dyDescent="0.25">
      <c r="A2686" s="5">
        <v>22102</v>
      </c>
      <c r="B2686">
        <v>57.02</v>
      </c>
      <c r="C2686">
        <v>57.38</v>
      </c>
      <c r="D2686">
        <v>56.94</v>
      </c>
      <c r="E2686">
        <v>57.38</v>
      </c>
      <c r="F2686">
        <v>2952500</v>
      </c>
      <c r="G2686">
        <v>57.38</v>
      </c>
    </row>
    <row r="2687" spans="1:7" x14ac:dyDescent="0.25">
      <c r="A2687" s="5">
        <v>22094</v>
      </c>
      <c r="B2687">
        <v>57.33</v>
      </c>
      <c r="C2687">
        <v>57.33</v>
      </c>
      <c r="D2687">
        <v>56.92</v>
      </c>
      <c r="E2687">
        <v>57.06</v>
      </c>
      <c r="F2687">
        <v>2960000</v>
      </c>
      <c r="G2687">
        <v>57.06</v>
      </c>
    </row>
    <row r="2688" spans="1:7" x14ac:dyDescent="0.25">
      <c r="A2688" s="5">
        <v>22087</v>
      </c>
      <c r="B2688">
        <v>57.16</v>
      </c>
      <c r="C2688">
        <v>57.68</v>
      </c>
      <c r="D2688">
        <v>57.11</v>
      </c>
      <c r="E2688">
        <v>57.68</v>
      </c>
      <c r="F2688">
        <v>3654000</v>
      </c>
      <c r="G2688">
        <v>57.68</v>
      </c>
    </row>
    <row r="2689" spans="1:7" x14ac:dyDescent="0.25">
      <c r="A2689" s="5">
        <v>22080</v>
      </c>
      <c r="B2689">
        <v>57.99</v>
      </c>
      <c r="C2689">
        <v>57.99</v>
      </c>
      <c r="D2689">
        <v>57.44</v>
      </c>
      <c r="E2689">
        <v>57.44</v>
      </c>
      <c r="F2689">
        <v>3540000</v>
      </c>
      <c r="G2689">
        <v>57.44</v>
      </c>
    </row>
    <row r="2690" spans="1:7" x14ac:dyDescent="0.25">
      <c r="A2690" s="5">
        <v>22073</v>
      </c>
      <c r="B2690">
        <v>56.89</v>
      </c>
      <c r="C2690">
        <v>58</v>
      </c>
      <c r="D2690">
        <v>56.89</v>
      </c>
      <c r="E2690">
        <v>57.97</v>
      </c>
      <c r="F2690">
        <v>3498000</v>
      </c>
      <c r="G2690">
        <v>57.97</v>
      </c>
    </row>
    <row r="2691" spans="1:7" x14ac:dyDescent="0.25">
      <c r="A2691" s="5">
        <v>22067</v>
      </c>
      <c r="B2691">
        <v>55.83</v>
      </c>
      <c r="C2691">
        <v>56.23</v>
      </c>
      <c r="D2691">
        <v>55.83</v>
      </c>
      <c r="E2691">
        <v>56.23</v>
      </c>
      <c r="F2691">
        <v>3647500</v>
      </c>
      <c r="G2691">
        <v>56.23</v>
      </c>
    </row>
    <row r="2692" spans="1:7" x14ac:dyDescent="0.25">
      <c r="A2692" s="5">
        <v>22059</v>
      </c>
      <c r="B2692">
        <v>55.76</v>
      </c>
      <c r="C2692">
        <v>55.76</v>
      </c>
      <c r="D2692">
        <v>55.67</v>
      </c>
      <c r="E2692">
        <v>55.74</v>
      </c>
      <c r="F2692">
        <v>3194000</v>
      </c>
      <c r="G2692">
        <v>55.74</v>
      </c>
    </row>
    <row r="2693" spans="1:7" x14ac:dyDescent="0.25">
      <c r="A2693" s="5">
        <v>22052</v>
      </c>
      <c r="B2693">
        <v>55.25</v>
      </c>
      <c r="C2693">
        <v>55.73</v>
      </c>
      <c r="D2693">
        <v>55.25</v>
      </c>
      <c r="E2693">
        <v>55.73</v>
      </c>
      <c r="F2693">
        <v>3944000</v>
      </c>
      <c r="G2693">
        <v>55.73</v>
      </c>
    </row>
    <row r="2694" spans="1:7" x14ac:dyDescent="0.25">
      <c r="A2694" s="5">
        <v>22045</v>
      </c>
      <c r="B2694">
        <v>54.8</v>
      </c>
      <c r="C2694">
        <v>55.3</v>
      </c>
      <c r="D2694">
        <v>54.42</v>
      </c>
      <c r="E2694">
        <v>55.3</v>
      </c>
      <c r="F2694">
        <v>3082000</v>
      </c>
      <c r="G2694">
        <v>55.3</v>
      </c>
    </row>
    <row r="2695" spans="1:7" x14ac:dyDescent="0.25">
      <c r="A2695" s="5">
        <v>22038</v>
      </c>
      <c r="B2695">
        <v>54.13</v>
      </c>
      <c r="C2695">
        <v>55.04</v>
      </c>
      <c r="D2695">
        <v>54.13</v>
      </c>
      <c r="E2695">
        <v>54.75</v>
      </c>
      <c r="F2695">
        <v>2788000</v>
      </c>
      <c r="G2695">
        <v>54.75</v>
      </c>
    </row>
    <row r="2696" spans="1:7" x14ac:dyDescent="0.25">
      <c r="A2696" s="5">
        <v>22031</v>
      </c>
      <c r="B2696">
        <v>54.86</v>
      </c>
      <c r="C2696">
        <v>55.04</v>
      </c>
      <c r="D2696">
        <v>54.37</v>
      </c>
      <c r="E2696">
        <v>54.37</v>
      </c>
      <c r="F2696">
        <v>2996000</v>
      </c>
      <c r="G2696">
        <v>54.37</v>
      </c>
    </row>
    <row r="2697" spans="1:7" x14ac:dyDescent="0.25">
      <c r="A2697" s="5">
        <v>22024</v>
      </c>
      <c r="B2697">
        <v>56.59</v>
      </c>
      <c r="C2697">
        <v>56.59</v>
      </c>
      <c r="D2697">
        <v>55.42</v>
      </c>
      <c r="E2697">
        <v>55.42</v>
      </c>
      <c r="F2697">
        <v>2996000</v>
      </c>
      <c r="G2697">
        <v>55.42</v>
      </c>
    </row>
    <row r="2698" spans="1:7" x14ac:dyDescent="0.25">
      <c r="A2698" s="5">
        <v>22017</v>
      </c>
      <c r="B2698">
        <v>56.17</v>
      </c>
      <c r="C2698">
        <v>56.43</v>
      </c>
      <c r="D2698">
        <v>56.17</v>
      </c>
      <c r="E2698">
        <v>56.43</v>
      </c>
      <c r="F2698">
        <v>2612500</v>
      </c>
      <c r="G2698">
        <v>56.43</v>
      </c>
    </row>
    <row r="2699" spans="1:7" x14ac:dyDescent="0.25">
      <c r="A2699" s="5">
        <v>22010</v>
      </c>
      <c r="B2699">
        <v>55.54</v>
      </c>
      <c r="C2699">
        <v>56.52</v>
      </c>
      <c r="D2699">
        <v>55.37</v>
      </c>
      <c r="E2699">
        <v>56.39</v>
      </c>
      <c r="F2699">
        <v>2926000</v>
      </c>
      <c r="G2699">
        <v>56.39</v>
      </c>
    </row>
    <row r="2700" spans="1:7" x14ac:dyDescent="0.25">
      <c r="A2700" s="5">
        <v>22003</v>
      </c>
      <c r="B2700">
        <v>55.86</v>
      </c>
      <c r="C2700">
        <v>55.86</v>
      </c>
      <c r="D2700">
        <v>55.34</v>
      </c>
      <c r="E2700">
        <v>55.43</v>
      </c>
      <c r="F2700">
        <v>2444000</v>
      </c>
      <c r="G2700">
        <v>55.43</v>
      </c>
    </row>
    <row r="2701" spans="1:7" x14ac:dyDescent="0.25">
      <c r="A2701" s="5">
        <v>21996</v>
      </c>
      <c r="B2701">
        <v>55.07</v>
      </c>
      <c r="C2701">
        <v>55.98</v>
      </c>
      <c r="D2701">
        <v>55.07</v>
      </c>
      <c r="E2701">
        <v>55.98</v>
      </c>
      <c r="F2701">
        <v>2718000</v>
      </c>
      <c r="G2701">
        <v>55.98</v>
      </c>
    </row>
    <row r="2702" spans="1:7" x14ac:dyDescent="0.25">
      <c r="A2702" s="5">
        <v>21989</v>
      </c>
      <c r="B2702">
        <v>54.32</v>
      </c>
      <c r="C2702">
        <v>55.04</v>
      </c>
      <c r="D2702">
        <v>54.32</v>
      </c>
      <c r="E2702">
        <v>55.01</v>
      </c>
      <c r="F2702">
        <v>2588000</v>
      </c>
      <c r="G2702">
        <v>55.01</v>
      </c>
    </row>
    <row r="2703" spans="1:7" x14ac:dyDescent="0.25">
      <c r="A2703" s="5">
        <v>21982</v>
      </c>
      <c r="B2703">
        <v>54.02</v>
      </c>
      <c r="C2703">
        <v>54.24</v>
      </c>
      <c r="D2703">
        <v>53.47</v>
      </c>
      <c r="E2703">
        <v>54.24</v>
      </c>
      <c r="F2703">
        <v>3194000</v>
      </c>
      <c r="G2703">
        <v>54.24</v>
      </c>
    </row>
    <row r="2704" spans="1:7" x14ac:dyDescent="0.25">
      <c r="A2704" s="5">
        <v>21975</v>
      </c>
      <c r="B2704">
        <v>56.12</v>
      </c>
      <c r="C2704">
        <v>56.12</v>
      </c>
      <c r="D2704">
        <v>54.57</v>
      </c>
      <c r="E2704">
        <v>54.57</v>
      </c>
      <c r="F2704">
        <v>3248000</v>
      </c>
      <c r="G2704">
        <v>54.57</v>
      </c>
    </row>
    <row r="2705" spans="1:7" x14ac:dyDescent="0.25">
      <c r="A2705" s="5">
        <v>21969</v>
      </c>
      <c r="B2705">
        <v>55.94</v>
      </c>
      <c r="C2705">
        <v>56.16</v>
      </c>
      <c r="D2705">
        <v>55.74</v>
      </c>
      <c r="E2705">
        <v>56.16</v>
      </c>
      <c r="F2705">
        <v>3170000</v>
      </c>
      <c r="G2705">
        <v>56.16</v>
      </c>
    </row>
    <row r="2706" spans="1:7" x14ac:dyDescent="0.25">
      <c r="A2706" s="5">
        <v>21961</v>
      </c>
      <c r="B2706">
        <v>55.17</v>
      </c>
      <c r="C2706">
        <v>56.24</v>
      </c>
      <c r="D2706">
        <v>54.73</v>
      </c>
      <c r="E2706">
        <v>56.24</v>
      </c>
      <c r="F2706">
        <v>3458000</v>
      </c>
      <c r="G2706">
        <v>56.24</v>
      </c>
    </row>
    <row r="2707" spans="1:7" x14ac:dyDescent="0.25">
      <c r="A2707" s="5">
        <v>21954</v>
      </c>
      <c r="B2707">
        <v>55.32</v>
      </c>
      <c r="C2707">
        <v>55.84</v>
      </c>
      <c r="D2707">
        <v>55.18</v>
      </c>
      <c r="E2707">
        <v>55.46</v>
      </c>
      <c r="F2707">
        <v>2698000</v>
      </c>
      <c r="G2707">
        <v>55.46</v>
      </c>
    </row>
    <row r="2708" spans="1:7" x14ac:dyDescent="0.25">
      <c r="A2708" s="5">
        <v>21947</v>
      </c>
      <c r="B2708">
        <v>55.96</v>
      </c>
      <c r="C2708">
        <v>56.82</v>
      </c>
      <c r="D2708">
        <v>55.96</v>
      </c>
      <c r="E2708">
        <v>55.98</v>
      </c>
      <c r="F2708">
        <v>2810000</v>
      </c>
      <c r="G2708">
        <v>55.98</v>
      </c>
    </row>
    <row r="2709" spans="1:7" x14ac:dyDescent="0.25">
      <c r="A2709" s="5">
        <v>21940</v>
      </c>
      <c r="B2709">
        <v>56.78</v>
      </c>
      <c r="C2709">
        <v>56.86</v>
      </c>
      <c r="D2709">
        <v>55.61</v>
      </c>
      <c r="E2709">
        <v>55.61</v>
      </c>
      <c r="F2709">
        <v>2800000</v>
      </c>
      <c r="G2709">
        <v>55.61</v>
      </c>
    </row>
    <row r="2710" spans="1:7" x14ac:dyDescent="0.25">
      <c r="A2710" s="5">
        <v>21933</v>
      </c>
      <c r="B2710">
        <v>57.89</v>
      </c>
      <c r="C2710">
        <v>57.89</v>
      </c>
      <c r="D2710">
        <v>57.07</v>
      </c>
      <c r="E2710">
        <v>57.38</v>
      </c>
      <c r="F2710">
        <v>2846000</v>
      </c>
      <c r="G2710">
        <v>57.38</v>
      </c>
    </row>
    <row r="2711" spans="1:7" x14ac:dyDescent="0.25">
      <c r="A2711" s="5">
        <v>21926</v>
      </c>
      <c r="B2711">
        <v>58.77</v>
      </c>
      <c r="C2711">
        <v>58.77</v>
      </c>
      <c r="D2711">
        <v>58.08</v>
      </c>
      <c r="E2711">
        <v>58.38</v>
      </c>
      <c r="F2711">
        <v>3532000</v>
      </c>
      <c r="G2711">
        <v>58.38</v>
      </c>
    </row>
    <row r="2712" spans="1:7" x14ac:dyDescent="0.25">
      <c r="A2712" s="5">
        <v>21919</v>
      </c>
      <c r="B2712">
        <v>59.91</v>
      </c>
      <c r="C2712">
        <v>60.39</v>
      </c>
      <c r="D2712">
        <v>59.5</v>
      </c>
      <c r="E2712">
        <v>59.5</v>
      </c>
      <c r="F2712">
        <v>3606000</v>
      </c>
      <c r="G2712">
        <v>59.5</v>
      </c>
    </row>
    <row r="2713" spans="1:7" x14ac:dyDescent="0.25">
      <c r="A2713" s="5">
        <v>21912</v>
      </c>
      <c r="B2713">
        <v>58.98</v>
      </c>
      <c r="C2713">
        <v>59.89</v>
      </c>
      <c r="D2713">
        <v>58.98</v>
      </c>
      <c r="E2713">
        <v>59.89</v>
      </c>
      <c r="F2713">
        <v>3335000</v>
      </c>
      <c r="G2713">
        <v>59.89</v>
      </c>
    </row>
    <row r="2714" spans="1:7" x14ac:dyDescent="0.25">
      <c r="A2714" s="5">
        <v>21905</v>
      </c>
      <c r="B2714">
        <v>59.21</v>
      </c>
      <c r="C2714">
        <v>59.21</v>
      </c>
      <c r="D2714">
        <v>58.96</v>
      </c>
      <c r="E2714">
        <v>59</v>
      </c>
      <c r="F2714">
        <v>2857500</v>
      </c>
      <c r="G2714">
        <v>59</v>
      </c>
    </row>
    <row r="2715" spans="1:7" x14ac:dyDescent="0.25">
      <c r="A2715" s="5">
        <v>21898</v>
      </c>
      <c r="B2715">
        <v>59.04</v>
      </c>
      <c r="C2715">
        <v>59.14</v>
      </c>
      <c r="D2715">
        <v>58.86</v>
      </c>
      <c r="E2715">
        <v>59.14</v>
      </c>
      <c r="F2715">
        <v>3218000</v>
      </c>
      <c r="G2715">
        <v>59.14</v>
      </c>
    </row>
    <row r="2716" spans="1:7" x14ac:dyDescent="0.25">
      <c r="A2716" s="5">
        <v>21891</v>
      </c>
      <c r="B2716">
        <v>58.96</v>
      </c>
      <c r="C2716">
        <v>59.34</v>
      </c>
      <c r="D2716">
        <v>58.88</v>
      </c>
      <c r="E2716">
        <v>58.88</v>
      </c>
      <c r="F2716">
        <v>3400000</v>
      </c>
      <c r="G2716">
        <v>58.88</v>
      </c>
    </row>
    <row r="2717" spans="1:7" x14ac:dyDescent="0.25">
      <c r="A2717" s="5">
        <v>21884</v>
      </c>
      <c r="B2717">
        <v>58.28</v>
      </c>
      <c r="C2717">
        <v>58.85</v>
      </c>
      <c r="D2717">
        <v>58.28</v>
      </c>
      <c r="E2717">
        <v>58.85</v>
      </c>
      <c r="F2717">
        <v>3604000</v>
      </c>
      <c r="G2717">
        <v>58.85</v>
      </c>
    </row>
    <row r="2718" spans="1:7" x14ac:dyDescent="0.25">
      <c r="A2718" s="5">
        <v>21877</v>
      </c>
      <c r="B2718">
        <v>57.08</v>
      </c>
      <c r="C2718">
        <v>57.7</v>
      </c>
      <c r="D2718">
        <v>57.08</v>
      </c>
      <c r="E2718">
        <v>57.7</v>
      </c>
      <c r="F2718">
        <v>3407500</v>
      </c>
      <c r="G2718">
        <v>57.7</v>
      </c>
    </row>
    <row r="2719" spans="1:7" x14ac:dyDescent="0.25">
      <c r="A2719" s="5">
        <v>21870</v>
      </c>
      <c r="B2719">
        <v>56.22</v>
      </c>
      <c r="C2719">
        <v>56.99</v>
      </c>
      <c r="D2719">
        <v>56.22</v>
      </c>
      <c r="E2719">
        <v>56.97</v>
      </c>
      <c r="F2719">
        <v>3426000</v>
      </c>
      <c r="G2719">
        <v>56.97</v>
      </c>
    </row>
    <row r="2720" spans="1:7" x14ac:dyDescent="0.25">
      <c r="A2720" s="5">
        <v>21863</v>
      </c>
      <c r="B2720">
        <v>57.5</v>
      </c>
      <c r="C2720">
        <v>57.5</v>
      </c>
      <c r="D2720">
        <v>56.85</v>
      </c>
      <c r="E2720">
        <v>56.85</v>
      </c>
      <c r="F2720">
        <v>3238000</v>
      </c>
      <c r="G2720">
        <v>56.85</v>
      </c>
    </row>
    <row r="2721" spans="1:7" x14ac:dyDescent="0.25">
      <c r="A2721" s="5">
        <v>21856</v>
      </c>
      <c r="B2721">
        <v>57.41</v>
      </c>
      <c r="C2721">
        <v>57.6</v>
      </c>
      <c r="D2721">
        <v>57.26</v>
      </c>
      <c r="E2721">
        <v>57.6</v>
      </c>
      <c r="F2721">
        <v>3470000</v>
      </c>
      <c r="G2721">
        <v>57.6</v>
      </c>
    </row>
    <row r="2722" spans="1:7" x14ac:dyDescent="0.25">
      <c r="A2722" s="5">
        <v>21849</v>
      </c>
      <c r="B2722">
        <v>56.94</v>
      </c>
      <c r="C2722">
        <v>57.52</v>
      </c>
      <c r="D2722">
        <v>56.94</v>
      </c>
      <c r="E2722">
        <v>57.52</v>
      </c>
      <c r="F2722">
        <v>3822000</v>
      </c>
      <c r="G2722">
        <v>57.52</v>
      </c>
    </row>
    <row r="2723" spans="1:7" x14ac:dyDescent="0.25">
      <c r="A2723" s="5">
        <v>21842</v>
      </c>
      <c r="B2723">
        <v>57.01</v>
      </c>
      <c r="C2723">
        <v>57.01</v>
      </c>
      <c r="D2723">
        <v>56</v>
      </c>
      <c r="E2723">
        <v>56.56</v>
      </c>
      <c r="F2723">
        <v>2776000</v>
      </c>
      <c r="G2723">
        <v>56.56</v>
      </c>
    </row>
    <row r="2724" spans="1:7" x14ac:dyDescent="0.25">
      <c r="A2724" s="5">
        <v>21835</v>
      </c>
      <c r="B2724">
        <v>57.32</v>
      </c>
      <c r="C2724">
        <v>57.33</v>
      </c>
      <c r="D2724">
        <v>56.71</v>
      </c>
      <c r="E2724">
        <v>57.33</v>
      </c>
      <c r="F2724">
        <v>2310000</v>
      </c>
      <c r="G2724">
        <v>57.33</v>
      </c>
    </row>
    <row r="2725" spans="1:7" x14ac:dyDescent="0.25">
      <c r="A2725" s="5">
        <v>21828</v>
      </c>
      <c r="B2725">
        <v>57.14</v>
      </c>
      <c r="C2725">
        <v>57.14</v>
      </c>
      <c r="D2725">
        <v>56.81</v>
      </c>
      <c r="E2725">
        <v>57</v>
      </c>
      <c r="F2725">
        <v>2372000</v>
      </c>
      <c r="G2725">
        <v>57</v>
      </c>
    </row>
    <row r="2726" spans="1:7" x14ac:dyDescent="0.25">
      <c r="A2726" s="5">
        <v>21821</v>
      </c>
      <c r="B2726">
        <v>57.15</v>
      </c>
      <c r="C2726">
        <v>57.51</v>
      </c>
      <c r="D2726">
        <v>56.88</v>
      </c>
      <c r="E2726">
        <v>57.2</v>
      </c>
      <c r="F2726">
        <v>2728000</v>
      </c>
      <c r="G2726">
        <v>57.2</v>
      </c>
    </row>
    <row r="2727" spans="1:7" x14ac:dyDescent="0.25">
      <c r="A2727" s="5">
        <v>21814</v>
      </c>
      <c r="B2727">
        <v>55.27</v>
      </c>
      <c r="C2727">
        <v>56.78</v>
      </c>
      <c r="D2727">
        <v>55.14</v>
      </c>
      <c r="E2727">
        <v>56.73</v>
      </c>
      <c r="F2727">
        <v>3202000</v>
      </c>
      <c r="G2727">
        <v>56.73</v>
      </c>
    </row>
    <row r="2728" spans="1:7" x14ac:dyDescent="0.25">
      <c r="A2728" s="5">
        <v>21807</v>
      </c>
      <c r="B2728">
        <v>56.99</v>
      </c>
      <c r="C2728">
        <v>56.99</v>
      </c>
      <c r="D2728">
        <v>56.19</v>
      </c>
      <c r="E2728">
        <v>56.19</v>
      </c>
      <c r="F2728">
        <v>2444000</v>
      </c>
      <c r="G2728">
        <v>56.19</v>
      </c>
    </row>
    <row r="2729" spans="1:7" x14ac:dyDescent="0.25">
      <c r="A2729" s="5">
        <v>21801</v>
      </c>
      <c r="B2729">
        <v>57.7</v>
      </c>
      <c r="C2729">
        <v>57.7</v>
      </c>
      <c r="D2729">
        <v>56.99</v>
      </c>
      <c r="E2729">
        <v>57.41</v>
      </c>
      <c r="F2729">
        <v>2782500</v>
      </c>
      <c r="G2729">
        <v>57.41</v>
      </c>
    </row>
    <row r="2730" spans="1:7" x14ac:dyDescent="0.25">
      <c r="A2730" s="5">
        <v>21793</v>
      </c>
      <c r="B2730">
        <v>59.6</v>
      </c>
      <c r="C2730">
        <v>59.6</v>
      </c>
      <c r="D2730">
        <v>58.26</v>
      </c>
      <c r="E2730">
        <v>58.54</v>
      </c>
      <c r="F2730">
        <v>2314000</v>
      </c>
      <c r="G2730">
        <v>58.54</v>
      </c>
    </row>
    <row r="2731" spans="1:7" x14ac:dyDescent="0.25">
      <c r="A2731" s="5">
        <v>21786</v>
      </c>
      <c r="B2731">
        <v>58.87</v>
      </c>
      <c r="C2731">
        <v>59.6</v>
      </c>
      <c r="D2731">
        <v>58.87</v>
      </c>
      <c r="E2731">
        <v>59.6</v>
      </c>
      <c r="F2731">
        <v>2102000</v>
      </c>
      <c r="G2731">
        <v>59.6</v>
      </c>
    </row>
    <row r="2732" spans="1:7" x14ac:dyDescent="0.25">
      <c r="A2732" s="5">
        <v>21779</v>
      </c>
      <c r="B2732">
        <v>59.17</v>
      </c>
      <c r="C2732">
        <v>59.17</v>
      </c>
      <c r="D2732">
        <v>58.27</v>
      </c>
      <c r="E2732">
        <v>59.08</v>
      </c>
      <c r="F2732">
        <v>2352000</v>
      </c>
      <c r="G2732">
        <v>59.08</v>
      </c>
    </row>
    <row r="2733" spans="1:7" x14ac:dyDescent="0.25">
      <c r="A2733" s="5">
        <v>21772</v>
      </c>
      <c r="B2733">
        <v>58.62</v>
      </c>
      <c r="C2733">
        <v>59.39</v>
      </c>
      <c r="D2733">
        <v>58.62</v>
      </c>
      <c r="E2733">
        <v>59.29</v>
      </c>
      <c r="F2733">
        <v>2776000</v>
      </c>
      <c r="G2733">
        <v>59.29</v>
      </c>
    </row>
    <row r="2734" spans="1:7" x14ac:dyDescent="0.25">
      <c r="A2734" s="5">
        <v>21765</v>
      </c>
      <c r="B2734">
        <v>60.71</v>
      </c>
      <c r="C2734">
        <v>60.71</v>
      </c>
      <c r="D2734">
        <v>59.87</v>
      </c>
      <c r="E2734">
        <v>59.87</v>
      </c>
      <c r="F2734">
        <v>2552000</v>
      </c>
      <c r="G2734">
        <v>59.87</v>
      </c>
    </row>
    <row r="2735" spans="1:7" x14ac:dyDescent="0.25">
      <c r="A2735" s="5">
        <v>21758</v>
      </c>
      <c r="B2735">
        <v>60.02</v>
      </c>
      <c r="C2735">
        <v>60.62</v>
      </c>
      <c r="D2735">
        <v>60.02</v>
      </c>
      <c r="E2735">
        <v>60.51</v>
      </c>
      <c r="F2735">
        <v>3014000</v>
      </c>
      <c r="G2735">
        <v>60.51</v>
      </c>
    </row>
    <row r="2736" spans="1:7" x14ac:dyDescent="0.25">
      <c r="A2736" s="5">
        <v>21751</v>
      </c>
      <c r="B2736">
        <v>58.91</v>
      </c>
      <c r="C2736">
        <v>59.67</v>
      </c>
      <c r="D2736">
        <v>58.91</v>
      </c>
      <c r="E2736">
        <v>59.65</v>
      </c>
      <c r="F2736">
        <v>2958000</v>
      </c>
      <c r="G2736">
        <v>59.65</v>
      </c>
    </row>
    <row r="2737" spans="1:7" x14ac:dyDescent="0.25">
      <c r="A2737" s="5">
        <v>21744</v>
      </c>
      <c r="B2737">
        <v>59.41</v>
      </c>
      <c r="C2737">
        <v>59.59</v>
      </c>
      <c r="D2737">
        <v>59.19</v>
      </c>
      <c r="E2737">
        <v>59.19</v>
      </c>
      <c r="F2737">
        <v>3110000</v>
      </c>
      <c r="G2737">
        <v>59.19</v>
      </c>
    </row>
    <row r="2738" spans="1:7" x14ac:dyDescent="0.25">
      <c r="A2738" s="5">
        <v>21737</v>
      </c>
      <c r="B2738">
        <v>59.65</v>
      </c>
      <c r="C2738">
        <v>60.03</v>
      </c>
      <c r="D2738">
        <v>59.65</v>
      </c>
      <c r="E2738">
        <v>59.91</v>
      </c>
      <c r="F2738">
        <v>3746000</v>
      </c>
      <c r="G2738">
        <v>59.91</v>
      </c>
    </row>
    <row r="2739" spans="1:7" x14ac:dyDescent="0.25">
      <c r="A2739" s="5">
        <v>21730</v>
      </c>
      <c r="B2739">
        <v>58.37</v>
      </c>
      <c r="C2739">
        <v>59.28</v>
      </c>
      <c r="D2739">
        <v>58.37</v>
      </c>
      <c r="E2739">
        <v>59.28</v>
      </c>
      <c r="F2739">
        <v>3240000</v>
      </c>
      <c r="G2739">
        <v>59.28</v>
      </c>
    </row>
    <row r="2740" spans="1:7" x14ac:dyDescent="0.25">
      <c r="A2740" s="5">
        <v>21723</v>
      </c>
      <c r="B2740">
        <v>57.13</v>
      </c>
      <c r="C2740">
        <v>57.98</v>
      </c>
      <c r="D2740">
        <v>57.12</v>
      </c>
      <c r="E2740">
        <v>57.98</v>
      </c>
      <c r="F2740">
        <v>2952000</v>
      </c>
      <c r="G2740">
        <v>57.98</v>
      </c>
    </row>
    <row r="2741" spans="1:7" x14ac:dyDescent="0.25">
      <c r="A2741" s="5">
        <v>21716</v>
      </c>
      <c r="B2741">
        <v>56.99</v>
      </c>
      <c r="C2741">
        <v>57.13</v>
      </c>
      <c r="D2741">
        <v>56.56</v>
      </c>
      <c r="E2741">
        <v>57.13</v>
      </c>
      <c r="F2741">
        <v>2622000</v>
      </c>
      <c r="G2741">
        <v>57.13</v>
      </c>
    </row>
    <row r="2742" spans="1:7" x14ac:dyDescent="0.25">
      <c r="A2742" s="5">
        <v>21709</v>
      </c>
      <c r="B2742">
        <v>56.76</v>
      </c>
      <c r="C2742">
        <v>57.29</v>
      </c>
      <c r="D2742">
        <v>56.36</v>
      </c>
      <c r="E2742">
        <v>57.29</v>
      </c>
      <c r="F2742">
        <v>3094000</v>
      </c>
      <c r="G2742">
        <v>57.29</v>
      </c>
    </row>
    <row r="2743" spans="1:7" x14ac:dyDescent="0.25">
      <c r="A2743" s="5">
        <v>21702</v>
      </c>
      <c r="B2743">
        <v>58.63</v>
      </c>
      <c r="C2743">
        <v>58.63</v>
      </c>
      <c r="D2743">
        <v>57.51</v>
      </c>
      <c r="E2743">
        <v>57.51</v>
      </c>
      <c r="F2743">
        <v>2954000</v>
      </c>
      <c r="G2743">
        <v>57.51</v>
      </c>
    </row>
    <row r="2744" spans="1:7" x14ac:dyDescent="0.25">
      <c r="A2744" s="5">
        <v>21695</v>
      </c>
      <c r="B2744">
        <v>58.18</v>
      </c>
      <c r="C2744">
        <v>58.68</v>
      </c>
      <c r="D2744">
        <v>58.09</v>
      </c>
      <c r="E2744">
        <v>58.68</v>
      </c>
      <c r="F2744">
        <v>2974000</v>
      </c>
      <c r="G2744">
        <v>58.68</v>
      </c>
    </row>
    <row r="2745" spans="1:7" x14ac:dyDescent="0.25">
      <c r="A2745" s="5">
        <v>21688</v>
      </c>
      <c r="B2745">
        <v>58.15</v>
      </c>
      <c r="C2745">
        <v>58.33</v>
      </c>
      <c r="D2745">
        <v>58.09</v>
      </c>
      <c r="E2745">
        <v>58.33</v>
      </c>
      <c r="F2745">
        <v>3190000</v>
      </c>
      <c r="G2745">
        <v>58.33</v>
      </c>
    </row>
    <row r="2746" spans="1:7" x14ac:dyDescent="0.25">
      <c r="A2746" s="5">
        <v>21681</v>
      </c>
      <c r="B2746">
        <v>57.96</v>
      </c>
      <c r="C2746">
        <v>58.37</v>
      </c>
      <c r="D2746">
        <v>57.96</v>
      </c>
      <c r="E2746">
        <v>58.16</v>
      </c>
      <c r="F2746">
        <v>3624000</v>
      </c>
      <c r="G2746">
        <v>58.16</v>
      </c>
    </row>
    <row r="2747" spans="1:7" x14ac:dyDescent="0.25">
      <c r="A2747" s="5">
        <v>21674</v>
      </c>
      <c r="B2747">
        <v>57.65</v>
      </c>
      <c r="C2747">
        <v>57.75</v>
      </c>
      <c r="D2747">
        <v>56.88</v>
      </c>
      <c r="E2747">
        <v>57.32</v>
      </c>
      <c r="F2747">
        <v>3798000</v>
      </c>
      <c r="G2747">
        <v>57.32</v>
      </c>
    </row>
    <row r="2748" spans="1:7" x14ac:dyDescent="0.25">
      <c r="A2748" s="5">
        <v>21667</v>
      </c>
      <c r="B2748">
        <v>58.14</v>
      </c>
      <c r="C2748">
        <v>58.14</v>
      </c>
      <c r="D2748">
        <v>57.59</v>
      </c>
      <c r="E2748">
        <v>57.65</v>
      </c>
      <c r="F2748">
        <v>3554000</v>
      </c>
      <c r="G2748">
        <v>57.65</v>
      </c>
    </row>
    <row r="2749" spans="1:7" x14ac:dyDescent="0.25">
      <c r="A2749" s="5">
        <v>21660</v>
      </c>
      <c r="B2749">
        <v>58.17</v>
      </c>
      <c r="C2749">
        <v>58.17</v>
      </c>
      <c r="D2749">
        <v>57.6</v>
      </c>
      <c r="E2749">
        <v>57.96</v>
      </c>
      <c r="F2749">
        <v>3558000</v>
      </c>
      <c r="G2749">
        <v>57.96</v>
      </c>
    </row>
    <row r="2750" spans="1:7" x14ac:dyDescent="0.25">
      <c r="A2750" s="5">
        <v>21653</v>
      </c>
      <c r="B2750">
        <v>56.43</v>
      </c>
      <c r="C2750">
        <v>57.92</v>
      </c>
      <c r="D2750">
        <v>56.43</v>
      </c>
      <c r="E2750">
        <v>57.92</v>
      </c>
      <c r="F2750">
        <v>3560000</v>
      </c>
      <c r="G2750">
        <v>57.92</v>
      </c>
    </row>
    <row r="2751" spans="1:7" x14ac:dyDescent="0.25">
      <c r="A2751" s="5">
        <v>21646</v>
      </c>
      <c r="B2751">
        <v>56.6</v>
      </c>
      <c r="C2751">
        <v>56.6</v>
      </c>
      <c r="D2751">
        <v>56.17</v>
      </c>
      <c r="E2751">
        <v>56.22</v>
      </c>
      <c r="F2751">
        <v>3124000</v>
      </c>
      <c r="G2751">
        <v>56.22</v>
      </c>
    </row>
    <row r="2752" spans="1:7" x14ac:dyDescent="0.25">
      <c r="A2752" s="5">
        <v>21639</v>
      </c>
      <c r="B2752">
        <v>55.45</v>
      </c>
      <c r="C2752">
        <v>56.44</v>
      </c>
      <c r="D2752">
        <v>55.44</v>
      </c>
      <c r="E2752">
        <v>56.44</v>
      </c>
      <c r="F2752">
        <v>3128000</v>
      </c>
      <c r="G2752">
        <v>56.44</v>
      </c>
    </row>
    <row r="2753" spans="1:7" x14ac:dyDescent="0.25">
      <c r="A2753" s="5">
        <v>21632</v>
      </c>
      <c r="B2753">
        <v>55.87</v>
      </c>
      <c r="C2753">
        <v>55.96</v>
      </c>
      <c r="D2753">
        <v>55.76</v>
      </c>
      <c r="E2753">
        <v>55.76</v>
      </c>
      <c r="F2753">
        <v>3220000</v>
      </c>
      <c r="G2753">
        <v>55.76</v>
      </c>
    </row>
    <row r="2754" spans="1:7" x14ac:dyDescent="0.25">
      <c r="A2754" s="5">
        <v>21625</v>
      </c>
      <c r="B2754">
        <v>56.06</v>
      </c>
      <c r="C2754">
        <v>56.52</v>
      </c>
      <c r="D2754">
        <v>56.06</v>
      </c>
      <c r="E2754">
        <v>56.39</v>
      </c>
      <c r="F2754">
        <v>4320000</v>
      </c>
      <c r="G2754">
        <v>56.39</v>
      </c>
    </row>
    <row r="2755" spans="1:7" x14ac:dyDescent="0.25">
      <c r="A2755" s="5">
        <v>21618</v>
      </c>
      <c r="B2755">
        <v>56.15</v>
      </c>
      <c r="C2755">
        <v>56.67</v>
      </c>
      <c r="D2755">
        <v>56.15</v>
      </c>
      <c r="E2755">
        <v>56.67</v>
      </c>
      <c r="F2755">
        <v>4236000</v>
      </c>
      <c r="G2755">
        <v>56.67</v>
      </c>
    </row>
    <row r="2756" spans="1:7" x14ac:dyDescent="0.25">
      <c r="A2756" s="5">
        <v>21611</v>
      </c>
      <c r="B2756">
        <v>55.73</v>
      </c>
      <c r="C2756">
        <v>56.43</v>
      </c>
      <c r="D2756">
        <v>55.73</v>
      </c>
      <c r="E2756">
        <v>56.21</v>
      </c>
      <c r="F2756">
        <v>4202000</v>
      </c>
      <c r="G2756">
        <v>56.21</v>
      </c>
    </row>
    <row r="2757" spans="1:7" x14ac:dyDescent="0.25">
      <c r="A2757" s="5">
        <v>21605</v>
      </c>
      <c r="B2757">
        <v>55.48</v>
      </c>
      <c r="C2757">
        <v>55.48</v>
      </c>
      <c r="D2757">
        <v>55.24</v>
      </c>
      <c r="E2757">
        <v>55.41</v>
      </c>
      <c r="F2757">
        <v>4087500</v>
      </c>
      <c r="G2757">
        <v>55.41</v>
      </c>
    </row>
    <row r="2758" spans="1:7" x14ac:dyDescent="0.25">
      <c r="A2758" s="5">
        <v>21597</v>
      </c>
      <c r="B2758">
        <v>54.5</v>
      </c>
      <c r="C2758">
        <v>55.52</v>
      </c>
      <c r="D2758">
        <v>54.29</v>
      </c>
      <c r="E2758">
        <v>55.52</v>
      </c>
      <c r="F2758">
        <v>3700000</v>
      </c>
      <c r="G2758">
        <v>55.52</v>
      </c>
    </row>
    <row r="2759" spans="1:7" x14ac:dyDescent="0.25">
      <c r="A2759" s="5">
        <v>21590</v>
      </c>
      <c r="B2759">
        <v>53.58</v>
      </c>
      <c r="C2759">
        <v>54.42</v>
      </c>
      <c r="D2759">
        <v>53.58</v>
      </c>
      <c r="E2759">
        <v>54.42</v>
      </c>
      <c r="F2759">
        <v>2958000</v>
      </c>
      <c r="G2759">
        <v>54.42</v>
      </c>
    </row>
    <row r="2760" spans="1:7" x14ac:dyDescent="0.25">
      <c r="A2760" s="5">
        <v>21583</v>
      </c>
      <c r="B2760">
        <v>55.21</v>
      </c>
      <c r="C2760">
        <v>55.28</v>
      </c>
      <c r="D2760">
        <v>54.37</v>
      </c>
      <c r="E2760">
        <v>54.37</v>
      </c>
      <c r="F2760">
        <v>3230000</v>
      </c>
      <c r="G2760">
        <v>54.37</v>
      </c>
    </row>
    <row r="2761" spans="1:7" x14ac:dyDescent="0.25">
      <c r="A2761" s="5">
        <v>21576</v>
      </c>
      <c r="B2761">
        <v>55.77</v>
      </c>
      <c r="C2761">
        <v>55.78</v>
      </c>
      <c r="D2761">
        <v>55.16</v>
      </c>
      <c r="E2761">
        <v>55.45</v>
      </c>
      <c r="F2761">
        <v>3744000</v>
      </c>
      <c r="G2761">
        <v>55.45</v>
      </c>
    </row>
    <row r="2762" spans="1:7" x14ac:dyDescent="0.25">
      <c r="A2762" s="5">
        <v>21569</v>
      </c>
      <c r="B2762">
        <v>55.68</v>
      </c>
      <c r="C2762">
        <v>56.04</v>
      </c>
      <c r="D2762">
        <v>55.68</v>
      </c>
      <c r="E2762">
        <v>56</v>
      </c>
      <c r="F2762">
        <v>3862000</v>
      </c>
      <c r="G2762">
        <v>56</v>
      </c>
    </row>
    <row r="2763" spans="1:7" x14ac:dyDescent="0.25">
      <c r="A2763" s="5">
        <v>21562</v>
      </c>
      <c r="B2763">
        <v>55.78</v>
      </c>
      <c r="C2763">
        <v>55.83</v>
      </c>
      <c r="D2763">
        <v>55.47</v>
      </c>
      <c r="E2763">
        <v>55.81</v>
      </c>
      <c r="F2763">
        <v>4200000</v>
      </c>
      <c r="G2763">
        <v>55.81</v>
      </c>
    </row>
    <row r="2764" spans="1:7" x14ac:dyDescent="0.25">
      <c r="A2764" s="5">
        <v>21555</v>
      </c>
      <c r="B2764">
        <v>55.66</v>
      </c>
      <c r="C2764">
        <v>55.77</v>
      </c>
      <c r="D2764">
        <v>54.89</v>
      </c>
      <c r="E2764">
        <v>55.77</v>
      </c>
      <c r="F2764">
        <v>4166000</v>
      </c>
      <c r="G2764">
        <v>55.77</v>
      </c>
    </row>
    <row r="2765" spans="1:7" x14ac:dyDescent="0.25">
      <c r="A2765" s="5">
        <v>21548</v>
      </c>
      <c r="B2765">
        <v>54.74</v>
      </c>
      <c r="C2765">
        <v>55.44</v>
      </c>
      <c r="D2765">
        <v>54.74</v>
      </c>
      <c r="E2765">
        <v>55.44</v>
      </c>
      <c r="F2765">
        <v>3760000</v>
      </c>
      <c r="G2765">
        <v>55.44</v>
      </c>
    </row>
    <row r="2766" spans="1:7" x14ac:dyDescent="0.25">
      <c r="A2766" s="5">
        <v>21541</v>
      </c>
      <c r="B2766">
        <v>53.71</v>
      </c>
      <c r="C2766">
        <v>54.11</v>
      </c>
      <c r="D2766">
        <v>53.42</v>
      </c>
      <c r="E2766">
        <v>54.11</v>
      </c>
      <c r="F2766">
        <v>2983300</v>
      </c>
      <c r="G2766">
        <v>54.11</v>
      </c>
    </row>
    <row r="2767" spans="1:7" x14ac:dyDescent="0.25">
      <c r="A2767" s="5">
        <v>21534</v>
      </c>
      <c r="B2767">
        <v>53.37</v>
      </c>
      <c r="C2767">
        <v>54.15</v>
      </c>
      <c r="D2767">
        <v>53.37</v>
      </c>
      <c r="E2767">
        <v>54.07</v>
      </c>
      <c r="F2767">
        <v>3730000</v>
      </c>
      <c r="G2767">
        <v>54.07</v>
      </c>
    </row>
    <row r="2768" spans="1:7" x14ac:dyDescent="0.25">
      <c r="A2768" s="5">
        <v>21527</v>
      </c>
      <c r="B2768">
        <v>52.46</v>
      </c>
      <c r="C2768">
        <v>53.46</v>
      </c>
      <c r="D2768">
        <v>52.46</v>
      </c>
      <c r="E2768">
        <v>53.22</v>
      </c>
      <c r="F2768">
        <v>3822000</v>
      </c>
      <c r="G2768">
        <v>53.22</v>
      </c>
    </row>
    <row r="2769" spans="1:7" x14ac:dyDescent="0.25">
      <c r="A2769" s="5">
        <v>21520</v>
      </c>
      <c r="B2769">
        <v>52.69</v>
      </c>
      <c r="C2769">
        <v>52.69</v>
      </c>
      <c r="D2769">
        <v>52.46</v>
      </c>
      <c r="E2769">
        <v>52.46</v>
      </c>
      <c r="F2769">
        <v>3514000</v>
      </c>
      <c r="G2769">
        <v>52.46</v>
      </c>
    </row>
    <row r="2770" spans="1:7" x14ac:dyDescent="0.25">
      <c r="A2770" s="5">
        <v>21513</v>
      </c>
      <c r="B2770">
        <v>52.03</v>
      </c>
      <c r="C2770">
        <v>52.48</v>
      </c>
      <c r="D2770">
        <v>51.02</v>
      </c>
      <c r="E2770">
        <v>52.48</v>
      </c>
      <c r="F2770">
        <v>4230000</v>
      </c>
      <c r="G2770">
        <v>52.48</v>
      </c>
    </row>
    <row r="2771" spans="1:7" x14ac:dyDescent="0.25">
      <c r="A2771" s="5">
        <v>21506</v>
      </c>
      <c r="B2771">
        <v>53.24</v>
      </c>
      <c r="C2771">
        <v>53.24</v>
      </c>
      <c r="D2771">
        <v>52.7</v>
      </c>
      <c r="E2771">
        <v>52.7</v>
      </c>
      <c r="F2771">
        <v>4144000</v>
      </c>
      <c r="G2771">
        <v>52.7</v>
      </c>
    </row>
    <row r="2772" spans="1:7" x14ac:dyDescent="0.25">
      <c r="A2772" s="5">
        <v>21499</v>
      </c>
      <c r="B2772">
        <v>52.57</v>
      </c>
      <c r="C2772">
        <v>53.09</v>
      </c>
      <c r="D2772">
        <v>52.57</v>
      </c>
      <c r="E2772">
        <v>53.09</v>
      </c>
      <c r="F2772">
        <v>4160000</v>
      </c>
      <c r="G2772">
        <v>53.09</v>
      </c>
    </row>
    <row r="2773" spans="1:7" x14ac:dyDescent="0.25">
      <c r="A2773" s="5">
        <v>21492</v>
      </c>
      <c r="B2773">
        <v>51.56</v>
      </c>
      <c r="C2773">
        <v>52.45</v>
      </c>
      <c r="D2773">
        <v>51.56</v>
      </c>
      <c r="E2773">
        <v>52.26</v>
      </c>
      <c r="F2773">
        <v>3977500</v>
      </c>
      <c r="G2773">
        <v>52.26</v>
      </c>
    </row>
    <row r="2774" spans="1:7" x14ac:dyDescent="0.25">
      <c r="A2774" s="5">
        <v>21485</v>
      </c>
      <c r="B2774">
        <v>50.42</v>
      </c>
      <c r="C2774">
        <v>51.33</v>
      </c>
      <c r="D2774">
        <v>50.42</v>
      </c>
      <c r="E2774">
        <v>51.33</v>
      </c>
      <c r="F2774">
        <v>4144000</v>
      </c>
      <c r="G2774">
        <v>51.33</v>
      </c>
    </row>
    <row r="2775" spans="1:7" x14ac:dyDescent="0.25">
      <c r="A2775" s="5">
        <v>21478</v>
      </c>
      <c r="B2775">
        <v>51.27</v>
      </c>
      <c r="C2775">
        <v>51.27</v>
      </c>
      <c r="D2775">
        <v>50.81</v>
      </c>
      <c r="E2775">
        <v>50.81</v>
      </c>
      <c r="F2775">
        <v>3890000</v>
      </c>
      <c r="G2775">
        <v>50.81</v>
      </c>
    </row>
    <row r="2776" spans="1:7" x14ac:dyDescent="0.25">
      <c r="A2776" s="5">
        <v>21471</v>
      </c>
      <c r="B2776">
        <v>51.62</v>
      </c>
      <c r="C2776">
        <v>51.62</v>
      </c>
      <c r="D2776">
        <v>50.58</v>
      </c>
      <c r="E2776">
        <v>51.46</v>
      </c>
      <c r="F2776">
        <v>4878000</v>
      </c>
      <c r="G2776">
        <v>51.46</v>
      </c>
    </row>
    <row r="2777" spans="1:7" x14ac:dyDescent="0.25">
      <c r="A2777" s="5">
        <v>21464</v>
      </c>
      <c r="B2777">
        <v>51.07</v>
      </c>
      <c r="C2777">
        <v>51.39</v>
      </c>
      <c r="D2777">
        <v>51.05</v>
      </c>
      <c r="E2777">
        <v>51.39</v>
      </c>
      <c r="F2777">
        <v>3820000</v>
      </c>
      <c r="G2777">
        <v>51.39</v>
      </c>
    </row>
    <row r="2778" spans="1:7" x14ac:dyDescent="0.25">
      <c r="A2778" s="5">
        <v>21457</v>
      </c>
      <c r="B2778">
        <v>49.87</v>
      </c>
      <c r="C2778">
        <v>50.37</v>
      </c>
      <c r="D2778">
        <v>49.87</v>
      </c>
      <c r="E2778">
        <v>50.37</v>
      </c>
      <c r="F2778">
        <v>3840000</v>
      </c>
      <c r="G2778">
        <v>50.37</v>
      </c>
    </row>
    <row r="2779" spans="1:7" x14ac:dyDescent="0.25">
      <c r="A2779" s="5">
        <v>21450</v>
      </c>
      <c r="B2779">
        <v>49.2</v>
      </c>
      <c r="C2779">
        <v>49.78</v>
      </c>
      <c r="D2779">
        <v>49.2</v>
      </c>
      <c r="E2779">
        <v>49.66</v>
      </c>
      <c r="F2779">
        <v>3694000</v>
      </c>
      <c r="G2779">
        <v>49.66</v>
      </c>
    </row>
    <row r="2780" spans="1:7" x14ac:dyDescent="0.25">
      <c r="A2780" s="5">
        <v>21443</v>
      </c>
      <c r="B2780">
        <v>48.96</v>
      </c>
      <c r="C2780">
        <v>49.4</v>
      </c>
      <c r="D2780">
        <v>48.96</v>
      </c>
      <c r="E2780">
        <v>49.4</v>
      </c>
      <c r="F2780">
        <v>3622000</v>
      </c>
      <c r="G2780">
        <v>49.4</v>
      </c>
    </row>
    <row r="2781" spans="1:7" x14ac:dyDescent="0.25">
      <c r="A2781" s="5">
        <v>21436</v>
      </c>
      <c r="B2781">
        <v>48.13</v>
      </c>
      <c r="C2781">
        <v>48.64</v>
      </c>
      <c r="D2781">
        <v>48.13</v>
      </c>
      <c r="E2781">
        <v>48.53</v>
      </c>
      <c r="F2781">
        <v>3146000</v>
      </c>
      <c r="G2781">
        <v>48.53</v>
      </c>
    </row>
    <row r="2782" spans="1:7" x14ac:dyDescent="0.25">
      <c r="A2782" s="5">
        <v>21430</v>
      </c>
      <c r="B2782">
        <v>48</v>
      </c>
      <c r="C2782">
        <v>48.18</v>
      </c>
      <c r="D2782">
        <v>47.97</v>
      </c>
      <c r="E2782">
        <v>47.97</v>
      </c>
      <c r="F2782">
        <v>2947500</v>
      </c>
      <c r="G2782">
        <v>47.97</v>
      </c>
    </row>
    <row r="2783" spans="1:7" x14ac:dyDescent="0.25">
      <c r="A2783" s="5">
        <v>21422</v>
      </c>
      <c r="B2783">
        <v>47.74</v>
      </c>
      <c r="C2783">
        <v>47.91</v>
      </c>
      <c r="D2783">
        <v>47.66</v>
      </c>
      <c r="E2783">
        <v>47.75</v>
      </c>
      <c r="F2783">
        <v>2714000</v>
      </c>
      <c r="G2783">
        <v>47.75</v>
      </c>
    </row>
    <row r="2784" spans="1:7" x14ac:dyDescent="0.25">
      <c r="A2784" s="5">
        <v>21415</v>
      </c>
      <c r="B2784">
        <v>47.22</v>
      </c>
      <c r="C2784">
        <v>47.73</v>
      </c>
      <c r="D2784">
        <v>47.22</v>
      </c>
      <c r="E2784">
        <v>47.73</v>
      </c>
      <c r="F2784">
        <v>2452000</v>
      </c>
      <c r="G2784">
        <v>47.73</v>
      </c>
    </row>
    <row r="2785" spans="1:7" x14ac:dyDescent="0.25">
      <c r="A2785" s="5">
        <v>21408</v>
      </c>
      <c r="B2785">
        <v>48.16</v>
      </c>
      <c r="C2785">
        <v>48.16</v>
      </c>
      <c r="D2785">
        <v>47.5</v>
      </c>
      <c r="E2785">
        <v>47.5</v>
      </c>
      <c r="F2785">
        <v>2918000</v>
      </c>
      <c r="G2785">
        <v>47.5</v>
      </c>
    </row>
    <row r="2786" spans="1:7" x14ac:dyDescent="0.25">
      <c r="A2786" s="5">
        <v>21401</v>
      </c>
      <c r="B2786">
        <v>47.94</v>
      </c>
      <c r="C2786">
        <v>48.05</v>
      </c>
      <c r="D2786">
        <v>47.46</v>
      </c>
      <c r="E2786">
        <v>48.05</v>
      </c>
      <c r="F2786">
        <v>3700000</v>
      </c>
      <c r="G2786">
        <v>48.05</v>
      </c>
    </row>
    <row r="2787" spans="1:7" x14ac:dyDescent="0.25">
      <c r="A2787" s="5">
        <v>21394</v>
      </c>
      <c r="B2787">
        <v>47.15</v>
      </c>
      <c r="C2787">
        <v>47.49</v>
      </c>
      <c r="D2787">
        <v>46.96</v>
      </c>
      <c r="E2787">
        <v>47.49</v>
      </c>
      <c r="F2787">
        <v>3750000</v>
      </c>
      <c r="G2787">
        <v>47.49</v>
      </c>
    </row>
    <row r="2788" spans="1:7" x14ac:dyDescent="0.25">
      <c r="A2788" s="5">
        <v>21387</v>
      </c>
      <c r="B2788">
        <v>46.33</v>
      </c>
      <c r="C2788">
        <v>46.97</v>
      </c>
      <c r="D2788">
        <v>46.33</v>
      </c>
      <c r="E2788">
        <v>46.97</v>
      </c>
      <c r="F2788">
        <v>3716000</v>
      </c>
      <c r="G2788">
        <v>46.97</v>
      </c>
    </row>
    <row r="2789" spans="1:7" x14ac:dyDescent="0.25">
      <c r="A2789" s="5">
        <v>21380</v>
      </c>
      <c r="B2789">
        <v>45.14</v>
      </c>
      <c r="C2789">
        <v>45.77</v>
      </c>
      <c r="D2789">
        <v>45.11</v>
      </c>
      <c r="E2789">
        <v>45.77</v>
      </c>
      <c r="F2789">
        <v>3080000</v>
      </c>
      <c r="G2789">
        <v>45.77</v>
      </c>
    </row>
    <row r="2790" spans="1:7" x14ac:dyDescent="0.25">
      <c r="A2790" s="5">
        <v>21373</v>
      </c>
      <c r="B2790">
        <v>45.62</v>
      </c>
      <c r="C2790">
        <v>45.72</v>
      </c>
      <c r="D2790">
        <v>45.25</v>
      </c>
      <c r="E2790">
        <v>45.72</v>
      </c>
      <c r="F2790">
        <v>2496000</v>
      </c>
      <c r="G2790">
        <v>45.72</v>
      </c>
    </row>
    <row r="2791" spans="1:7" x14ac:dyDescent="0.25">
      <c r="A2791" s="5">
        <v>21366</v>
      </c>
      <c r="B2791">
        <v>45.24</v>
      </c>
      <c r="C2791">
        <v>45.47</v>
      </c>
      <c r="D2791">
        <v>45.24</v>
      </c>
      <c r="E2791">
        <v>45.47</v>
      </c>
      <c r="F2791">
        <v>2605000</v>
      </c>
      <c r="G2791">
        <v>45.47</v>
      </c>
    </row>
    <row r="2792" spans="1:7" x14ac:dyDescent="0.25">
      <c r="A2792" s="5">
        <v>21359</v>
      </c>
      <c r="B2792">
        <v>44.69</v>
      </c>
      <c r="C2792">
        <v>44.9</v>
      </c>
      <c r="D2792">
        <v>44.52</v>
      </c>
      <c r="E2792">
        <v>44.9</v>
      </c>
      <c r="F2792">
        <v>2666000</v>
      </c>
      <c r="G2792">
        <v>44.9</v>
      </c>
    </row>
    <row r="2793" spans="1:7" x14ac:dyDescent="0.25">
      <c r="A2793" s="5">
        <v>21352</v>
      </c>
      <c r="B2793">
        <v>45.18</v>
      </c>
      <c r="C2793">
        <v>45.34</v>
      </c>
      <c r="D2793">
        <v>44.61</v>
      </c>
      <c r="E2793">
        <v>44.85</v>
      </c>
      <c r="F2793">
        <v>2748000</v>
      </c>
      <c r="G2793">
        <v>44.85</v>
      </c>
    </row>
    <row r="2794" spans="1:7" x14ac:dyDescent="0.25">
      <c r="A2794" s="5">
        <v>21345</v>
      </c>
      <c r="B2794">
        <v>44.57</v>
      </c>
      <c r="C2794">
        <v>45.02</v>
      </c>
      <c r="D2794">
        <v>44.48</v>
      </c>
      <c r="E2794">
        <v>45.02</v>
      </c>
      <c r="F2794">
        <v>2640000</v>
      </c>
      <c r="G2794">
        <v>45.02</v>
      </c>
    </row>
    <row r="2795" spans="1:7" x14ac:dyDescent="0.25">
      <c r="A2795" s="5">
        <v>21338</v>
      </c>
      <c r="B2795">
        <v>44.31</v>
      </c>
      <c r="C2795">
        <v>44.64</v>
      </c>
      <c r="D2795">
        <v>44.31</v>
      </c>
      <c r="E2795">
        <v>44.64</v>
      </c>
      <c r="F2795">
        <v>2704000</v>
      </c>
      <c r="G2795">
        <v>44.64</v>
      </c>
    </row>
    <row r="2796" spans="1:7" x14ac:dyDescent="0.25">
      <c r="A2796" s="5">
        <v>21331</v>
      </c>
      <c r="B2796">
        <v>43.85</v>
      </c>
      <c r="C2796">
        <v>44.09</v>
      </c>
      <c r="D2796">
        <v>43.79</v>
      </c>
      <c r="E2796">
        <v>44.09</v>
      </c>
      <c r="F2796">
        <v>2322500</v>
      </c>
      <c r="G2796">
        <v>44.09</v>
      </c>
    </row>
    <row r="2797" spans="1:7" x14ac:dyDescent="0.25">
      <c r="A2797" s="5">
        <v>21324</v>
      </c>
      <c r="B2797">
        <v>43.24</v>
      </c>
      <c r="C2797">
        <v>43.87</v>
      </c>
      <c r="D2797">
        <v>43.24</v>
      </c>
      <c r="E2797">
        <v>43.87</v>
      </c>
      <c r="F2797">
        <v>2502000</v>
      </c>
      <c r="G2797">
        <v>43.87</v>
      </c>
    </row>
    <row r="2798" spans="1:7" x14ac:dyDescent="0.25">
      <c r="A2798" s="5">
        <v>21317</v>
      </c>
      <c r="B2798">
        <v>43.75</v>
      </c>
      <c r="C2798">
        <v>43.75</v>
      </c>
      <c r="D2798">
        <v>43.12</v>
      </c>
      <c r="E2798">
        <v>43.36</v>
      </c>
      <c r="F2798">
        <v>2656000</v>
      </c>
      <c r="G2798">
        <v>43.36</v>
      </c>
    </row>
    <row r="2799" spans="1:7" x14ac:dyDescent="0.25">
      <c r="A2799" s="5">
        <v>21310</v>
      </c>
      <c r="B2799">
        <v>43.79</v>
      </c>
      <c r="C2799">
        <v>44.09</v>
      </c>
      <c r="D2799">
        <v>43.79</v>
      </c>
      <c r="E2799">
        <v>44.09</v>
      </c>
      <c r="F2799">
        <v>2820000</v>
      </c>
      <c r="G2799">
        <v>44.09</v>
      </c>
    </row>
    <row r="2800" spans="1:7" x14ac:dyDescent="0.25">
      <c r="A2800" s="5">
        <v>21303</v>
      </c>
      <c r="B2800">
        <v>43.22</v>
      </c>
      <c r="C2800">
        <v>43.69</v>
      </c>
      <c r="D2800">
        <v>43</v>
      </c>
      <c r="E2800">
        <v>43.69</v>
      </c>
      <c r="F2800">
        <v>2482000</v>
      </c>
      <c r="G2800">
        <v>43.69</v>
      </c>
    </row>
    <row r="2801" spans="1:7" x14ac:dyDescent="0.25">
      <c r="A2801" s="5">
        <v>21296</v>
      </c>
      <c r="B2801">
        <v>42.93</v>
      </c>
      <c r="C2801">
        <v>43.36</v>
      </c>
      <c r="D2801">
        <v>42.8</v>
      </c>
      <c r="E2801">
        <v>43.36</v>
      </c>
      <c r="F2801">
        <v>2720000</v>
      </c>
      <c r="G2801">
        <v>43.36</v>
      </c>
    </row>
    <row r="2802" spans="1:7" x14ac:dyDescent="0.25">
      <c r="A2802" s="5">
        <v>21289</v>
      </c>
      <c r="B2802">
        <v>42</v>
      </c>
      <c r="C2802">
        <v>42.71</v>
      </c>
      <c r="D2802">
        <v>42</v>
      </c>
      <c r="E2802">
        <v>42.71</v>
      </c>
      <c r="F2802">
        <v>2442000</v>
      </c>
      <c r="G2802">
        <v>42.71</v>
      </c>
    </row>
    <row r="2803" spans="1:7" x14ac:dyDescent="0.25">
      <c r="A2803" s="5">
        <v>21282</v>
      </c>
      <c r="B2803">
        <v>41.33</v>
      </c>
      <c r="C2803">
        <v>41.74</v>
      </c>
      <c r="D2803">
        <v>41.33</v>
      </c>
      <c r="E2803">
        <v>41.74</v>
      </c>
      <c r="F2803">
        <v>2076000</v>
      </c>
      <c r="G2803">
        <v>41.74</v>
      </c>
    </row>
    <row r="2804" spans="1:7" x14ac:dyDescent="0.25">
      <c r="A2804" s="5">
        <v>21275</v>
      </c>
      <c r="B2804">
        <v>42.1</v>
      </c>
      <c r="C2804">
        <v>42.1</v>
      </c>
      <c r="D2804">
        <v>41.48</v>
      </c>
      <c r="E2804">
        <v>41.48</v>
      </c>
      <c r="F2804">
        <v>2160000</v>
      </c>
      <c r="G2804">
        <v>41.48</v>
      </c>
    </row>
    <row r="2805" spans="1:7" x14ac:dyDescent="0.25">
      <c r="A2805" s="5">
        <v>21268</v>
      </c>
      <c r="B2805">
        <v>42.58</v>
      </c>
      <c r="C2805">
        <v>42.58</v>
      </c>
      <c r="D2805">
        <v>42.17</v>
      </c>
      <c r="E2805">
        <v>42.2</v>
      </c>
      <c r="F2805">
        <v>2170000</v>
      </c>
      <c r="G2805">
        <v>42.2</v>
      </c>
    </row>
    <row r="2806" spans="1:7" x14ac:dyDescent="0.25">
      <c r="A2806" s="5">
        <v>21261</v>
      </c>
      <c r="B2806">
        <v>42.04</v>
      </c>
      <c r="C2806">
        <v>42.42</v>
      </c>
      <c r="D2806">
        <v>41.89</v>
      </c>
      <c r="E2806">
        <v>42.42</v>
      </c>
      <c r="F2806">
        <v>2264000</v>
      </c>
      <c r="G2806">
        <v>42.42</v>
      </c>
    </row>
    <row r="2807" spans="1:7" x14ac:dyDescent="0.25">
      <c r="A2807" s="5">
        <v>21254</v>
      </c>
      <c r="B2807">
        <v>42.21</v>
      </c>
      <c r="C2807">
        <v>42.51</v>
      </c>
      <c r="D2807">
        <v>42.21</v>
      </c>
      <c r="E2807">
        <v>42.33</v>
      </c>
      <c r="F2807">
        <v>2404000</v>
      </c>
      <c r="G2807">
        <v>42.33</v>
      </c>
    </row>
    <row r="2808" spans="1:7" x14ac:dyDescent="0.25">
      <c r="A2808" s="5">
        <v>21247</v>
      </c>
      <c r="B2808">
        <v>41.13</v>
      </c>
      <c r="C2808">
        <v>42.07</v>
      </c>
      <c r="D2808">
        <v>41.13</v>
      </c>
      <c r="E2808">
        <v>42.07</v>
      </c>
      <c r="F2808">
        <v>2088000</v>
      </c>
      <c r="G2808">
        <v>42.07</v>
      </c>
    </row>
    <row r="2809" spans="1:7" x14ac:dyDescent="0.25">
      <c r="A2809" s="5">
        <v>21240</v>
      </c>
      <c r="B2809">
        <v>40.65</v>
      </c>
      <c r="C2809">
        <v>40.92</v>
      </c>
      <c r="D2809">
        <v>40.61</v>
      </c>
      <c r="E2809">
        <v>40.840000000000003</v>
      </c>
      <c r="F2809">
        <v>1724000</v>
      </c>
      <c r="G2809">
        <v>40.840000000000003</v>
      </c>
    </row>
    <row r="2810" spans="1:7" x14ac:dyDescent="0.25">
      <c r="A2810" s="5">
        <v>21233</v>
      </c>
      <c r="B2810">
        <v>41.11</v>
      </c>
      <c r="C2810">
        <v>41.17</v>
      </c>
      <c r="D2810">
        <v>40.880000000000003</v>
      </c>
      <c r="E2810">
        <v>40.880000000000003</v>
      </c>
      <c r="F2810">
        <v>1842000</v>
      </c>
      <c r="G2810">
        <v>40.880000000000003</v>
      </c>
    </row>
    <row r="2811" spans="1:7" x14ac:dyDescent="0.25">
      <c r="A2811" s="5">
        <v>21226</v>
      </c>
      <c r="B2811">
        <v>41.48</v>
      </c>
      <c r="C2811">
        <v>41.48</v>
      </c>
      <c r="D2811">
        <v>40.93</v>
      </c>
      <c r="E2811">
        <v>41.33</v>
      </c>
      <c r="F2811">
        <v>1998000</v>
      </c>
      <c r="G2811">
        <v>41.33</v>
      </c>
    </row>
    <row r="2812" spans="1:7" x14ac:dyDescent="0.25">
      <c r="A2812" s="5">
        <v>21219</v>
      </c>
      <c r="B2812">
        <v>42.04</v>
      </c>
      <c r="C2812">
        <v>42.46</v>
      </c>
      <c r="D2812">
        <v>41.73</v>
      </c>
      <c r="E2812">
        <v>41.73</v>
      </c>
      <c r="F2812">
        <v>2474000</v>
      </c>
      <c r="G2812">
        <v>41.73</v>
      </c>
    </row>
    <row r="2813" spans="1:7" x14ac:dyDescent="0.25">
      <c r="A2813" s="5">
        <v>21212</v>
      </c>
      <c r="B2813">
        <v>41.59</v>
      </c>
      <c r="C2813">
        <v>41.88</v>
      </c>
      <c r="D2813">
        <v>41.59</v>
      </c>
      <c r="E2813">
        <v>41.7</v>
      </c>
      <c r="F2813">
        <v>2150000</v>
      </c>
      <c r="G2813">
        <v>41.7</v>
      </c>
    </row>
    <row r="2814" spans="1:7" x14ac:dyDescent="0.25">
      <c r="A2814" s="5">
        <v>21205</v>
      </c>
      <c r="B2814">
        <v>41.35</v>
      </c>
      <c r="C2814">
        <v>41.71</v>
      </c>
      <c r="D2814">
        <v>41.2</v>
      </c>
      <c r="E2814">
        <v>41.71</v>
      </c>
      <c r="F2814">
        <v>2320000</v>
      </c>
      <c r="G2814">
        <v>41.71</v>
      </c>
    </row>
    <row r="2815" spans="1:7" x14ac:dyDescent="0.25">
      <c r="A2815" s="5">
        <v>21198</v>
      </c>
      <c r="B2815">
        <v>40.49</v>
      </c>
      <c r="C2815">
        <v>41.1</v>
      </c>
      <c r="D2815">
        <v>40.49</v>
      </c>
      <c r="E2815">
        <v>41.1</v>
      </c>
      <c r="F2815">
        <v>2420000</v>
      </c>
      <c r="G2815">
        <v>41.1</v>
      </c>
    </row>
    <row r="2816" spans="1:7" x14ac:dyDescent="0.25">
      <c r="A2816" s="5">
        <v>21191</v>
      </c>
      <c r="B2816">
        <v>40.68</v>
      </c>
      <c r="C2816">
        <v>41</v>
      </c>
      <c r="D2816">
        <v>40.369999999999997</v>
      </c>
      <c r="E2816">
        <v>40.369999999999997</v>
      </c>
      <c r="F2816">
        <v>2228000</v>
      </c>
      <c r="G2816">
        <v>40.369999999999997</v>
      </c>
    </row>
    <row r="2817" spans="1:7" x14ac:dyDescent="0.25">
      <c r="A2817" s="5">
        <v>21184</v>
      </c>
      <c r="B2817">
        <v>39.58</v>
      </c>
      <c r="C2817">
        <v>40.869999999999997</v>
      </c>
      <c r="D2817">
        <v>39.58</v>
      </c>
      <c r="E2817">
        <v>40.869999999999997</v>
      </c>
      <c r="F2817">
        <v>3265000</v>
      </c>
      <c r="G2817">
        <v>40.869999999999997</v>
      </c>
    </row>
    <row r="2818" spans="1:7" x14ac:dyDescent="0.25">
      <c r="A2818" s="5">
        <v>21177</v>
      </c>
      <c r="B2818">
        <v>39.479999999999997</v>
      </c>
      <c r="C2818">
        <v>39.92</v>
      </c>
      <c r="D2818">
        <v>39.479999999999997</v>
      </c>
      <c r="E2818">
        <v>39.78</v>
      </c>
      <c r="F2818">
        <v>2477500</v>
      </c>
      <c r="G2818">
        <v>39.78</v>
      </c>
    </row>
    <row r="2819" spans="1:7" x14ac:dyDescent="0.25">
      <c r="A2819" s="5">
        <v>21170</v>
      </c>
      <c r="B2819">
        <v>40.119999999999997</v>
      </c>
      <c r="C2819">
        <v>40.119999999999997</v>
      </c>
      <c r="D2819">
        <v>39.380000000000003</v>
      </c>
      <c r="E2819">
        <v>39.479999999999997</v>
      </c>
      <c r="F2819">
        <v>2632000</v>
      </c>
      <c r="G2819">
        <v>39.479999999999997</v>
      </c>
    </row>
    <row r="2820" spans="1:7" x14ac:dyDescent="0.25">
      <c r="A2820" s="5">
        <v>21163</v>
      </c>
      <c r="B2820">
        <v>40.92</v>
      </c>
      <c r="C2820">
        <v>40.92</v>
      </c>
      <c r="D2820">
        <v>40.51</v>
      </c>
      <c r="E2820">
        <v>40.729999999999997</v>
      </c>
      <c r="F2820">
        <v>2294000</v>
      </c>
      <c r="G2820">
        <v>40.729999999999997</v>
      </c>
    </row>
    <row r="2821" spans="1:7" x14ac:dyDescent="0.25">
      <c r="A2821" s="5">
        <v>21156</v>
      </c>
      <c r="B2821">
        <v>41.36</v>
      </c>
      <c r="C2821">
        <v>41.54</v>
      </c>
      <c r="D2821">
        <v>41.31</v>
      </c>
      <c r="E2821">
        <v>41.31</v>
      </c>
      <c r="F2821">
        <v>2216000</v>
      </c>
      <c r="G2821">
        <v>41.31</v>
      </c>
    </row>
    <row r="2822" spans="1:7" x14ac:dyDescent="0.25">
      <c r="A2822" s="5">
        <v>21149</v>
      </c>
      <c r="B2822">
        <v>41.18</v>
      </c>
      <c r="C2822">
        <v>41.72</v>
      </c>
      <c r="D2822">
        <v>40.090000000000003</v>
      </c>
      <c r="E2822">
        <v>41.72</v>
      </c>
      <c r="F2822">
        <v>3080000</v>
      </c>
      <c r="G2822">
        <v>41.72</v>
      </c>
    </row>
    <row r="2823" spans="1:7" x14ac:dyDescent="0.25">
      <c r="A2823" s="5">
        <v>21142</v>
      </c>
      <c r="B2823">
        <v>40.04</v>
      </c>
      <c r="C2823">
        <v>40.869999999999997</v>
      </c>
      <c r="D2823">
        <v>39.81</v>
      </c>
      <c r="E2823">
        <v>40.869999999999997</v>
      </c>
      <c r="F2823">
        <v>2500000</v>
      </c>
      <c r="G2823">
        <v>40.869999999999997</v>
      </c>
    </row>
    <row r="2824" spans="1:7" x14ac:dyDescent="0.25">
      <c r="A2824" s="5">
        <v>21135</v>
      </c>
      <c r="B2824">
        <v>40.18</v>
      </c>
      <c r="C2824">
        <v>40.369999999999997</v>
      </c>
      <c r="D2824">
        <v>39.44</v>
      </c>
      <c r="E2824">
        <v>40.369999999999997</v>
      </c>
      <c r="F2824">
        <v>2334000</v>
      </c>
      <c r="G2824">
        <v>40.369999999999997</v>
      </c>
    </row>
    <row r="2825" spans="1:7" x14ac:dyDescent="0.25">
      <c r="A2825" s="5">
        <v>21128</v>
      </c>
      <c r="B2825">
        <v>40.369999999999997</v>
      </c>
      <c r="C2825">
        <v>40.67</v>
      </c>
      <c r="D2825">
        <v>40.19</v>
      </c>
      <c r="E2825">
        <v>40.19</v>
      </c>
      <c r="F2825">
        <v>2412500</v>
      </c>
      <c r="G2825">
        <v>40.19</v>
      </c>
    </row>
    <row r="2826" spans="1:7" x14ac:dyDescent="0.25">
      <c r="A2826" s="5">
        <v>21121</v>
      </c>
      <c r="B2826">
        <v>40.42</v>
      </c>
      <c r="C2826">
        <v>41.06</v>
      </c>
      <c r="D2826">
        <v>40.42</v>
      </c>
      <c r="E2826">
        <v>40.44</v>
      </c>
      <c r="F2826">
        <v>1990000</v>
      </c>
      <c r="G2826">
        <v>40.44</v>
      </c>
    </row>
    <row r="2827" spans="1:7" x14ac:dyDescent="0.25">
      <c r="A2827" s="5">
        <v>21114</v>
      </c>
      <c r="B2827">
        <v>39.15</v>
      </c>
      <c r="C2827">
        <v>40.729999999999997</v>
      </c>
      <c r="D2827">
        <v>38.979999999999997</v>
      </c>
      <c r="E2827">
        <v>40.590000000000003</v>
      </c>
      <c r="F2827">
        <v>4158000</v>
      </c>
      <c r="G2827">
        <v>40.590000000000003</v>
      </c>
    </row>
    <row r="2828" spans="1:7" x14ac:dyDescent="0.25">
      <c r="A2828" s="5">
        <v>21107</v>
      </c>
      <c r="B2828">
        <v>41.24</v>
      </c>
      <c r="C2828">
        <v>41.67</v>
      </c>
      <c r="D2828">
        <v>40.33</v>
      </c>
      <c r="E2828">
        <v>40.33</v>
      </c>
      <c r="F2828">
        <v>2634000</v>
      </c>
      <c r="G2828">
        <v>40.33</v>
      </c>
    </row>
    <row r="2829" spans="1:7" x14ac:dyDescent="0.25">
      <c r="A2829" s="5">
        <v>21100</v>
      </c>
      <c r="B2829">
        <v>42.22</v>
      </c>
      <c r="C2829">
        <v>42.22</v>
      </c>
      <c r="D2829">
        <v>40.94</v>
      </c>
      <c r="E2829">
        <v>40.94</v>
      </c>
      <c r="F2829">
        <v>3112000</v>
      </c>
      <c r="G2829">
        <v>40.94</v>
      </c>
    </row>
    <row r="2830" spans="1:7" x14ac:dyDescent="0.25">
      <c r="A2830" s="5">
        <v>21093</v>
      </c>
      <c r="B2830">
        <v>42.42</v>
      </c>
      <c r="C2830">
        <v>43.14</v>
      </c>
      <c r="D2830">
        <v>42.42</v>
      </c>
      <c r="E2830">
        <v>42.79</v>
      </c>
      <c r="F2830">
        <v>1614000</v>
      </c>
      <c r="G2830">
        <v>42.79</v>
      </c>
    </row>
    <row r="2831" spans="1:7" x14ac:dyDescent="0.25">
      <c r="A2831" s="5">
        <v>21086</v>
      </c>
      <c r="B2831">
        <v>42.69</v>
      </c>
      <c r="C2831">
        <v>42.98</v>
      </c>
      <c r="D2831">
        <v>42.55</v>
      </c>
      <c r="E2831">
        <v>42.55</v>
      </c>
      <c r="F2831">
        <v>2530000</v>
      </c>
      <c r="G2831">
        <v>42.55</v>
      </c>
    </row>
    <row r="2832" spans="1:7" x14ac:dyDescent="0.25">
      <c r="A2832" s="5">
        <v>21079</v>
      </c>
      <c r="B2832">
        <v>44.58</v>
      </c>
      <c r="C2832">
        <v>44.69</v>
      </c>
      <c r="D2832">
        <v>43.69</v>
      </c>
      <c r="E2832">
        <v>43.69</v>
      </c>
      <c r="F2832">
        <v>1636000</v>
      </c>
      <c r="G2832">
        <v>43.69</v>
      </c>
    </row>
    <row r="2833" spans="1:7" x14ac:dyDescent="0.25">
      <c r="A2833" s="5">
        <v>21072</v>
      </c>
      <c r="B2833">
        <v>44.28</v>
      </c>
      <c r="C2833">
        <v>44.82</v>
      </c>
      <c r="D2833">
        <v>43.87</v>
      </c>
      <c r="E2833">
        <v>44.8</v>
      </c>
      <c r="F2833">
        <v>1810000</v>
      </c>
      <c r="G2833">
        <v>44.8</v>
      </c>
    </row>
    <row r="2834" spans="1:7" x14ac:dyDescent="0.25">
      <c r="A2834" s="5">
        <v>21066</v>
      </c>
      <c r="B2834">
        <v>45.44</v>
      </c>
      <c r="C2834">
        <v>45.44</v>
      </c>
      <c r="D2834">
        <v>44.68</v>
      </c>
      <c r="E2834">
        <v>44.68</v>
      </c>
      <c r="F2834">
        <v>1372500</v>
      </c>
      <c r="G2834">
        <v>44.68</v>
      </c>
    </row>
    <row r="2835" spans="1:7" x14ac:dyDescent="0.25">
      <c r="A2835" s="5">
        <v>21058</v>
      </c>
      <c r="B2835">
        <v>43.89</v>
      </c>
      <c r="C2835">
        <v>45.22</v>
      </c>
      <c r="D2835">
        <v>43.89</v>
      </c>
      <c r="E2835">
        <v>45.22</v>
      </c>
      <c r="F2835">
        <v>2000000</v>
      </c>
      <c r="G2835">
        <v>45.22</v>
      </c>
    </row>
    <row r="2836" spans="1:7" x14ac:dyDescent="0.25">
      <c r="A2836" s="5">
        <v>21051</v>
      </c>
      <c r="B2836">
        <v>44.91</v>
      </c>
      <c r="C2836">
        <v>45.49</v>
      </c>
      <c r="D2836">
        <v>44.51</v>
      </c>
      <c r="E2836">
        <v>44.51</v>
      </c>
      <c r="F2836">
        <v>1984000</v>
      </c>
      <c r="G2836">
        <v>44.51</v>
      </c>
    </row>
    <row r="2837" spans="1:7" x14ac:dyDescent="0.25">
      <c r="A2837" s="5">
        <v>21044</v>
      </c>
      <c r="B2837">
        <v>46.33</v>
      </c>
      <c r="C2837">
        <v>46.33</v>
      </c>
      <c r="D2837">
        <v>45.73</v>
      </c>
      <c r="E2837">
        <v>45.83</v>
      </c>
      <c r="F2837">
        <v>1756000</v>
      </c>
      <c r="G2837">
        <v>45.83</v>
      </c>
    </row>
    <row r="2838" spans="1:7" x14ac:dyDescent="0.25">
      <c r="A2838" s="5">
        <v>21037</v>
      </c>
      <c r="B2838">
        <v>47.26</v>
      </c>
      <c r="C2838">
        <v>47.26</v>
      </c>
      <c r="D2838">
        <v>46.67</v>
      </c>
      <c r="E2838">
        <v>46.92</v>
      </c>
      <c r="F2838">
        <v>1884000</v>
      </c>
      <c r="G2838">
        <v>46.92</v>
      </c>
    </row>
    <row r="2839" spans="1:7" x14ac:dyDescent="0.25">
      <c r="A2839" s="5">
        <v>21030</v>
      </c>
      <c r="B2839">
        <v>47.92</v>
      </c>
      <c r="C2839">
        <v>47.92</v>
      </c>
      <c r="D2839">
        <v>47.68</v>
      </c>
      <c r="E2839">
        <v>47.68</v>
      </c>
      <c r="F2839">
        <v>1774000</v>
      </c>
      <c r="G2839">
        <v>47.68</v>
      </c>
    </row>
    <row r="2840" spans="1:7" x14ac:dyDescent="0.25">
      <c r="A2840" s="5">
        <v>21023</v>
      </c>
      <c r="B2840">
        <v>48.47</v>
      </c>
      <c r="C2840">
        <v>48.61</v>
      </c>
      <c r="D2840">
        <v>48.45</v>
      </c>
      <c r="E2840">
        <v>48.45</v>
      </c>
      <c r="F2840">
        <v>1806000</v>
      </c>
      <c r="G2840">
        <v>48.45</v>
      </c>
    </row>
    <row r="2841" spans="1:7" x14ac:dyDescent="0.25">
      <c r="A2841" s="5">
        <v>21016</v>
      </c>
      <c r="B2841">
        <v>49.13</v>
      </c>
      <c r="C2841">
        <v>49.13</v>
      </c>
      <c r="D2841">
        <v>48.53</v>
      </c>
      <c r="E2841">
        <v>48.58</v>
      </c>
      <c r="F2841">
        <v>2222000</v>
      </c>
      <c r="G2841">
        <v>48.58</v>
      </c>
    </row>
    <row r="2842" spans="1:7" x14ac:dyDescent="0.25">
      <c r="A2842" s="5">
        <v>21009</v>
      </c>
      <c r="B2842">
        <v>48.9</v>
      </c>
      <c r="C2842">
        <v>49.08</v>
      </c>
      <c r="D2842">
        <v>48.86</v>
      </c>
      <c r="E2842">
        <v>49.08</v>
      </c>
      <c r="F2842">
        <v>2648000</v>
      </c>
      <c r="G2842">
        <v>49.08</v>
      </c>
    </row>
    <row r="2843" spans="1:7" x14ac:dyDescent="0.25">
      <c r="A2843" s="5">
        <v>21002</v>
      </c>
      <c r="B2843">
        <v>47.43</v>
      </c>
      <c r="C2843">
        <v>48.69</v>
      </c>
      <c r="D2843">
        <v>47.43</v>
      </c>
      <c r="E2843">
        <v>48.69</v>
      </c>
      <c r="F2843">
        <v>2312500</v>
      </c>
      <c r="G2843">
        <v>48.69</v>
      </c>
    </row>
    <row r="2844" spans="1:7" x14ac:dyDescent="0.25">
      <c r="A2844" s="5">
        <v>20995</v>
      </c>
      <c r="B2844">
        <v>46.78</v>
      </c>
      <c r="C2844">
        <v>47.37</v>
      </c>
      <c r="D2844">
        <v>46.78</v>
      </c>
      <c r="E2844">
        <v>47.37</v>
      </c>
      <c r="F2844">
        <v>1896000</v>
      </c>
      <c r="G2844">
        <v>47.37</v>
      </c>
    </row>
    <row r="2845" spans="1:7" x14ac:dyDescent="0.25">
      <c r="A2845" s="5">
        <v>20988</v>
      </c>
      <c r="B2845">
        <v>48.24</v>
      </c>
      <c r="C2845">
        <v>48.24</v>
      </c>
      <c r="D2845">
        <v>47.15</v>
      </c>
      <c r="E2845">
        <v>47.15</v>
      </c>
      <c r="F2845">
        <v>2180000</v>
      </c>
      <c r="G2845">
        <v>47.15</v>
      </c>
    </row>
    <row r="2846" spans="1:7" x14ac:dyDescent="0.25">
      <c r="A2846" s="5">
        <v>20981</v>
      </c>
      <c r="B2846">
        <v>47.9</v>
      </c>
      <c r="C2846">
        <v>48.15</v>
      </c>
      <c r="D2846">
        <v>47.9</v>
      </c>
      <c r="E2846">
        <v>48.15</v>
      </c>
      <c r="F2846">
        <v>2444000</v>
      </c>
      <c r="G2846">
        <v>48.15</v>
      </c>
    </row>
    <row r="2847" spans="1:7" x14ac:dyDescent="0.25">
      <c r="A2847" s="5">
        <v>20974</v>
      </c>
      <c r="B2847">
        <v>47.37</v>
      </c>
      <c r="C2847">
        <v>47.85</v>
      </c>
      <c r="D2847">
        <v>47.27</v>
      </c>
      <c r="E2847">
        <v>47.85</v>
      </c>
      <c r="F2847">
        <v>2174000</v>
      </c>
      <c r="G2847">
        <v>47.85</v>
      </c>
    </row>
    <row r="2848" spans="1:7" x14ac:dyDescent="0.25">
      <c r="A2848" s="5">
        <v>20967</v>
      </c>
      <c r="B2848">
        <v>46.78</v>
      </c>
      <c r="C2848">
        <v>47.43</v>
      </c>
      <c r="D2848">
        <v>46.69</v>
      </c>
      <c r="E2848">
        <v>47.43</v>
      </c>
      <c r="F2848">
        <v>2170000</v>
      </c>
      <c r="G2848">
        <v>47.43</v>
      </c>
    </row>
    <row r="2849" spans="1:7" x14ac:dyDescent="0.25">
      <c r="A2849" s="5">
        <v>20960</v>
      </c>
      <c r="B2849">
        <v>47.35</v>
      </c>
      <c r="C2849">
        <v>47.35</v>
      </c>
      <c r="D2849">
        <v>47.14</v>
      </c>
      <c r="E2849">
        <v>47.21</v>
      </c>
      <c r="F2849">
        <v>2236000</v>
      </c>
      <c r="G2849">
        <v>47.21</v>
      </c>
    </row>
    <row r="2850" spans="1:7" x14ac:dyDescent="0.25">
      <c r="A2850" s="5">
        <v>20953</v>
      </c>
      <c r="B2850">
        <v>46.88</v>
      </c>
      <c r="C2850">
        <v>47.15</v>
      </c>
      <c r="D2850">
        <v>46.67</v>
      </c>
      <c r="E2850">
        <v>47.15</v>
      </c>
      <c r="F2850">
        <v>2618000</v>
      </c>
      <c r="G2850">
        <v>47.15</v>
      </c>
    </row>
    <row r="2851" spans="1:7" x14ac:dyDescent="0.25">
      <c r="A2851" s="5">
        <v>20946</v>
      </c>
      <c r="B2851">
        <v>46.27</v>
      </c>
      <c r="C2851">
        <v>46.59</v>
      </c>
      <c r="D2851">
        <v>46.13</v>
      </c>
      <c r="E2851">
        <v>46.59</v>
      </c>
      <c r="F2851">
        <v>2410000</v>
      </c>
      <c r="G2851">
        <v>46.59</v>
      </c>
    </row>
    <row r="2852" spans="1:7" x14ac:dyDescent="0.25">
      <c r="A2852" s="5">
        <v>20939</v>
      </c>
      <c r="B2852">
        <v>45.73</v>
      </c>
      <c r="C2852">
        <v>46.39</v>
      </c>
      <c r="D2852">
        <v>45.73</v>
      </c>
      <c r="E2852">
        <v>46.34</v>
      </c>
      <c r="F2852">
        <v>2410000</v>
      </c>
      <c r="G2852">
        <v>46.34</v>
      </c>
    </row>
    <row r="2853" spans="1:7" x14ac:dyDescent="0.25">
      <c r="A2853" s="5">
        <v>20932</v>
      </c>
      <c r="B2853">
        <v>45.48</v>
      </c>
      <c r="C2853">
        <v>45.72</v>
      </c>
      <c r="D2853">
        <v>45.48</v>
      </c>
      <c r="E2853">
        <v>45.5</v>
      </c>
      <c r="F2853">
        <v>2682000</v>
      </c>
      <c r="G2853">
        <v>45.5</v>
      </c>
    </row>
    <row r="2854" spans="1:7" x14ac:dyDescent="0.25">
      <c r="A2854" s="5">
        <v>20925</v>
      </c>
      <c r="B2854">
        <v>44.95</v>
      </c>
      <c r="C2854">
        <v>45.41</v>
      </c>
      <c r="D2854">
        <v>44.95</v>
      </c>
      <c r="E2854">
        <v>45.41</v>
      </c>
      <c r="F2854">
        <v>2167500</v>
      </c>
      <c r="G2854">
        <v>45.41</v>
      </c>
    </row>
    <row r="2855" spans="1:7" x14ac:dyDescent="0.25">
      <c r="A2855" s="5">
        <v>20918</v>
      </c>
      <c r="B2855">
        <v>44.39</v>
      </c>
      <c r="C2855">
        <v>44.98</v>
      </c>
      <c r="D2855">
        <v>44.39</v>
      </c>
      <c r="E2855">
        <v>44.98</v>
      </c>
      <c r="F2855">
        <v>2398000</v>
      </c>
      <c r="G2855">
        <v>44.98</v>
      </c>
    </row>
    <row r="2856" spans="1:7" x14ac:dyDescent="0.25">
      <c r="A2856" s="5">
        <v>20911</v>
      </c>
      <c r="B2856">
        <v>44.14</v>
      </c>
      <c r="C2856">
        <v>44.54</v>
      </c>
      <c r="D2856">
        <v>44.14</v>
      </c>
      <c r="E2856">
        <v>44.49</v>
      </c>
      <c r="F2856">
        <v>1946000</v>
      </c>
      <c r="G2856">
        <v>44.49</v>
      </c>
    </row>
    <row r="2857" spans="1:7" x14ac:dyDescent="0.25">
      <c r="A2857" s="5">
        <v>20904</v>
      </c>
      <c r="B2857">
        <v>43.88</v>
      </c>
      <c r="C2857">
        <v>44.18</v>
      </c>
      <c r="D2857">
        <v>43.88</v>
      </c>
      <c r="E2857">
        <v>44.11</v>
      </c>
      <c r="F2857">
        <v>1708000</v>
      </c>
      <c r="G2857">
        <v>44.11</v>
      </c>
    </row>
    <row r="2858" spans="1:7" x14ac:dyDescent="0.25">
      <c r="A2858" s="5">
        <v>20897</v>
      </c>
      <c r="B2858">
        <v>43.85</v>
      </c>
      <c r="C2858">
        <v>44.11</v>
      </c>
      <c r="D2858">
        <v>43.85</v>
      </c>
      <c r="E2858">
        <v>44.06</v>
      </c>
      <c r="F2858">
        <v>1612000</v>
      </c>
      <c r="G2858">
        <v>44.06</v>
      </c>
    </row>
    <row r="2859" spans="1:7" x14ac:dyDescent="0.25">
      <c r="A2859" s="5">
        <v>20890</v>
      </c>
      <c r="B2859">
        <v>43.78</v>
      </c>
      <c r="C2859">
        <v>44.07</v>
      </c>
      <c r="D2859">
        <v>43.75</v>
      </c>
      <c r="E2859">
        <v>44.05</v>
      </c>
      <c r="F2859">
        <v>1654000</v>
      </c>
      <c r="G2859">
        <v>44.05</v>
      </c>
    </row>
    <row r="2860" spans="1:7" x14ac:dyDescent="0.25">
      <c r="A2860" s="5">
        <v>20883</v>
      </c>
      <c r="B2860">
        <v>44.06</v>
      </c>
      <c r="C2860">
        <v>44.23</v>
      </c>
      <c r="D2860">
        <v>44.06</v>
      </c>
      <c r="E2860">
        <v>44.07</v>
      </c>
      <c r="F2860">
        <v>1810000</v>
      </c>
      <c r="G2860">
        <v>44.07</v>
      </c>
    </row>
    <row r="2861" spans="1:7" x14ac:dyDescent="0.25">
      <c r="A2861" s="5">
        <v>20876</v>
      </c>
      <c r="B2861">
        <v>43.38</v>
      </c>
      <c r="C2861">
        <v>43.74</v>
      </c>
      <c r="D2861">
        <v>43.26</v>
      </c>
      <c r="E2861">
        <v>43.74</v>
      </c>
      <c r="F2861">
        <v>1646000</v>
      </c>
      <c r="G2861">
        <v>43.74</v>
      </c>
    </row>
    <row r="2862" spans="1:7" x14ac:dyDescent="0.25">
      <c r="A2862" s="5">
        <v>20869</v>
      </c>
      <c r="B2862">
        <v>43.46</v>
      </c>
      <c r="C2862">
        <v>43.63</v>
      </c>
      <c r="D2862">
        <v>43.46</v>
      </c>
      <c r="E2862">
        <v>43.48</v>
      </c>
      <c r="F2862">
        <v>1735000</v>
      </c>
      <c r="G2862">
        <v>43.48</v>
      </c>
    </row>
    <row r="2863" spans="1:7" x14ac:dyDescent="0.25">
      <c r="A2863" s="5">
        <v>20862</v>
      </c>
      <c r="B2863">
        <v>42.57</v>
      </c>
      <c r="C2863">
        <v>43.51</v>
      </c>
      <c r="D2863">
        <v>42.39</v>
      </c>
      <c r="E2863">
        <v>43.51</v>
      </c>
      <c r="F2863">
        <v>2390000</v>
      </c>
      <c r="G2863">
        <v>43.51</v>
      </c>
    </row>
    <row r="2864" spans="1:7" x14ac:dyDescent="0.25">
      <c r="A2864" s="5">
        <v>20855</v>
      </c>
      <c r="B2864">
        <v>44.53</v>
      </c>
      <c r="C2864">
        <v>44.53</v>
      </c>
      <c r="D2864">
        <v>43.32</v>
      </c>
      <c r="E2864">
        <v>43.32</v>
      </c>
      <c r="F2864">
        <v>2086000</v>
      </c>
      <c r="G2864">
        <v>43.32</v>
      </c>
    </row>
    <row r="2865" spans="1:7" x14ac:dyDescent="0.25">
      <c r="A2865" s="5">
        <v>20848</v>
      </c>
      <c r="B2865">
        <v>44.49</v>
      </c>
      <c r="C2865">
        <v>44.91</v>
      </c>
      <c r="D2865">
        <v>44.49</v>
      </c>
      <c r="E2865">
        <v>44.62</v>
      </c>
      <c r="F2865">
        <v>1810000</v>
      </c>
      <c r="G2865">
        <v>44.62</v>
      </c>
    </row>
    <row r="2866" spans="1:7" x14ac:dyDescent="0.25">
      <c r="A2866" s="5">
        <v>20841</v>
      </c>
      <c r="B2866">
        <v>44.4</v>
      </c>
      <c r="C2866">
        <v>45.03</v>
      </c>
      <c r="D2866">
        <v>44.4</v>
      </c>
      <c r="E2866">
        <v>44.82</v>
      </c>
      <c r="F2866">
        <v>2100000</v>
      </c>
      <c r="G2866">
        <v>44.82</v>
      </c>
    </row>
    <row r="2867" spans="1:7" x14ac:dyDescent="0.25">
      <c r="A2867" s="5">
        <v>20834</v>
      </c>
      <c r="B2867">
        <v>45.86</v>
      </c>
      <c r="C2867">
        <v>45.86</v>
      </c>
      <c r="D2867">
        <v>44.64</v>
      </c>
      <c r="E2867">
        <v>44.64</v>
      </c>
      <c r="F2867">
        <v>2294000</v>
      </c>
      <c r="G2867">
        <v>44.64</v>
      </c>
    </row>
    <row r="2868" spans="1:7" x14ac:dyDescent="0.25">
      <c r="A2868" s="5">
        <v>20827</v>
      </c>
      <c r="B2868">
        <v>46.42</v>
      </c>
      <c r="C2868">
        <v>46.42</v>
      </c>
      <c r="D2868">
        <v>46.16</v>
      </c>
      <c r="E2868">
        <v>46.18</v>
      </c>
      <c r="F2868">
        <v>2374000</v>
      </c>
      <c r="G2868">
        <v>46.18</v>
      </c>
    </row>
    <row r="2869" spans="1:7" x14ac:dyDescent="0.25">
      <c r="A2869" s="5">
        <v>20820</v>
      </c>
      <c r="B2869">
        <v>46.67</v>
      </c>
      <c r="C2869">
        <v>46.67</v>
      </c>
      <c r="D2869">
        <v>46.2</v>
      </c>
      <c r="E2869">
        <v>46.66</v>
      </c>
      <c r="F2869">
        <v>2652500</v>
      </c>
      <c r="G2869">
        <v>46.66</v>
      </c>
    </row>
    <row r="2870" spans="1:7" x14ac:dyDescent="0.25">
      <c r="A2870" s="5">
        <v>20815</v>
      </c>
      <c r="B2870">
        <v>46.39</v>
      </c>
      <c r="C2870">
        <v>46.56</v>
      </c>
      <c r="D2870">
        <v>46.35</v>
      </c>
      <c r="E2870">
        <v>46.56</v>
      </c>
      <c r="F2870">
        <v>2550000</v>
      </c>
      <c r="G2870">
        <v>46.56</v>
      </c>
    </row>
    <row r="2871" spans="1:7" x14ac:dyDescent="0.25">
      <c r="A2871" s="5">
        <v>20806</v>
      </c>
      <c r="B2871">
        <v>46.54</v>
      </c>
      <c r="C2871">
        <v>46.54</v>
      </c>
      <c r="D2871">
        <v>46.07</v>
      </c>
      <c r="E2871">
        <v>46.37</v>
      </c>
      <c r="F2871">
        <v>2242000</v>
      </c>
      <c r="G2871">
        <v>46.37</v>
      </c>
    </row>
    <row r="2872" spans="1:7" x14ac:dyDescent="0.25">
      <c r="A2872" s="5">
        <v>20799</v>
      </c>
      <c r="B2872">
        <v>46.8</v>
      </c>
      <c r="C2872">
        <v>46.8</v>
      </c>
      <c r="D2872">
        <v>46.13</v>
      </c>
      <c r="E2872">
        <v>46.54</v>
      </c>
      <c r="F2872">
        <v>2362000</v>
      </c>
      <c r="G2872">
        <v>46.54</v>
      </c>
    </row>
    <row r="2873" spans="1:7" x14ac:dyDescent="0.25">
      <c r="A2873" s="5">
        <v>20792</v>
      </c>
      <c r="B2873">
        <v>45.98</v>
      </c>
      <c r="C2873">
        <v>47.04</v>
      </c>
      <c r="D2873">
        <v>45.84</v>
      </c>
      <c r="E2873">
        <v>47.04</v>
      </c>
      <c r="F2873">
        <v>2396000</v>
      </c>
      <c r="G2873">
        <v>47.04</v>
      </c>
    </row>
    <row r="2874" spans="1:7" x14ac:dyDescent="0.25">
      <c r="A2874" s="5">
        <v>20785</v>
      </c>
      <c r="B2874">
        <v>44.87</v>
      </c>
      <c r="C2874">
        <v>45.08</v>
      </c>
      <c r="D2874">
        <v>44.38</v>
      </c>
      <c r="E2874">
        <v>45.08</v>
      </c>
      <c r="F2874">
        <v>2258000</v>
      </c>
      <c r="G2874">
        <v>45.08</v>
      </c>
    </row>
    <row r="2875" spans="1:7" x14ac:dyDescent="0.25">
      <c r="A2875" s="5">
        <v>20778</v>
      </c>
      <c r="B2875">
        <v>45.29</v>
      </c>
      <c r="C2875">
        <v>45.29</v>
      </c>
      <c r="D2875">
        <v>44.67</v>
      </c>
      <c r="E2875">
        <v>45.14</v>
      </c>
      <c r="F2875">
        <v>2247500</v>
      </c>
      <c r="G2875">
        <v>45.14</v>
      </c>
    </row>
    <row r="2876" spans="1:7" x14ac:dyDescent="0.25">
      <c r="A2876" s="5">
        <v>20771</v>
      </c>
      <c r="B2876">
        <v>46.49</v>
      </c>
      <c r="C2876">
        <v>46.49</v>
      </c>
      <c r="D2876">
        <v>45.72</v>
      </c>
      <c r="E2876">
        <v>45.74</v>
      </c>
      <c r="F2876">
        <v>2012000</v>
      </c>
      <c r="G2876">
        <v>45.74</v>
      </c>
    </row>
    <row r="2877" spans="1:7" x14ac:dyDescent="0.25">
      <c r="A2877" s="5">
        <v>20764</v>
      </c>
      <c r="B2877">
        <v>47.6</v>
      </c>
      <c r="C2877">
        <v>47.6</v>
      </c>
      <c r="D2877">
        <v>46.34</v>
      </c>
      <c r="E2877">
        <v>46.34</v>
      </c>
      <c r="F2877">
        <v>2285000</v>
      </c>
      <c r="G2877">
        <v>46.34</v>
      </c>
    </row>
    <row r="2878" spans="1:7" x14ac:dyDescent="0.25">
      <c r="A2878" s="5">
        <v>20757</v>
      </c>
      <c r="B2878">
        <v>46.4</v>
      </c>
      <c r="C2878">
        <v>46.98</v>
      </c>
      <c r="D2878">
        <v>45.58</v>
      </c>
      <c r="E2878">
        <v>46.98</v>
      </c>
      <c r="F2878">
        <v>2120000</v>
      </c>
      <c r="G2878">
        <v>46.98</v>
      </c>
    </row>
    <row r="2879" spans="1:7" x14ac:dyDescent="0.25">
      <c r="A2879" s="5">
        <v>20750</v>
      </c>
      <c r="B2879">
        <v>46.23</v>
      </c>
      <c r="C2879">
        <v>46.27</v>
      </c>
      <c r="D2879">
        <v>45.85</v>
      </c>
      <c r="E2879">
        <v>46.27</v>
      </c>
      <c r="F2879">
        <v>1568000</v>
      </c>
      <c r="G2879">
        <v>46.27</v>
      </c>
    </row>
    <row r="2880" spans="1:7" x14ac:dyDescent="0.25">
      <c r="A2880" s="5">
        <v>20743</v>
      </c>
      <c r="B2880">
        <v>46.86</v>
      </c>
      <c r="C2880">
        <v>46.86</v>
      </c>
      <c r="D2880">
        <v>46.24</v>
      </c>
      <c r="E2880">
        <v>46.24</v>
      </c>
      <c r="F2880">
        <v>1638000</v>
      </c>
      <c r="G2880">
        <v>46.24</v>
      </c>
    </row>
    <row r="2881" spans="1:7" x14ac:dyDescent="0.25">
      <c r="A2881" s="5">
        <v>20736</v>
      </c>
      <c r="B2881">
        <v>46.43</v>
      </c>
      <c r="C2881">
        <v>47</v>
      </c>
      <c r="D2881">
        <v>46.2</v>
      </c>
      <c r="E2881">
        <v>47</v>
      </c>
      <c r="F2881">
        <v>1476000</v>
      </c>
      <c r="G2881">
        <v>47</v>
      </c>
    </row>
    <row r="2882" spans="1:7" x14ac:dyDescent="0.25">
      <c r="A2882" s="5">
        <v>20729</v>
      </c>
      <c r="B2882">
        <v>44.7</v>
      </c>
      <c r="C2882">
        <v>46.45</v>
      </c>
      <c r="D2882">
        <v>44.7</v>
      </c>
      <c r="E2882">
        <v>46.45</v>
      </c>
      <c r="F2882">
        <v>2072000</v>
      </c>
      <c r="G2882">
        <v>46.45</v>
      </c>
    </row>
    <row r="2883" spans="1:7" x14ac:dyDescent="0.25">
      <c r="A2883" s="5">
        <v>20722</v>
      </c>
      <c r="B2883">
        <v>46.4</v>
      </c>
      <c r="C2883">
        <v>46.4</v>
      </c>
      <c r="D2883">
        <v>45.35</v>
      </c>
      <c r="E2883">
        <v>45.35</v>
      </c>
      <c r="F2883">
        <v>1960000</v>
      </c>
      <c r="G2883">
        <v>45.35</v>
      </c>
    </row>
    <row r="2884" spans="1:7" x14ac:dyDescent="0.25">
      <c r="A2884" s="5">
        <v>20715</v>
      </c>
      <c r="B2884">
        <v>47.1</v>
      </c>
      <c r="C2884">
        <v>47.1</v>
      </c>
      <c r="D2884">
        <v>46.21</v>
      </c>
      <c r="E2884">
        <v>46.58</v>
      </c>
      <c r="F2884">
        <v>2088000</v>
      </c>
      <c r="G2884">
        <v>46.58</v>
      </c>
    </row>
    <row r="2885" spans="1:7" x14ac:dyDescent="0.25">
      <c r="A2885" s="5">
        <v>20708</v>
      </c>
      <c r="B2885">
        <v>47.56</v>
      </c>
      <c r="C2885">
        <v>47.56</v>
      </c>
      <c r="D2885">
        <v>46.09</v>
      </c>
      <c r="E2885">
        <v>47.21</v>
      </c>
      <c r="F2885">
        <v>1964000</v>
      </c>
      <c r="G2885">
        <v>47.21</v>
      </c>
    </row>
    <row r="2886" spans="1:7" x14ac:dyDescent="0.25">
      <c r="A2886" s="5">
        <v>20702</v>
      </c>
      <c r="B2886">
        <v>47.89</v>
      </c>
      <c r="C2886">
        <v>48.1</v>
      </c>
      <c r="D2886">
        <v>47.81</v>
      </c>
      <c r="E2886">
        <v>47.81</v>
      </c>
      <c r="F2886">
        <v>1790000</v>
      </c>
      <c r="G2886">
        <v>47.81</v>
      </c>
    </row>
    <row r="2887" spans="1:7" x14ac:dyDescent="0.25">
      <c r="A2887" s="5">
        <v>20694</v>
      </c>
      <c r="B2887">
        <v>47.66</v>
      </c>
      <c r="C2887">
        <v>47.66</v>
      </c>
      <c r="D2887">
        <v>46.94</v>
      </c>
      <c r="E2887">
        <v>47.51</v>
      </c>
      <c r="F2887">
        <v>1604000</v>
      </c>
      <c r="G2887">
        <v>47.51</v>
      </c>
    </row>
    <row r="2888" spans="1:7" x14ac:dyDescent="0.25">
      <c r="A2888" s="5">
        <v>20687</v>
      </c>
      <c r="B2888">
        <v>48.25</v>
      </c>
      <c r="C2888">
        <v>48.25</v>
      </c>
      <c r="D2888">
        <v>47.42</v>
      </c>
      <c r="E2888">
        <v>47.95</v>
      </c>
      <c r="F2888">
        <v>1780000</v>
      </c>
      <c r="G2888">
        <v>47.95</v>
      </c>
    </row>
    <row r="2889" spans="1:7" x14ac:dyDescent="0.25">
      <c r="A2889" s="5">
        <v>20680</v>
      </c>
      <c r="B2889">
        <v>48.58</v>
      </c>
      <c r="C2889">
        <v>48.99</v>
      </c>
      <c r="D2889">
        <v>48</v>
      </c>
      <c r="E2889">
        <v>48.82</v>
      </c>
      <c r="F2889">
        <v>1806000</v>
      </c>
      <c r="G2889">
        <v>48.82</v>
      </c>
    </row>
    <row r="2890" spans="1:7" x14ac:dyDescent="0.25">
      <c r="A2890" s="5">
        <v>20673</v>
      </c>
      <c r="B2890">
        <v>48.96</v>
      </c>
      <c r="C2890">
        <v>49.36</v>
      </c>
      <c r="D2890">
        <v>48.96</v>
      </c>
      <c r="E2890">
        <v>49.09</v>
      </c>
      <c r="F2890">
        <v>2306000</v>
      </c>
      <c r="G2890">
        <v>49.09</v>
      </c>
    </row>
    <row r="2891" spans="1:7" x14ac:dyDescent="0.25">
      <c r="A2891" s="5">
        <v>20666</v>
      </c>
      <c r="B2891">
        <v>49</v>
      </c>
      <c r="C2891">
        <v>49.64</v>
      </c>
      <c r="D2891">
        <v>49</v>
      </c>
      <c r="E2891">
        <v>49.64</v>
      </c>
      <c r="F2891">
        <v>2318000</v>
      </c>
      <c r="G2891">
        <v>49.64</v>
      </c>
    </row>
    <row r="2892" spans="1:7" x14ac:dyDescent="0.25">
      <c r="A2892" s="5">
        <v>20659</v>
      </c>
      <c r="B2892">
        <v>49.33</v>
      </c>
      <c r="C2892">
        <v>49.48</v>
      </c>
      <c r="D2892">
        <v>49.08</v>
      </c>
      <c r="E2892">
        <v>49.08</v>
      </c>
      <c r="F2892">
        <v>2106000</v>
      </c>
      <c r="G2892">
        <v>49.08</v>
      </c>
    </row>
    <row r="2893" spans="1:7" x14ac:dyDescent="0.25">
      <c r="A2893" s="5">
        <v>20652</v>
      </c>
      <c r="B2893">
        <v>49.14</v>
      </c>
      <c r="C2893">
        <v>49.35</v>
      </c>
      <c r="D2893">
        <v>49.14</v>
      </c>
      <c r="E2893">
        <v>49.35</v>
      </c>
      <c r="F2893">
        <v>2256000</v>
      </c>
      <c r="G2893">
        <v>49.35</v>
      </c>
    </row>
    <row r="2894" spans="1:7" x14ac:dyDescent="0.25">
      <c r="A2894" s="5">
        <v>20645</v>
      </c>
      <c r="B2894">
        <v>48.25</v>
      </c>
      <c r="C2894">
        <v>48.72</v>
      </c>
      <c r="D2894">
        <v>48.25</v>
      </c>
      <c r="E2894">
        <v>48.72</v>
      </c>
      <c r="F2894">
        <v>2270000</v>
      </c>
      <c r="G2894">
        <v>48.72</v>
      </c>
    </row>
    <row r="2895" spans="1:7" x14ac:dyDescent="0.25">
      <c r="A2895" s="5">
        <v>20638</v>
      </c>
      <c r="B2895">
        <v>46.93</v>
      </c>
      <c r="C2895">
        <v>48.04</v>
      </c>
      <c r="D2895">
        <v>46.93</v>
      </c>
      <c r="E2895">
        <v>48.04</v>
      </c>
      <c r="F2895">
        <v>1967500</v>
      </c>
      <c r="G2895">
        <v>48.04</v>
      </c>
    </row>
    <row r="2896" spans="1:7" x14ac:dyDescent="0.25">
      <c r="A2896" s="5">
        <v>20631</v>
      </c>
      <c r="B2896">
        <v>46.41</v>
      </c>
      <c r="C2896">
        <v>47.13</v>
      </c>
      <c r="D2896">
        <v>46.41</v>
      </c>
      <c r="E2896">
        <v>46.97</v>
      </c>
      <c r="F2896">
        <v>1800000</v>
      </c>
      <c r="G2896">
        <v>46.97</v>
      </c>
    </row>
    <row r="2897" spans="1:7" x14ac:dyDescent="0.25">
      <c r="A2897" s="5">
        <v>20624</v>
      </c>
      <c r="B2897">
        <v>46.17</v>
      </c>
      <c r="C2897">
        <v>46.73</v>
      </c>
      <c r="D2897">
        <v>46.17</v>
      </c>
      <c r="E2897">
        <v>46.59</v>
      </c>
      <c r="F2897">
        <v>1598000</v>
      </c>
      <c r="G2897">
        <v>46.59</v>
      </c>
    </row>
    <row r="2898" spans="1:7" x14ac:dyDescent="0.25">
      <c r="A2898" s="5">
        <v>20617</v>
      </c>
      <c r="B2898">
        <v>45.71</v>
      </c>
      <c r="C2898">
        <v>46.42</v>
      </c>
      <c r="D2898">
        <v>45.71</v>
      </c>
      <c r="E2898">
        <v>46.37</v>
      </c>
      <c r="F2898">
        <v>1776000</v>
      </c>
      <c r="G2898">
        <v>46.37</v>
      </c>
    </row>
    <row r="2899" spans="1:7" x14ac:dyDescent="0.25">
      <c r="A2899" s="5">
        <v>20610</v>
      </c>
      <c r="B2899">
        <v>45.85</v>
      </c>
      <c r="C2899">
        <v>45.99</v>
      </c>
      <c r="D2899">
        <v>45.14</v>
      </c>
      <c r="E2899">
        <v>45.14</v>
      </c>
      <c r="F2899">
        <v>1974000</v>
      </c>
      <c r="G2899">
        <v>45.14</v>
      </c>
    </row>
    <row r="2900" spans="1:7" x14ac:dyDescent="0.25">
      <c r="A2900" s="5">
        <v>20603</v>
      </c>
      <c r="B2900">
        <v>44.1</v>
      </c>
      <c r="C2900">
        <v>45.58</v>
      </c>
      <c r="D2900">
        <v>44.1</v>
      </c>
      <c r="E2900">
        <v>45.58</v>
      </c>
      <c r="F2900">
        <v>2167500</v>
      </c>
      <c r="G2900">
        <v>45.58</v>
      </c>
    </row>
    <row r="2901" spans="1:7" x14ac:dyDescent="0.25">
      <c r="A2901" s="5">
        <v>20596</v>
      </c>
      <c r="B2901">
        <v>45.99</v>
      </c>
      <c r="C2901">
        <v>45.99</v>
      </c>
      <c r="D2901">
        <v>44.6</v>
      </c>
      <c r="E2901">
        <v>44.62</v>
      </c>
      <c r="F2901">
        <v>2308000</v>
      </c>
      <c r="G2901">
        <v>44.62</v>
      </c>
    </row>
    <row r="2902" spans="1:7" x14ac:dyDescent="0.25">
      <c r="A2902" s="5">
        <v>20589</v>
      </c>
      <c r="B2902">
        <v>46.86</v>
      </c>
      <c r="C2902">
        <v>46.86</v>
      </c>
      <c r="D2902">
        <v>46.05</v>
      </c>
      <c r="E2902">
        <v>46.39</v>
      </c>
      <c r="F2902">
        <v>2232000</v>
      </c>
      <c r="G2902">
        <v>46.39</v>
      </c>
    </row>
    <row r="2903" spans="1:7" x14ac:dyDescent="0.25">
      <c r="A2903" s="5">
        <v>20582</v>
      </c>
      <c r="B2903">
        <v>48.22</v>
      </c>
      <c r="C2903">
        <v>48.22</v>
      </c>
      <c r="D2903">
        <v>47.12</v>
      </c>
      <c r="E2903">
        <v>47.12</v>
      </c>
      <c r="F2903">
        <v>2568000</v>
      </c>
      <c r="G2903">
        <v>47.12</v>
      </c>
    </row>
    <row r="2904" spans="1:7" x14ac:dyDescent="0.25">
      <c r="A2904" s="5">
        <v>20575</v>
      </c>
      <c r="B2904">
        <v>48.38</v>
      </c>
      <c r="C2904">
        <v>48.51</v>
      </c>
      <c r="D2904">
        <v>48.16</v>
      </c>
      <c r="E2904">
        <v>48.51</v>
      </c>
      <c r="F2904">
        <v>2634000</v>
      </c>
      <c r="G2904">
        <v>48.51</v>
      </c>
    </row>
    <row r="2905" spans="1:7" x14ac:dyDescent="0.25">
      <c r="A2905" s="5">
        <v>20568</v>
      </c>
      <c r="B2905">
        <v>47.65</v>
      </c>
      <c r="C2905">
        <v>47.99</v>
      </c>
      <c r="D2905">
        <v>47.09</v>
      </c>
      <c r="E2905">
        <v>47.99</v>
      </c>
      <c r="F2905">
        <v>2520000</v>
      </c>
      <c r="G2905">
        <v>47.99</v>
      </c>
    </row>
    <row r="2906" spans="1:7" x14ac:dyDescent="0.25">
      <c r="A2906" s="5">
        <v>20561</v>
      </c>
      <c r="B2906">
        <v>47.96</v>
      </c>
      <c r="C2906">
        <v>47.96</v>
      </c>
      <c r="D2906">
        <v>47.57</v>
      </c>
      <c r="E2906">
        <v>47.76</v>
      </c>
      <c r="F2906">
        <v>2328000</v>
      </c>
      <c r="G2906">
        <v>47.76</v>
      </c>
    </row>
    <row r="2907" spans="1:7" x14ac:dyDescent="0.25">
      <c r="A2907" s="5">
        <v>20554</v>
      </c>
      <c r="B2907">
        <v>48.61</v>
      </c>
      <c r="C2907">
        <v>48.61</v>
      </c>
      <c r="D2907">
        <v>47.93</v>
      </c>
      <c r="E2907">
        <v>47.95</v>
      </c>
      <c r="F2907">
        <v>2588000</v>
      </c>
      <c r="G2907">
        <v>47.95</v>
      </c>
    </row>
    <row r="2908" spans="1:7" x14ac:dyDescent="0.25">
      <c r="A2908" s="5">
        <v>20547</v>
      </c>
      <c r="B2908">
        <v>48.7</v>
      </c>
      <c r="C2908">
        <v>48.85</v>
      </c>
      <c r="D2908">
        <v>48.53</v>
      </c>
      <c r="E2908">
        <v>48.85</v>
      </c>
      <c r="F2908">
        <v>2838000</v>
      </c>
      <c r="G2908">
        <v>48.85</v>
      </c>
    </row>
    <row r="2909" spans="1:7" x14ac:dyDescent="0.25">
      <c r="A2909" s="5">
        <v>20540</v>
      </c>
      <c r="B2909">
        <v>48.62</v>
      </c>
      <c r="C2909">
        <v>48.62</v>
      </c>
      <c r="D2909">
        <v>48.25</v>
      </c>
      <c r="E2909">
        <v>48.48</v>
      </c>
      <c r="F2909">
        <v>2837500</v>
      </c>
      <c r="G2909">
        <v>48.48</v>
      </c>
    </row>
    <row r="2910" spans="1:7" x14ac:dyDescent="0.25">
      <c r="A2910" s="5">
        <v>20533</v>
      </c>
      <c r="B2910">
        <v>48.59</v>
      </c>
      <c r="C2910">
        <v>48.87</v>
      </c>
      <c r="D2910">
        <v>48.23</v>
      </c>
      <c r="E2910">
        <v>48.83</v>
      </c>
      <c r="F2910">
        <v>2818000</v>
      </c>
      <c r="G2910">
        <v>48.83</v>
      </c>
    </row>
    <row r="2911" spans="1:7" x14ac:dyDescent="0.25">
      <c r="A2911" s="5">
        <v>20526</v>
      </c>
      <c r="B2911">
        <v>47.13</v>
      </c>
      <c r="C2911">
        <v>48.14</v>
      </c>
      <c r="D2911">
        <v>47.06</v>
      </c>
      <c r="E2911">
        <v>48.14</v>
      </c>
      <c r="F2911">
        <v>3086000</v>
      </c>
      <c r="G2911">
        <v>48.14</v>
      </c>
    </row>
    <row r="2912" spans="1:7" x14ac:dyDescent="0.25">
      <c r="A2912" s="5">
        <v>20519</v>
      </c>
      <c r="B2912">
        <v>46.06</v>
      </c>
      <c r="C2912">
        <v>46.7</v>
      </c>
      <c r="D2912">
        <v>46.01</v>
      </c>
      <c r="E2912">
        <v>46.7</v>
      </c>
      <c r="F2912">
        <v>2834000</v>
      </c>
      <c r="G2912">
        <v>46.7</v>
      </c>
    </row>
    <row r="2913" spans="1:7" x14ac:dyDescent="0.25">
      <c r="A2913" s="5">
        <v>20512</v>
      </c>
      <c r="B2913">
        <v>45.27</v>
      </c>
      <c r="C2913">
        <v>45.81</v>
      </c>
      <c r="D2913">
        <v>45.27</v>
      </c>
      <c r="E2913">
        <v>45.81</v>
      </c>
      <c r="F2913">
        <v>2830000</v>
      </c>
      <c r="G2913">
        <v>45.81</v>
      </c>
    </row>
    <row r="2914" spans="1:7" x14ac:dyDescent="0.25">
      <c r="A2914" s="5">
        <v>20505</v>
      </c>
      <c r="B2914">
        <v>44.45</v>
      </c>
      <c r="C2914">
        <v>45.32</v>
      </c>
      <c r="D2914">
        <v>44.45</v>
      </c>
      <c r="E2914">
        <v>45.32</v>
      </c>
      <c r="F2914">
        <v>2640000</v>
      </c>
      <c r="G2914">
        <v>45.32</v>
      </c>
    </row>
    <row r="2915" spans="1:7" x14ac:dyDescent="0.25">
      <c r="A2915" s="5">
        <v>20498</v>
      </c>
      <c r="B2915">
        <v>43.58</v>
      </c>
      <c r="C2915">
        <v>44.52</v>
      </c>
      <c r="D2915">
        <v>43.42</v>
      </c>
      <c r="E2915">
        <v>44.52</v>
      </c>
      <c r="F2915">
        <v>2120000</v>
      </c>
      <c r="G2915">
        <v>44.52</v>
      </c>
    </row>
    <row r="2916" spans="1:7" x14ac:dyDescent="0.25">
      <c r="A2916" s="5">
        <v>20491</v>
      </c>
      <c r="B2916">
        <v>44.81</v>
      </c>
      <c r="C2916">
        <v>44.81</v>
      </c>
      <c r="D2916">
        <v>43.64</v>
      </c>
      <c r="E2916">
        <v>43.64</v>
      </c>
      <c r="F2916">
        <v>2062000</v>
      </c>
      <c r="G2916">
        <v>43.64</v>
      </c>
    </row>
    <row r="2917" spans="1:7" x14ac:dyDescent="0.25">
      <c r="A2917" s="5">
        <v>20484</v>
      </c>
      <c r="B2917">
        <v>43.5</v>
      </c>
      <c r="C2917">
        <v>44.78</v>
      </c>
      <c r="D2917">
        <v>43.5</v>
      </c>
      <c r="E2917">
        <v>44.78</v>
      </c>
      <c r="F2917">
        <v>1950000</v>
      </c>
      <c r="G2917">
        <v>44.78</v>
      </c>
    </row>
    <row r="2918" spans="1:7" x14ac:dyDescent="0.25">
      <c r="A2918" s="5">
        <v>20477</v>
      </c>
      <c r="B2918">
        <v>43.11</v>
      </c>
      <c r="C2918">
        <v>43.72</v>
      </c>
      <c r="D2918">
        <v>43.11</v>
      </c>
      <c r="E2918">
        <v>43.35</v>
      </c>
      <c r="F2918">
        <v>2124000</v>
      </c>
      <c r="G2918">
        <v>43.35</v>
      </c>
    </row>
    <row r="2919" spans="1:7" x14ac:dyDescent="0.25">
      <c r="A2919" s="5">
        <v>20470</v>
      </c>
      <c r="B2919">
        <v>44.14</v>
      </c>
      <c r="C2919">
        <v>44.47</v>
      </c>
      <c r="D2919">
        <v>43.22</v>
      </c>
      <c r="E2919">
        <v>43.22</v>
      </c>
      <c r="F2919">
        <v>2270000</v>
      </c>
      <c r="G2919">
        <v>43.22</v>
      </c>
    </row>
    <row r="2920" spans="1:7" x14ac:dyDescent="0.25">
      <c r="A2920" s="5">
        <v>20463</v>
      </c>
      <c r="B2920">
        <v>44.51</v>
      </c>
      <c r="C2920">
        <v>44.75</v>
      </c>
      <c r="D2920">
        <v>44.16</v>
      </c>
      <c r="E2920">
        <v>44.67</v>
      </c>
      <c r="F2920">
        <v>2420000</v>
      </c>
      <c r="G2920">
        <v>44.67</v>
      </c>
    </row>
    <row r="2921" spans="1:7" x14ac:dyDescent="0.25">
      <c r="A2921" s="5">
        <v>20457</v>
      </c>
      <c r="B2921">
        <v>45.16</v>
      </c>
      <c r="C2921">
        <v>45.16</v>
      </c>
      <c r="D2921">
        <v>44.95</v>
      </c>
      <c r="E2921">
        <v>45.14</v>
      </c>
      <c r="F2921">
        <v>2340000</v>
      </c>
      <c r="G2921">
        <v>45.14</v>
      </c>
    </row>
    <row r="2922" spans="1:7" x14ac:dyDescent="0.25">
      <c r="A2922" s="5">
        <v>20450</v>
      </c>
      <c r="B2922">
        <v>45.22</v>
      </c>
      <c r="C2922">
        <v>45.48</v>
      </c>
      <c r="D2922">
        <v>45.05</v>
      </c>
      <c r="E2922">
        <v>45.48</v>
      </c>
      <c r="F2922">
        <v>2252500</v>
      </c>
      <c r="G2922">
        <v>45.48</v>
      </c>
    </row>
    <row r="2923" spans="1:7" x14ac:dyDescent="0.25">
      <c r="A2923" s="5">
        <v>20442</v>
      </c>
      <c r="B2923">
        <v>45.02</v>
      </c>
      <c r="C2923">
        <v>45.84</v>
      </c>
      <c r="D2923">
        <v>44.95</v>
      </c>
      <c r="E2923">
        <v>45.5</v>
      </c>
      <c r="F2923">
        <v>2388000</v>
      </c>
      <c r="G2923">
        <v>45.5</v>
      </c>
    </row>
    <row r="2924" spans="1:7" x14ac:dyDescent="0.25">
      <c r="A2924" s="5">
        <v>20435</v>
      </c>
      <c r="B2924">
        <v>45.42</v>
      </c>
      <c r="C2924">
        <v>45.45</v>
      </c>
      <c r="D2924">
        <v>45.06</v>
      </c>
      <c r="E2924">
        <v>45.13</v>
      </c>
      <c r="F2924">
        <v>2436000</v>
      </c>
      <c r="G2924">
        <v>45.13</v>
      </c>
    </row>
    <row r="2925" spans="1:7" x14ac:dyDescent="0.25">
      <c r="A2925" s="5">
        <v>20428</v>
      </c>
      <c r="B2925">
        <v>45.7</v>
      </c>
      <c r="C2925">
        <v>45.89</v>
      </c>
      <c r="D2925">
        <v>45.55</v>
      </c>
      <c r="E2925">
        <v>45.89</v>
      </c>
      <c r="F2925">
        <v>2618000</v>
      </c>
      <c r="G2925">
        <v>45.89</v>
      </c>
    </row>
    <row r="2926" spans="1:7" x14ac:dyDescent="0.25">
      <c r="A2926" s="5">
        <v>20421</v>
      </c>
      <c r="B2926">
        <v>45.38</v>
      </c>
      <c r="C2926">
        <v>45.56</v>
      </c>
      <c r="D2926">
        <v>45.35</v>
      </c>
      <c r="E2926">
        <v>45.44</v>
      </c>
      <c r="F2926">
        <v>2500000</v>
      </c>
      <c r="G2926">
        <v>45.44</v>
      </c>
    </row>
    <row r="2927" spans="1:7" x14ac:dyDescent="0.25">
      <c r="A2927" s="5">
        <v>20414</v>
      </c>
      <c r="B2927">
        <v>45.22</v>
      </c>
      <c r="C2927">
        <v>45.72</v>
      </c>
      <c r="D2927">
        <v>45.22</v>
      </c>
      <c r="E2927">
        <v>45.68</v>
      </c>
      <c r="F2927">
        <v>2242500</v>
      </c>
      <c r="G2927">
        <v>45.68</v>
      </c>
    </row>
    <row r="2928" spans="1:7" x14ac:dyDescent="0.25">
      <c r="A2928" s="5">
        <v>20407</v>
      </c>
      <c r="B2928">
        <v>46.41</v>
      </c>
      <c r="C2928">
        <v>46.41</v>
      </c>
      <c r="D2928">
        <v>45.54</v>
      </c>
      <c r="E2928">
        <v>45.54</v>
      </c>
      <c r="F2928">
        <v>2482000</v>
      </c>
      <c r="G2928">
        <v>45.54</v>
      </c>
    </row>
    <row r="2929" spans="1:7" x14ac:dyDescent="0.25">
      <c r="A2929" s="5">
        <v>20400</v>
      </c>
      <c r="B2929">
        <v>44.15</v>
      </c>
      <c r="C2929">
        <v>45.24</v>
      </c>
      <c r="D2929">
        <v>44.15</v>
      </c>
      <c r="E2929">
        <v>45.24</v>
      </c>
      <c r="F2929">
        <v>2340000</v>
      </c>
      <c r="G2929">
        <v>45.24</v>
      </c>
    </row>
    <row r="2930" spans="1:7" x14ac:dyDescent="0.25">
      <c r="A2930" s="5">
        <v>20393</v>
      </c>
      <c r="B2930">
        <v>42.34</v>
      </c>
      <c r="C2930">
        <v>43.96</v>
      </c>
      <c r="D2930">
        <v>42.28</v>
      </c>
      <c r="E2930">
        <v>43.96</v>
      </c>
      <c r="F2930">
        <v>1938000</v>
      </c>
      <c r="G2930">
        <v>43.96</v>
      </c>
    </row>
    <row r="2931" spans="1:7" x14ac:dyDescent="0.25">
      <c r="A2931" s="5">
        <v>20386</v>
      </c>
      <c r="B2931">
        <v>42.91</v>
      </c>
      <c r="C2931">
        <v>42.91</v>
      </c>
      <c r="D2931">
        <v>42.29</v>
      </c>
      <c r="E2931">
        <v>42.37</v>
      </c>
      <c r="F2931">
        <v>1796000</v>
      </c>
      <c r="G2931">
        <v>42.37</v>
      </c>
    </row>
    <row r="2932" spans="1:7" x14ac:dyDescent="0.25">
      <c r="A2932" s="5">
        <v>20379</v>
      </c>
      <c r="B2932">
        <v>41.35</v>
      </c>
      <c r="C2932">
        <v>42.59</v>
      </c>
      <c r="D2932">
        <v>41.35</v>
      </c>
      <c r="E2932">
        <v>42.59</v>
      </c>
      <c r="F2932">
        <v>1732000</v>
      </c>
      <c r="G2932">
        <v>42.59</v>
      </c>
    </row>
    <row r="2933" spans="1:7" x14ac:dyDescent="0.25">
      <c r="A2933" s="5">
        <v>20372</v>
      </c>
      <c r="B2933">
        <v>41.15</v>
      </c>
      <c r="C2933">
        <v>41.52</v>
      </c>
      <c r="D2933">
        <v>40.799999999999997</v>
      </c>
      <c r="E2933">
        <v>41.22</v>
      </c>
      <c r="F2933">
        <v>2442000</v>
      </c>
      <c r="G2933">
        <v>41.22</v>
      </c>
    </row>
    <row r="2934" spans="1:7" x14ac:dyDescent="0.25">
      <c r="A2934" s="5">
        <v>20365</v>
      </c>
      <c r="B2934">
        <v>42.49</v>
      </c>
      <c r="C2934">
        <v>42.99</v>
      </c>
      <c r="D2934">
        <v>42.38</v>
      </c>
      <c r="E2934">
        <v>42.38</v>
      </c>
      <c r="F2934">
        <v>2100000</v>
      </c>
      <c r="G2934">
        <v>42.38</v>
      </c>
    </row>
    <row r="2935" spans="1:7" x14ac:dyDescent="0.25">
      <c r="A2935" s="5">
        <v>20358</v>
      </c>
      <c r="B2935">
        <v>42.61</v>
      </c>
      <c r="C2935">
        <v>44.31</v>
      </c>
      <c r="D2935">
        <v>42.61</v>
      </c>
      <c r="E2935">
        <v>43.67</v>
      </c>
      <c r="F2935">
        <v>4340000</v>
      </c>
      <c r="G2935">
        <v>43.67</v>
      </c>
    </row>
    <row r="2936" spans="1:7" x14ac:dyDescent="0.25">
      <c r="A2936" s="5">
        <v>20351</v>
      </c>
      <c r="B2936">
        <v>45.16</v>
      </c>
      <c r="C2936">
        <v>45.63</v>
      </c>
      <c r="D2936">
        <v>45.13</v>
      </c>
      <c r="E2936">
        <v>45.63</v>
      </c>
      <c r="F2936">
        <v>2406000</v>
      </c>
      <c r="G2936">
        <v>45.63</v>
      </c>
    </row>
    <row r="2937" spans="1:7" x14ac:dyDescent="0.25">
      <c r="A2937" s="5">
        <v>20344</v>
      </c>
      <c r="B2937">
        <v>44.19</v>
      </c>
      <c r="C2937">
        <v>45.09</v>
      </c>
      <c r="D2937">
        <v>44.19</v>
      </c>
      <c r="E2937">
        <v>45.09</v>
      </c>
      <c r="F2937">
        <v>2620000</v>
      </c>
      <c r="G2937">
        <v>45.09</v>
      </c>
    </row>
    <row r="2938" spans="1:7" x14ac:dyDescent="0.25">
      <c r="A2938" s="5">
        <v>20338</v>
      </c>
      <c r="B2938">
        <v>43.86</v>
      </c>
      <c r="C2938">
        <v>43.89</v>
      </c>
      <c r="D2938">
        <v>43.85</v>
      </c>
      <c r="E2938">
        <v>43.89</v>
      </c>
      <c r="F2938">
        <v>2422500</v>
      </c>
      <c r="G2938">
        <v>43.89</v>
      </c>
    </row>
    <row r="2939" spans="1:7" x14ac:dyDescent="0.25">
      <c r="A2939" s="5">
        <v>20330</v>
      </c>
      <c r="B2939">
        <v>42.96</v>
      </c>
      <c r="C2939">
        <v>43.6</v>
      </c>
      <c r="D2939">
        <v>42.92</v>
      </c>
      <c r="E2939">
        <v>43.6</v>
      </c>
      <c r="F2939">
        <v>1812000</v>
      </c>
      <c r="G2939">
        <v>43.6</v>
      </c>
    </row>
    <row r="2940" spans="1:7" x14ac:dyDescent="0.25">
      <c r="A2940" s="5">
        <v>20323</v>
      </c>
      <c r="B2940">
        <v>41.98</v>
      </c>
      <c r="C2940">
        <v>42.99</v>
      </c>
      <c r="D2940">
        <v>41.98</v>
      </c>
      <c r="E2940">
        <v>42.99</v>
      </c>
      <c r="F2940">
        <v>1956000</v>
      </c>
      <c r="G2940">
        <v>42.99</v>
      </c>
    </row>
    <row r="2941" spans="1:7" x14ac:dyDescent="0.25">
      <c r="A2941" s="5">
        <v>20316</v>
      </c>
      <c r="B2941">
        <v>42.17</v>
      </c>
      <c r="C2941">
        <v>42.17</v>
      </c>
      <c r="D2941">
        <v>41.84</v>
      </c>
      <c r="E2941">
        <v>42.02</v>
      </c>
      <c r="F2941">
        <v>1456000</v>
      </c>
      <c r="G2941">
        <v>42.02</v>
      </c>
    </row>
    <row r="2942" spans="1:7" x14ac:dyDescent="0.25">
      <c r="A2942" s="5">
        <v>20309</v>
      </c>
      <c r="B2942">
        <v>42.31</v>
      </c>
      <c r="C2942">
        <v>42.31</v>
      </c>
      <c r="D2942">
        <v>41.74</v>
      </c>
      <c r="E2942">
        <v>42.21</v>
      </c>
      <c r="F2942">
        <v>1740000</v>
      </c>
      <c r="G2942">
        <v>42.21</v>
      </c>
    </row>
    <row r="2943" spans="1:7" x14ac:dyDescent="0.25">
      <c r="A2943" s="5">
        <v>20302</v>
      </c>
      <c r="B2943">
        <v>42.93</v>
      </c>
      <c r="C2943">
        <v>43.09</v>
      </c>
      <c r="D2943">
        <v>42.36</v>
      </c>
      <c r="E2943">
        <v>42.56</v>
      </c>
      <c r="F2943">
        <v>2108000</v>
      </c>
      <c r="G2943">
        <v>42.56</v>
      </c>
    </row>
    <row r="2944" spans="1:7" x14ac:dyDescent="0.25">
      <c r="A2944" s="5">
        <v>20295</v>
      </c>
      <c r="B2944">
        <v>43.48</v>
      </c>
      <c r="C2944">
        <v>43.76</v>
      </c>
      <c r="D2944">
        <v>43.48</v>
      </c>
      <c r="E2944">
        <v>43.52</v>
      </c>
      <c r="F2944">
        <v>2234000</v>
      </c>
      <c r="G2944">
        <v>43.52</v>
      </c>
    </row>
    <row r="2945" spans="1:7" x14ac:dyDescent="0.25">
      <c r="A2945" s="5">
        <v>20288</v>
      </c>
      <c r="B2945">
        <v>42.36</v>
      </c>
      <c r="C2945">
        <v>43</v>
      </c>
      <c r="D2945">
        <v>42.1</v>
      </c>
      <c r="E2945">
        <v>43</v>
      </c>
      <c r="F2945">
        <v>2314000</v>
      </c>
      <c r="G2945">
        <v>43</v>
      </c>
    </row>
    <row r="2946" spans="1:7" x14ac:dyDescent="0.25">
      <c r="A2946" s="5">
        <v>20281</v>
      </c>
      <c r="B2946">
        <v>42.75</v>
      </c>
      <c r="C2946">
        <v>42.75</v>
      </c>
      <c r="D2946">
        <v>42.24</v>
      </c>
      <c r="E2946">
        <v>42.4</v>
      </c>
      <c r="F2946">
        <v>2324000</v>
      </c>
      <c r="G2946">
        <v>42.4</v>
      </c>
    </row>
    <row r="2947" spans="1:7" x14ac:dyDescent="0.25">
      <c r="A2947" s="5">
        <v>20275</v>
      </c>
      <c r="B2947">
        <v>41.69</v>
      </c>
      <c r="C2947">
        <v>43.18</v>
      </c>
      <c r="D2947">
        <v>41.69</v>
      </c>
      <c r="E2947">
        <v>42.64</v>
      </c>
      <c r="F2947">
        <v>2892500</v>
      </c>
      <c r="G2947">
        <v>42.64</v>
      </c>
    </row>
    <row r="2948" spans="1:7" x14ac:dyDescent="0.25">
      <c r="A2948" s="5">
        <v>20267</v>
      </c>
      <c r="B2948">
        <v>40.99</v>
      </c>
      <c r="C2948">
        <v>41.19</v>
      </c>
      <c r="D2948">
        <v>40.770000000000003</v>
      </c>
      <c r="E2948">
        <v>41.19</v>
      </c>
      <c r="F2948">
        <v>2304000</v>
      </c>
      <c r="G2948">
        <v>41.19</v>
      </c>
    </row>
    <row r="2949" spans="1:7" x14ac:dyDescent="0.25">
      <c r="A2949" s="5">
        <v>20260</v>
      </c>
      <c r="B2949">
        <v>40.14</v>
      </c>
      <c r="C2949">
        <v>40.96</v>
      </c>
      <c r="D2949">
        <v>40.14</v>
      </c>
      <c r="E2949">
        <v>40.96</v>
      </c>
      <c r="F2949">
        <v>2706000</v>
      </c>
      <c r="G2949">
        <v>40.96</v>
      </c>
    </row>
    <row r="2950" spans="1:7" x14ac:dyDescent="0.25">
      <c r="A2950" s="5">
        <v>20253</v>
      </c>
      <c r="B2950">
        <v>39.619999999999997</v>
      </c>
      <c r="C2950">
        <v>40.1</v>
      </c>
      <c r="D2950">
        <v>39.619999999999997</v>
      </c>
      <c r="E2950">
        <v>40.1</v>
      </c>
      <c r="F2950">
        <v>2676000</v>
      </c>
      <c r="G2950">
        <v>40.1</v>
      </c>
    </row>
    <row r="2951" spans="1:7" x14ac:dyDescent="0.25">
      <c r="A2951" s="5">
        <v>20246</v>
      </c>
      <c r="B2951">
        <v>39.69</v>
      </c>
      <c r="C2951">
        <v>39.96</v>
      </c>
      <c r="D2951">
        <v>39.01</v>
      </c>
      <c r="E2951">
        <v>39.25</v>
      </c>
      <c r="F2951">
        <v>2904000</v>
      </c>
      <c r="G2951">
        <v>39.25</v>
      </c>
    </row>
    <row r="2952" spans="1:7" x14ac:dyDescent="0.25">
      <c r="A2952" s="5">
        <v>20240</v>
      </c>
      <c r="B2952">
        <v>37.909999999999997</v>
      </c>
      <c r="C2952">
        <v>38.369999999999997</v>
      </c>
      <c r="D2952">
        <v>37.909999999999997</v>
      </c>
      <c r="E2952">
        <v>38.369999999999997</v>
      </c>
      <c r="F2952">
        <v>2425000</v>
      </c>
      <c r="G2952">
        <v>38.369999999999997</v>
      </c>
    </row>
    <row r="2953" spans="1:7" x14ac:dyDescent="0.25">
      <c r="A2953" s="5">
        <v>20232</v>
      </c>
      <c r="B2953">
        <v>37.479999999999997</v>
      </c>
      <c r="C2953">
        <v>37.93</v>
      </c>
      <c r="D2953">
        <v>37.46</v>
      </c>
      <c r="E2953">
        <v>37.93</v>
      </c>
      <c r="F2953">
        <v>2026000</v>
      </c>
      <c r="G2953">
        <v>37.93</v>
      </c>
    </row>
    <row r="2954" spans="1:7" x14ac:dyDescent="0.25">
      <c r="A2954" s="5">
        <v>20225</v>
      </c>
      <c r="B2954">
        <v>37.020000000000003</v>
      </c>
      <c r="C2954">
        <v>37.74</v>
      </c>
      <c r="D2954">
        <v>36.97</v>
      </c>
      <c r="E2954">
        <v>37.74</v>
      </c>
      <c r="F2954">
        <v>2138000</v>
      </c>
      <c r="G2954">
        <v>37.74</v>
      </c>
    </row>
    <row r="2955" spans="1:7" x14ac:dyDescent="0.25">
      <c r="A2955" s="5">
        <v>20218</v>
      </c>
      <c r="B2955">
        <v>37.93</v>
      </c>
      <c r="C2955">
        <v>37.93</v>
      </c>
      <c r="D2955">
        <v>37.200000000000003</v>
      </c>
      <c r="E2955">
        <v>37.44</v>
      </c>
      <c r="F2955">
        <v>2210000</v>
      </c>
      <c r="G2955">
        <v>37.44</v>
      </c>
    </row>
    <row r="2956" spans="1:7" x14ac:dyDescent="0.25">
      <c r="A2956" s="5">
        <v>20211</v>
      </c>
      <c r="B2956">
        <v>38.04</v>
      </c>
      <c r="C2956">
        <v>38.04</v>
      </c>
      <c r="D2956">
        <v>37.64</v>
      </c>
      <c r="E2956">
        <v>37.89</v>
      </c>
      <c r="F2956">
        <v>2318000</v>
      </c>
      <c r="G2956">
        <v>37.89</v>
      </c>
    </row>
    <row r="2957" spans="1:7" x14ac:dyDescent="0.25">
      <c r="A2957" s="5">
        <v>20204</v>
      </c>
      <c r="B2957">
        <v>38.11</v>
      </c>
      <c r="C2957">
        <v>38.31</v>
      </c>
      <c r="D2957">
        <v>37.68</v>
      </c>
      <c r="E2957">
        <v>37.96</v>
      </c>
      <c r="F2957">
        <v>2576000</v>
      </c>
      <c r="G2957">
        <v>37.96</v>
      </c>
    </row>
    <row r="2958" spans="1:7" x14ac:dyDescent="0.25">
      <c r="A2958" s="5">
        <v>20197</v>
      </c>
      <c r="B2958">
        <v>38.270000000000003</v>
      </c>
      <c r="C2958">
        <v>38.32</v>
      </c>
      <c r="D2958">
        <v>38.01</v>
      </c>
      <c r="E2958">
        <v>38.01</v>
      </c>
      <c r="F2958">
        <v>2896000</v>
      </c>
      <c r="G2958">
        <v>38.01</v>
      </c>
    </row>
    <row r="2959" spans="1:7" x14ac:dyDescent="0.25">
      <c r="A2959" s="5">
        <v>20190</v>
      </c>
      <c r="B2959">
        <v>37.44</v>
      </c>
      <c r="C2959">
        <v>37.96</v>
      </c>
      <c r="D2959">
        <v>37.44</v>
      </c>
      <c r="E2959">
        <v>37.96</v>
      </c>
      <c r="F2959">
        <v>2868000</v>
      </c>
      <c r="G2959">
        <v>37.96</v>
      </c>
    </row>
    <row r="2960" spans="1:7" x14ac:dyDescent="0.25">
      <c r="A2960" s="5">
        <v>20183</v>
      </c>
      <c r="B2960">
        <v>36.83</v>
      </c>
      <c r="C2960">
        <v>37.340000000000003</v>
      </c>
      <c r="D2960">
        <v>36.83</v>
      </c>
      <c r="E2960">
        <v>37.340000000000003</v>
      </c>
      <c r="F2960">
        <v>2357500</v>
      </c>
      <c r="G2960">
        <v>37.340000000000003</v>
      </c>
    </row>
    <row r="2961" spans="1:7" x14ac:dyDescent="0.25">
      <c r="A2961" s="5">
        <v>20176</v>
      </c>
      <c r="B2961">
        <v>36.83</v>
      </c>
      <c r="C2961">
        <v>36.950000000000003</v>
      </c>
      <c r="D2961">
        <v>36.520000000000003</v>
      </c>
      <c r="E2961">
        <v>36.950000000000003</v>
      </c>
      <c r="F2961">
        <v>2812000</v>
      </c>
      <c r="G2961">
        <v>36.950000000000003</v>
      </c>
    </row>
    <row r="2962" spans="1:7" x14ac:dyDescent="0.25">
      <c r="A2962" s="5">
        <v>20169</v>
      </c>
      <c r="B2962">
        <v>35.950000000000003</v>
      </c>
      <c r="C2962">
        <v>36.96</v>
      </c>
      <c r="D2962">
        <v>35.950000000000003</v>
      </c>
      <c r="E2962">
        <v>36.96</v>
      </c>
      <c r="F2962">
        <v>2474000</v>
      </c>
      <c r="G2962">
        <v>36.96</v>
      </c>
    </row>
    <row r="2963" spans="1:7" x14ac:dyDescent="0.25">
      <c r="A2963" s="5">
        <v>20162</v>
      </c>
      <c r="B2963">
        <v>34.96</v>
      </c>
      <c r="C2963">
        <v>36.18</v>
      </c>
      <c r="D2963">
        <v>34.96</v>
      </c>
      <c r="E2963">
        <v>36.18</v>
      </c>
      <c r="F2963">
        <v>2906000</v>
      </c>
      <c r="G2963">
        <v>36.18</v>
      </c>
    </row>
    <row r="2964" spans="1:7" x14ac:dyDescent="0.25">
      <c r="A2964" s="5">
        <v>20155</v>
      </c>
      <c r="B2964">
        <v>37.28</v>
      </c>
      <c r="C2964">
        <v>37.28</v>
      </c>
      <c r="D2964">
        <v>35.82</v>
      </c>
      <c r="E2964">
        <v>35.82</v>
      </c>
      <c r="F2964">
        <v>3036000</v>
      </c>
      <c r="G2964">
        <v>35.82</v>
      </c>
    </row>
    <row r="2965" spans="1:7" x14ac:dyDescent="0.25">
      <c r="A2965" s="5">
        <v>20148</v>
      </c>
      <c r="B2965">
        <v>36.76</v>
      </c>
      <c r="C2965">
        <v>37.520000000000003</v>
      </c>
      <c r="D2965">
        <v>36.76</v>
      </c>
      <c r="E2965">
        <v>37.520000000000003</v>
      </c>
      <c r="F2965">
        <v>2984000</v>
      </c>
      <c r="G2965">
        <v>37.520000000000003</v>
      </c>
    </row>
    <row r="2966" spans="1:7" x14ac:dyDescent="0.25">
      <c r="A2966" s="5">
        <v>20141</v>
      </c>
      <c r="B2966">
        <v>36.85</v>
      </c>
      <c r="C2966">
        <v>36.85</v>
      </c>
      <c r="D2966">
        <v>36.57</v>
      </c>
      <c r="E2966">
        <v>36.57</v>
      </c>
      <c r="F2966">
        <v>2875000</v>
      </c>
      <c r="G2966">
        <v>36.57</v>
      </c>
    </row>
    <row r="2967" spans="1:7" x14ac:dyDescent="0.25">
      <c r="A2967" s="5">
        <v>20134</v>
      </c>
      <c r="B2967">
        <v>36.89</v>
      </c>
      <c r="C2967">
        <v>36.89</v>
      </c>
      <c r="D2967">
        <v>36.770000000000003</v>
      </c>
      <c r="E2967">
        <v>36.89</v>
      </c>
      <c r="F2967">
        <v>3362000</v>
      </c>
      <c r="G2967">
        <v>36.89</v>
      </c>
    </row>
    <row r="2968" spans="1:7" x14ac:dyDescent="0.25">
      <c r="A2968" s="5">
        <v>20127</v>
      </c>
      <c r="B2968">
        <v>36.96</v>
      </c>
      <c r="C2968">
        <v>37.15</v>
      </c>
      <c r="D2968">
        <v>36.46</v>
      </c>
      <c r="E2968">
        <v>37.15</v>
      </c>
      <c r="F2968">
        <v>3418000</v>
      </c>
      <c r="G2968">
        <v>37.15</v>
      </c>
    </row>
    <row r="2969" spans="1:7" x14ac:dyDescent="0.25">
      <c r="A2969" s="5">
        <v>20120</v>
      </c>
      <c r="B2969">
        <v>36.630000000000003</v>
      </c>
      <c r="C2969">
        <v>36.96</v>
      </c>
      <c r="D2969">
        <v>36.44</v>
      </c>
      <c r="E2969">
        <v>36.96</v>
      </c>
      <c r="F2969">
        <v>3258000</v>
      </c>
      <c r="G2969">
        <v>36.96</v>
      </c>
    </row>
    <row r="2970" spans="1:7" x14ac:dyDescent="0.25">
      <c r="A2970" s="5">
        <v>20113</v>
      </c>
      <c r="B2970">
        <v>35.520000000000003</v>
      </c>
      <c r="C2970">
        <v>36.19</v>
      </c>
      <c r="D2970">
        <v>35.51</v>
      </c>
      <c r="E2970">
        <v>36.19</v>
      </c>
      <c r="F2970">
        <v>3358000</v>
      </c>
      <c r="G2970">
        <v>36.19</v>
      </c>
    </row>
    <row r="2971" spans="1:7" x14ac:dyDescent="0.25">
      <c r="A2971" s="5">
        <v>20106</v>
      </c>
      <c r="B2971">
        <v>34.58</v>
      </c>
      <c r="C2971">
        <v>35.44</v>
      </c>
      <c r="D2971">
        <v>34.58</v>
      </c>
      <c r="E2971">
        <v>35.44</v>
      </c>
      <c r="F2971">
        <v>2808000</v>
      </c>
      <c r="G2971">
        <v>35.44</v>
      </c>
    </row>
    <row r="2972" spans="1:7" x14ac:dyDescent="0.25">
      <c r="A2972" s="5">
        <v>20099</v>
      </c>
      <c r="B2972">
        <v>35.79</v>
      </c>
      <c r="C2972">
        <v>35.79</v>
      </c>
      <c r="D2972">
        <v>35.28</v>
      </c>
      <c r="E2972">
        <v>35.28</v>
      </c>
      <c r="F2972">
        <v>3472000</v>
      </c>
      <c r="G2972">
        <v>35.28</v>
      </c>
    </row>
    <row r="2973" spans="1:7" x14ac:dyDescent="0.25">
      <c r="A2973" s="5">
        <v>20092</v>
      </c>
      <c r="B2973">
        <v>36.75</v>
      </c>
      <c r="C2973">
        <v>36.75</v>
      </c>
      <c r="D2973">
        <v>35.04</v>
      </c>
      <c r="E2973">
        <v>35.33</v>
      </c>
      <c r="F2973">
        <v>4592000</v>
      </c>
      <c r="G2973">
        <v>35.33</v>
      </c>
    </row>
    <row r="2974" spans="1:7" x14ac:dyDescent="0.25">
      <c r="A2974" s="5">
        <v>20085</v>
      </c>
      <c r="B2974">
        <v>35.07</v>
      </c>
      <c r="C2974">
        <v>35.979999999999997</v>
      </c>
      <c r="D2974">
        <v>35.07</v>
      </c>
      <c r="E2974">
        <v>35.979999999999997</v>
      </c>
      <c r="F2974">
        <v>3698000</v>
      </c>
      <c r="G2974">
        <v>35.979999999999997</v>
      </c>
    </row>
    <row r="2975" spans="1:7" x14ac:dyDescent="0.25">
      <c r="A2975" s="5">
        <v>20078</v>
      </c>
      <c r="B2975">
        <v>35.33</v>
      </c>
      <c r="C2975">
        <v>35.380000000000003</v>
      </c>
      <c r="D2975">
        <v>35.33</v>
      </c>
      <c r="E2975">
        <v>35.369999999999997</v>
      </c>
      <c r="F2975">
        <v>3542500</v>
      </c>
      <c r="G2975">
        <v>35.369999999999997</v>
      </c>
    </row>
    <row r="2976" spans="1:7" x14ac:dyDescent="0.25">
      <c r="A2976" s="5">
        <v>20071</v>
      </c>
      <c r="B2976">
        <v>34.590000000000003</v>
      </c>
      <c r="C2976">
        <v>35.92</v>
      </c>
      <c r="D2976">
        <v>34.35</v>
      </c>
      <c r="E2976">
        <v>35.92</v>
      </c>
      <c r="F2976">
        <v>3052000</v>
      </c>
      <c r="G2976">
        <v>35.92</v>
      </c>
    </row>
    <row r="2977" spans="1:7" x14ac:dyDescent="0.25">
      <c r="A2977" s="5">
        <v>20064</v>
      </c>
      <c r="B2977">
        <v>34.76</v>
      </c>
      <c r="C2977">
        <v>34.92</v>
      </c>
      <c r="D2977">
        <v>34.56</v>
      </c>
      <c r="E2977">
        <v>34.56</v>
      </c>
      <c r="F2977">
        <v>3696000</v>
      </c>
      <c r="G2977">
        <v>34.56</v>
      </c>
    </row>
    <row r="2978" spans="1:7" x14ac:dyDescent="0.25">
      <c r="A2978" s="5">
        <v>20057</v>
      </c>
      <c r="B2978">
        <v>34.54</v>
      </c>
      <c r="C2978">
        <v>34.54</v>
      </c>
      <c r="D2978">
        <v>33.99</v>
      </c>
      <c r="E2978">
        <v>34.49</v>
      </c>
      <c r="F2978">
        <v>3364000</v>
      </c>
      <c r="G2978">
        <v>34.49</v>
      </c>
    </row>
    <row r="2979" spans="1:7" x14ac:dyDescent="0.25">
      <c r="A2979" s="5">
        <v>20050</v>
      </c>
      <c r="B2979">
        <v>33.58</v>
      </c>
      <c r="C2979">
        <v>34.549999999999997</v>
      </c>
      <c r="D2979">
        <v>33.58</v>
      </c>
      <c r="E2979">
        <v>34.549999999999997</v>
      </c>
      <c r="F2979">
        <v>3422500</v>
      </c>
      <c r="G2979">
        <v>34.549999999999997</v>
      </c>
    </row>
    <row r="2980" spans="1:7" x14ac:dyDescent="0.25">
      <c r="A2980" s="5">
        <v>20043</v>
      </c>
      <c r="B2980">
        <v>33.47</v>
      </c>
      <c r="C2980">
        <v>33.630000000000003</v>
      </c>
      <c r="D2980">
        <v>33.44</v>
      </c>
      <c r="E2980">
        <v>33.450000000000003</v>
      </c>
      <c r="F2980">
        <v>3366000</v>
      </c>
      <c r="G2980">
        <v>33.450000000000003</v>
      </c>
    </row>
    <row r="2981" spans="1:7" x14ac:dyDescent="0.25">
      <c r="A2981" s="5">
        <v>20036</v>
      </c>
      <c r="B2981">
        <v>33.020000000000003</v>
      </c>
      <c r="C2981">
        <v>33.54</v>
      </c>
      <c r="D2981">
        <v>33.020000000000003</v>
      </c>
      <c r="E2981">
        <v>33.54</v>
      </c>
      <c r="F2981">
        <v>3034000</v>
      </c>
      <c r="G2981">
        <v>33.54</v>
      </c>
    </row>
    <row r="2982" spans="1:7" x14ac:dyDescent="0.25">
      <c r="A2982" s="5">
        <v>20029</v>
      </c>
      <c r="B2982">
        <v>31.79</v>
      </c>
      <c r="C2982">
        <v>32.82</v>
      </c>
      <c r="D2982">
        <v>31.79</v>
      </c>
      <c r="E2982">
        <v>32.71</v>
      </c>
      <c r="F2982">
        <v>2645000</v>
      </c>
      <c r="G2982">
        <v>32.71</v>
      </c>
    </row>
    <row r="2983" spans="1:7" x14ac:dyDescent="0.25">
      <c r="A2983" s="5">
        <v>20022</v>
      </c>
      <c r="B2983">
        <v>31.96</v>
      </c>
      <c r="C2983">
        <v>32.020000000000003</v>
      </c>
      <c r="D2983">
        <v>31.68</v>
      </c>
      <c r="E2983">
        <v>31.68</v>
      </c>
      <c r="F2983">
        <v>2094000</v>
      </c>
      <c r="G2983">
        <v>31.68</v>
      </c>
    </row>
    <row r="2984" spans="1:7" x14ac:dyDescent="0.25">
      <c r="A2984" s="5">
        <v>20015</v>
      </c>
      <c r="B2984">
        <v>31.83</v>
      </c>
      <c r="C2984">
        <v>32.17</v>
      </c>
      <c r="D2984">
        <v>31.83</v>
      </c>
      <c r="E2984">
        <v>32.130000000000003</v>
      </c>
      <c r="F2984">
        <v>2094000</v>
      </c>
      <c r="G2984">
        <v>32.130000000000003</v>
      </c>
    </row>
    <row r="2985" spans="1:7" x14ac:dyDescent="0.25">
      <c r="A2985" s="5">
        <v>20008</v>
      </c>
      <c r="B2985">
        <v>32.409999999999997</v>
      </c>
      <c r="C2985">
        <v>32.409999999999997</v>
      </c>
      <c r="D2985">
        <v>31.71</v>
      </c>
      <c r="E2985">
        <v>31.71</v>
      </c>
      <c r="F2985">
        <v>2116000</v>
      </c>
      <c r="G2985">
        <v>31.71</v>
      </c>
    </row>
    <row r="2986" spans="1:7" x14ac:dyDescent="0.25">
      <c r="A2986" s="5">
        <v>20001</v>
      </c>
      <c r="B2986">
        <v>32.47</v>
      </c>
      <c r="C2986">
        <v>32.76</v>
      </c>
      <c r="D2986">
        <v>32.47</v>
      </c>
      <c r="E2986">
        <v>32.67</v>
      </c>
      <c r="F2986">
        <v>2160000</v>
      </c>
      <c r="G2986">
        <v>32.67</v>
      </c>
    </row>
    <row r="2987" spans="1:7" x14ac:dyDescent="0.25">
      <c r="A2987" s="5">
        <v>19994</v>
      </c>
      <c r="B2987">
        <v>32.53</v>
      </c>
      <c r="C2987">
        <v>32.69</v>
      </c>
      <c r="D2987">
        <v>32.29</v>
      </c>
      <c r="E2987">
        <v>32.29</v>
      </c>
      <c r="F2987">
        <v>1898000</v>
      </c>
      <c r="G2987">
        <v>32.29</v>
      </c>
    </row>
    <row r="2988" spans="1:7" x14ac:dyDescent="0.25">
      <c r="A2988" s="5">
        <v>19987</v>
      </c>
      <c r="B2988">
        <v>31.57</v>
      </c>
      <c r="C2988">
        <v>32.4</v>
      </c>
      <c r="D2988">
        <v>31.57</v>
      </c>
      <c r="E2988">
        <v>32.4</v>
      </c>
      <c r="F2988">
        <v>2154000</v>
      </c>
      <c r="G2988">
        <v>32.4</v>
      </c>
    </row>
    <row r="2989" spans="1:7" x14ac:dyDescent="0.25">
      <c r="A2989" s="5">
        <v>19980</v>
      </c>
      <c r="B2989">
        <v>31.12</v>
      </c>
      <c r="C2989">
        <v>31.71</v>
      </c>
      <c r="D2989">
        <v>31.12</v>
      </c>
      <c r="E2989">
        <v>31.71</v>
      </c>
      <c r="F2989">
        <v>2078000</v>
      </c>
      <c r="G2989">
        <v>31.71</v>
      </c>
    </row>
    <row r="2990" spans="1:7" x14ac:dyDescent="0.25">
      <c r="A2990" s="5">
        <v>19974</v>
      </c>
      <c r="B2990">
        <v>30.66</v>
      </c>
      <c r="C2990">
        <v>30.84</v>
      </c>
      <c r="D2990">
        <v>30.66</v>
      </c>
      <c r="E2990">
        <v>30.84</v>
      </c>
      <c r="F2990">
        <v>1850000</v>
      </c>
      <c r="G2990">
        <v>30.84</v>
      </c>
    </row>
    <row r="2991" spans="1:7" x14ac:dyDescent="0.25">
      <c r="A2991" s="5">
        <v>19966</v>
      </c>
      <c r="B2991">
        <v>30.35</v>
      </c>
      <c r="C2991">
        <v>30.5</v>
      </c>
      <c r="D2991">
        <v>29.83</v>
      </c>
      <c r="E2991">
        <v>30.5</v>
      </c>
      <c r="F2991">
        <v>1922000</v>
      </c>
      <c r="G2991">
        <v>30.5</v>
      </c>
    </row>
    <row r="2992" spans="1:7" x14ac:dyDescent="0.25">
      <c r="A2992" s="5">
        <v>19959</v>
      </c>
      <c r="B2992">
        <v>31</v>
      </c>
      <c r="C2992">
        <v>31</v>
      </c>
      <c r="D2992">
        <v>30.57</v>
      </c>
      <c r="E2992">
        <v>30.66</v>
      </c>
      <c r="F2992">
        <v>2020000</v>
      </c>
      <c r="G2992">
        <v>30.66</v>
      </c>
    </row>
    <row r="2993" spans="1:7" x14ac:dyDescent="0.25">
      <c r="A2993" s="5">
        <v>19952</v>
      </c>
      <c r="B2993">
        <v>31.05</v>
      </c>
      <c r="C2993">
        <v>31.21</v>
      </c>
      <c r="D2993">
        <v>31.05</v>
      </c>
      <c r="E2993">
        <v>31.21</v>
      </c>
      <c r="F2993">
        <v>2496000</v>
      </c>
      <c r="G2993">
        <v>31.21</v>
      </c>
    </row>
    <row r="2994" spans="1:7" x14ac:dyDescent="0.25">
      <c r="A2994" s="5">
        <v>19945</v>
      </c>
      <c r="B2994">
        <v>30.12</v>
      </c>
      <c r="C2994">
        <v>30.72</v>
      </c>
      <c r="D2994">
        <v>30.12</v>
      </c>
      <c r="E2994">
        <v>30.72</v>
      </c>
      <c r="F2994">
        <v>2758000</v>
      </c>
      <c r="G2994">
        <v>30.72</v>
      </c>
    </row>
    <row r="2995" spans="1:7" x14ac:dyDescent="0.25">
      <c r="A2995" s="5">
        <v>19938</v>
      </c>
      <c r="B2995">
        <v>30.99</v>
      </c>
      <c r="C2995">
        <v>30.99</v>
      </c>
      <c r="D2995">
        <v>30.38</v>
      </c>
      <c r="E2995">
        <v>30.38</v>
      </c>
      <c r="F2995">
        <v>3188000</v>
      </c>
      <c r="G2995">
        <v>30.38</v>
      </c>
    </row>
    <row r="2996" spans="1:7" x14ac:dyDescent="0.25">
      <c r="A2996" s="5">
        <v>19931</v>
      </c>
      <c r="B2996">
        <v>30.34</v>
      </c>
      <c r="C2996">
        <v>30.88</v>
      </c>
      <c r="D2996">
        <v>30.34</v>
      </c>
      <c r="E2996">
        <v>30.88</v>
      </c>
      <c r="F2996">
        <v>2610000</v>
      </c>
      <c r="G2996">
        <v>30.88</v>
      </c>
    </row>
    <row r="2997" spans="1:7" x14ac:dyDescent="0.25">
      <c r="A2997" s="5">
        <v>19924</v>
      </c>
      <c r="B2997">
        <v>29.98</v>
      </c>
      <c r="C2997">
        <v>30.31</v>
      </c>
      <c r="D2997">
        <v>29.84</v>
      </c>
      <c r="E2997">
        <v>30.31</v>
      </c>
      <c r="F2997">
        <v>2574000</v>
      </c>
      <c r="G2997">
        <v>30.31</v>
      </c>
    </row>
    <row r="2998" spans="1:7" x14ac:dyDescent="0.25">
      <c r="A2998" s="5">
        <v>19917</v>
      </c>
      <c r="B2998">
        <v>30.12</v>
      </c>
      <c r="C2998">
        <v>30.19</v>
      </c>
      <c r="D2998">
        <v>30.02</v>
      </c>
      <c r="E2998">
        <v>30.06</v>
      </c>
      <c r="F2998">
        <v>2564000</v>
      </c>
      <c r="G2998">
        <v>30.06</v>
      </c>
    </row>
    <row r="2999" spans="1:7" x14ac:dyDescent="0.25">
      <c r="A2999" s="5">
        <v>19911</v>
      </c>
      <c r="B2999">
        <v>29.92</v>
      </c>
      <c r="C2999">
        <v>30.14</v>
      </c>
      <c r="D2999">
        <v>29.92</v>
      </c>
      <c r="E2999">
        <v>30.14</v>
      </c>
      <c r="F2999">
        <v>2315000</v>
      </c>
      <c r="G2999">
        <v>30.14</v>
      </c>
    </row>
    <row r="3000" spans="1:7" x14ac:dyDescent="0.25">
      <c r="A3000" s="5">
        <v>19903</v>
      </c>
      <c r="B3000">
        <v>29.28</v>
      </c>
      <c r="C3000">
        <v>29.59</v>
      </c>
      <c r="D3000">
        <v>29.21</v>
      </c>
      <c r="E3000">
        <v>29.59</v>
      </c>
      <c r="F3000">
        <v>2052000</v>
      </c>
      <c r="G3000">
        <v>29.59</v>
      </c>
    </row>
    <row r="3001" spans="1:7" x14ac:dyDescent="0.25">
      <c r="A3001" s="5">
        <v>19896</v>
      </c>
      <c r="B3001">
        <v>29.06</v>
      </c>
      <c r="C3001">
        <v>29.26</v>
      </c>
      <c r="D3001">
        <v>29.06</v>
      </c>
      <c r="E3001">
        <v>29.2</v>
      </c>
      <c r="F3001">
        <v>2066000</v>
      </c>
      <c r="G3001">
        <v>29.2</v>
      </c>
    </row>
    <row r="3002" spans="1:7" x14ac:dyDescent="0.25">
      <c r="A3002" s="5">
        <v>19889</v>
      </c>
      <c r="B3002">
        <v>28.62</v>
      </c>
      <c r="C3002">
        <v>29.04</v>
      </c>
      <c r="D3002">
        <v>28.62</v>
      </c>
      <c r="E3002">
        <v>29.04</v>
      </c>
      <c r="F3002">
        <v>1702000</v>
      </c>
      <c r="G3002">
        <v>29.04</v>
      </c>
    </row>
    <row r="3003" spans="1:7" x14ac:dyDescent="0.25">
      <c r="A3003" s="5">
        <v>19882</v>
      </c>
      <c r="B3003">
        <v>28.99</v>
      </c>
      <c r="C3003">
        <v>28.99</v>
      </c>
      <c r="D3003">
        <v>28.15</v>
      </c>
      <c r="E3003">
        <v>28.58</v>
      </c>
      <c r="F3003">
        <v>1932000</v>
      </c>
      <c r="G3003">
        <v>28.58</v>
      </c>
    </row>
    <row r="3004" spans="1:7" x14ac:dyDescent="0.25">
      <c r="A3004" s="5">
        <v>19876</v>
      </c>
      <c r="B3004">
        <v>29.19</v>
      </c>
      <c r="C3004">
        <v>29.19</v>
      </c>
      <c r="D3004">
        <v>29.1</v>
      </c>
      <c r="E3004">
        <v>29.1</v>
      </c>
      <c r="F3004">
        <v>1827500</v>
      </c>
      <c r="G3004">
        <v>29.1</v>
      </c>
    </row>
    <row r="3005" spans="1:7" x14ac:dyDescent="0.25">
      <c r="A3005" s="5">
        <v>19868</v>
      </c>
      <c r="B3005">
        <v>29</v>
      </c>
      <c r="C3005">
        <v>29.19</v>
      </c>
      <c r="D3005">
        <v>28.93</v>
      </c>
      <c r="E3005">
        <v>29.19</v>
      </c>
      <c r="F3005">
        <v>2146000</v>
      </c>
      <c r="G3005">
        <v>29.19</v>
      </c>
    </row>
    <row r="3006" spans="1:7" x14ac:dyDescent="0.25">
      <c r="A3006" s="5">
        <v>19861</v>
      </c>
      <c r="B3006">
        <v>28.84</v>
      </c>
      <c r="C3006">
        <v>28.99</v>
      </c>
      <c r="D3006">
        <v>28.72</v>
      </c>
      <c r="E3006">
        <v>28.99</v>
      </c>
      <c r="F3006">
        <v>2230000</v>
      </c>
      <c r="G3006">
        <v>28.99</v>
      </c>
    </row>
    <row r="3007" spans="1:7" x14ac:dyDescent="0.25">
      <c r="A3007" s="5">
        <v>19854</v>
      </c>
      <c r="B3007">
        <v>28.62</v>
      </c>
      <c r="C3007">
        <v>28.8</v>
      </c>
      <c r="D3007">
        <v>28.49</v>
      </c>
      <c r="E3007">
        <v>28.8</v>
      </c>
      <c r="F3007">
        <v>2018000</v>
      </c>
      <c r="G3007">
        <v>28.8</v>
      </c>
    </row>
    <row r="3008" spans="1:7" x14ac:dyDescent="0.25">
      <c r="A3008" s="5">
        <v>19847</v>
      </c>
      <c r="B3008">
        <v>28.21</v>
      </c>
      <c r="C3008">
        <v>28.65</v>
      </c>
      <c r="D3008">
        <v>28.21</v>
      </c>
      <c r="E3008">
        <v>28.65</v>
      </c>
      <c r="F3008">
        <v>1986000</v>
      </c>
      <c r="G3008">
        <v>28.65</v>
      </c>
    </row>
    <row r="3009" spans="1:7" x14ac:dyDescent="0.25">
      <c r="A3009" s="5">
        <v>19840</v>
      </c>
      <c r="B3009">
        <v>27.88</v>
      </c>
      <c r="C3009">
        <v>28.26</v>
      </c>
      <c r="D3009">
        <v>27.71</v>
      </c>
      <c r="E3009">
        <v>28.26</v>
      </c>
      <c r="F3009">
        <v>2168000</v>
      </c>
      <c r="G3009">
        <v>28.26</v>
      </c>
    </row>
    <row r="3010" spans="1:7" x14ac:dyDescent="0.25">
      <c r="A3010" s="5">
        <v>19833</v>
      </c>
      <c r="B3010">
        <v>27.76</v>
      </c>
      <c r="C3010">
        <v>27.78</v>
      </c>
      <c r="D3010">
        <v>27.64</v>
      </c>
      <c r="E3010">
        <v>27.78</v>
      </c>
      <c r="F3010">
        <v>1980000</v>
      </c>
      <c r="G3010">
        <v>27.78</v>
      </c>
    </row>
    <row r="3011" spans="1:7" x14ac:dyDescent="0.25">
      <c r="A3011" s="5">
        <v>19826</v>
      </c>
      <c r="B3011">
        <v>27.57</v>
      </c>
      <c r="C3011">
        <v>27.94</v>
      </c>
      <c r="D3011">
        <v>27.57</v>
      </c>
      <c r="E3011">
        <v>27.94</v>
      </c>
      <c r="F3011">
        <v>2085000</v>
      </c>
      <c r="G3011">
        <v>27.94</v>
      </c>
    </row>
    <row r="3012" spans="1:7" x14ac:dyDescent="0.25">
      <c r="A3012" s="5">
        <v>19819</v>
      </c>
      <c r="B3012">
        <v>27.26</v>
      </c>
      <c r="C3012">
        <v>27.38</v>
      </c>
      <c r="D3012">
        <v>27.01</v>
      </c>
      <c r="E3012">
        <v>27.38</v>
      </c>
      <c r="F3012">
        <v>2064000</v>
      </c>
      <c r="G3012">
        <v>27.38</v>
      </c>
    </row>
    <row r="3013" spans="1:7" x14ac:dyDescent="0.25">
      <c r="A3013" s="5">
        <v>19812</v>
      </c>
      <c r="B3013">
        <v>26.66</v>
      </c>
      <c r="C3013">
        <v>27.21</v>
      </c>
      <c r="D3013">
        <v>26.66</v>
      </c>
      <c r="E3013">
        <v>27.21</v>
      </c>
      <c r="F3013">
        <v>2158000</v>
      </c>
      <c r="G3013">
        <v>27.21</v>
      </c>
    </row>
    <row r="3014" spans="1:7" x14ac:dyDescent="0.25">
      <c r="A3014" s="5">
        <v>19805</v>
      </c>
      <c r="B3014">
        <v>26.79</v>
      </c>
      <c r="C3014">
        <v>26.79</v>
      </c>
      <c r="D3014">
        <v>26.42</v>
      </c>
      <c r="E3014">
        <v>26.56</v>
      </c>
      <c r="F3014">
        <v>1830000</v>
      </c>
      <c r="G3014">
        <v>26.56</v>
      </c>
    </row>
    <row r="3015" spans="1:7" x14ac:dyDescent="0.25">
      <c r="A3015" s="5">
        <v>19798</v>
      </c>
      <c r="B3015">
        <v>26.57</v>
      </c>
      <c r="C3015">
        <v>26.81</v>
      </c>
      <c r="D3015">
        <v>26.56</v>
      </c>
      <c r="E3015">
        <v>26.81</v>
      </c>
      <c r="F3015">
        <v>1782000</v>
      </c>
      <c r="G3015">
        <v>26.81</v>
      </c>
    </row>
    <row r="3016" spans="1:7" x14ac:dyDescent="0.25">
      <c r="A3016" s="5">
        <v>19791</v>
      </c>
      <c r="B3016">
        <v>26.45</v>
      </c>
      <c r="C3016">
        <v>26.69</v>
      </c>
      <c r="D3016">
        <v>26.45</v>
      </c>
      <c r="E3016">
        <v>26.69</v>
      </c>
      <c r="F3016">
        <v>1836000</v>
      </c>
      <c r="G3016">
        <v>26.69</v>
      </c>
    </row>
    <row r="3017" spans="1:7" x14ac:dyDescent="0.25">
      <c r="A3017" s="5">
        <v>19784</v>
      </c>
      <c r="B3017">
        <v>26.25</v>
      </c>
      <c r="C3017">
        <v>26.52</v>
      </c>
      <c r="D3017">
        <v>26.25</v>
      </c>
      <c r="E3017">
        <v>26.52</v>
      </c>
      <c r="F3017">
        <v>2024000</v>
      </c>
      <c r="G3017">
        <v>26.52</v>
      </c>
    </row>
    <row r="3018" spans="1:7" x14ac:dyDescent="0.25">
      <c r="A3018" s="5">
        <v>19778</v>
      </c>
      <c r="B3018">
        <v>25.83</v>
      </c>
      <c r="C3018">
        <v>26.15</v>
      </c>
      <c r="D3018">
        <v>25.83</v>
      </c>
      <c r="E3018">
        <v>26.15</v>
      </c>
      <c r="F3018">
        <v>1550000</v>
      </c>
      <c r="G3018">
        <v>26.15</v>
      </c>
    </row>
    <row r="3019" spans="1:7" x14ac:dyDescent="0.25">
      <c r="A3019" s="5">
        <v>19770</v>
      </c>
      <c r="B3019">
        <v>26.04</v>
      </c>
      <c r="C3019">
        <v>26.04</v>
      </c>
      <c r="D3019">
        <v>25.81</v>
      </c>
      <c r="E3019">
        <v>25.92</v>
      </c>
      <c r="F3019">
        <v>1740000</v>
      </c>
      <c r="G3019">
        <v>25.92</v>
      </c>
    </row>
    <row r="3020" spans="1:7" x14ac:dyDescent="0.25">
      <c r="A3020" s="5">
        <v>19763</v>
      </c>
      <c r="B3020">
        <v>26.23</v>
      </c>
      <c r="C3020">
        <v>26.23</v>
      </c>
      <c r="D3020">
        <v>26.06</v>
      </c>
      <c r="E3020">
        <v>26.12</v>
      </c>
      <c r="F3020">
        <v>1888000</v>
      </c>
      <c r="G3020">
        <v>26.12</v>
      </c>
    </row>
    <row r="3021" spans="1:7" x14ac:dyDescent="0.25">
      <c r="A3021" s="5">
        <v>19756</v>
      </c>
      <c r="B3021">
        <v>25.99</v>
      </c>
      <c r="C3021">
        <v>26.3</v>
      </c>
      <c r="D3021">
        <v>25.92</v>
      </c>
      <c r="E3021">
        <v>26.3</v>
      </c>
      <c r="F3021">
        <v>1784000</v>
      </c>
      <c r="G3021">
        <v>26.3</v>
      </c>
    </row>
    <row r="3022" spans="1:7" x14ac:dyDescent="0.25">
      <c r="A3022" s="5">
        <v>19749</v>
      </c>
      <c r="B3022">
        <v>25.93</v>
      </c>
      <c r="C3022">
        <v>26.09</v>
      </c>
      <c r="D3022">
        <v>25.93</v>
      </c>
      <c r="E3022">
        <v>26.08</v>
      </c>
      <c r="F3022">
        <v>1936000</v>
      </c>
      <c r="G3022">
        <v>26.08</v>
      </c>
    </row>
    <row r="3023" spans="1:7" x14ac:dyDescent="0.25">
      <c r="A3023" s="5">
        <v>19742</v>
      </c>
      <c r="B3023">
        <v>25.43</v>
      </c>
      <c r="C3023">
        <v>25.85</v>
      </c>
      <c r="D3023">
        <v>25.43</v>
      </c>
      <c r="E3023">
        <v>25.85</v>
      </c>
      <c r="F3023">
        <v>1810000</v>
      </c>
      <c r="G3023">
        <v>25.85</v>
      </c>
    </row>
    <row r="3024" spans="1:7" x14ac:dyDescent="0.25">
      <c r="A3024" s="5">
        <v>19735</v>
      </c>
      <c r="B3024">
        <v>24.8</v>
      </c>
      <c r="C3024">
        <v>25.43</v>
      </c>
      <c r="D3024">
        <v>24.8</v>
      </c>
      <c r="E3024">
        <v>25.43</v>
      </c>
      <c r="F3024">
        <v>1520000</v>
      </c>
      <c r="G3024">
        <v>25.43</v>
      </c>
    </row>
    <row r="3025" spans="1:7" x14ac:dyDescent="0.25">
      <c r="A3025" s="5">
        <v>19728</v>
      </c>
      <c r="B3025">
        <v>24.95</v>
      </c>
      <c r="C3025">
        <v>25.14</v>
      </c>
      <c r="D3025">
        <v>24.93</v>
      </c>
      <c r="E3025">
        <v>24.93</v>
      </c>
      <c r="F3025">
        <v>1418000</v>
      </c>
      <c r="G3025">
        <v>24.93</v>
      </c>
    </row>
    <row r="3026" spans="1:7" x14ac:dyDescent="0.25">
      <c r="A3026" s="5">
        <v>19721</v>
      </c>
      <c r="B3026">
        <v>24.71</v>
      </c>
      <c r="C3026">
        <v>24.81</v>
      </c>
      <c r="D3026">
        <v>24.55</v>
      </c>
      <c r="E3026">
        <v>24.81</v>
      </c>
      <c r="F3026">
        <v>2062500</v>
      </c>
      <c r="G3026">
        <v>24.81</v>
      </c>
    </row>
    <row r="3027" spans="1:7" x14ac:dyDescent="0.25">
      <c r="A3027" s="5">
        <v>19714</v>
      </c>
      <c r="B3027">
        <v>24.95</v>
      </c>
      <c r="C3027">
        <v>24.95</v>
      </c>
      <c r="D3027">
        <v>24.69</v>
      </c>
      <c r="E3027">
        <v>24.8</v>
      </c>
      <c r="F3027">
        <v>1562500</v>
      </c>
      <c r="G3027">
        <v>24.8</v>
      </c>
    </row>
    <row r="3028" spans="1:7" x14ac:dyDescent="0.25">
      <c r="A3028" s="5">
        <v>19707</v>
      </c>
      <c r="B3028">
        <v>24.69</v>
      </c>
      <c r="C3028">
        <v>24.99</v>
      </c>
      <c r="D3028">
        <v>24.69</v>
      </c>
      <c r="E3028">
        <v>24.99</v>
      </c>
      <c r="F3028">
        <v>1604000</v>
      </c>
      <c r="G3028">
        <v>24.99</v>
      </c>
    </row>
    <row r="3029" spans="1:7" x14ac:dyDescent="0.25">
      <c r="A3029" s="5">
        <v>19700</v>
      </c>
      <c r="B3029">
        <v>24.95</v>
      </c>
      <c r="C3029">
        <v>24.95</v>
      </c>
      <c r="D3029">
        <v>24.76</v>
      </c>
      <c r="E3029">
        <v>24.76</v>
      </c>
      <c r="F3029">
        <v>1414000</v>
      </c>
      <c r="G3029">
        <v>24.76</v>
      </c>
    </row>
    <row r="3030" spans="1:7" x14ac:dyDescent="0.25">
      <c r="A3030" s="5">
        <v>19693</v>
      </c>
      <c r="B3030">
        <v>24.76</v>
      </c>
      <c r="C3030">
        <v>24.98</v>
      </c>
      <c r="D3030">
        <v>24.76</v>
      </c>
      <c r="E3030">
        <v>24.98</v>
      </c>
      <c r="F3030">
        <v>1704000</v>
      </c>
      <c r="G3030">
        <v>24.98</v>
      </c>
    </row>
    <row r="3031" spans="1:7" x14ac:dyDescent="0.25">
      <c r="A3031" s="5">
        <v>19686</v>
      </c>
      <c r="B3031">
        <v>24.36</v>
      </c>
      <c r="C3031">
        <v>24.66</v>
      </c>
      <c r="D3031">
        <v>24.36</v>
      </c>
      <c r="E3031">
        <v>24.66</v>
      </c>
      <c r="F3031">
        <v>1505000</v>
      </c>
      <c r="G3031">
        <v>24.66</v>
      </c>
    </row>
    <row r="3032" spans="1:7" x14ac:dyDescent="0.25">
      <c r="A3032" s="5">
        <v>19679</v>
      </c>
      <c r="B3032">
        <v>24.38</v>
      </c>
      <c r="C3032">
        <v>24.44</v>
      </c>
      <c r="D3032">
        <v>24.25</v>
      </c>
      <c r="E3032">
        <v>24.44</v>
      </c>
      <c r="F3032">
        <v>1342000</v>
      </c>
      <c r="G3032">
        <v>24.44</v>
      </c>
    </row>
    <row r="3033" spans="1:7" x14ac:dyDescent="0.25">
      <c r="A3033" s="5">
        <v>19672</v>
      </c>
      <c r="B3033">
        <v>24.66</v>
      </c>
      <c r="C3033">
        <v>24.66</v>
      </c>
      <c r="D3033">
        <v>24.37</v>
      </c>
      <c r="E3033">
        <v>24.54</v>
      </c>
      <c r="F3033">
        <v>1427500</v>
      </c>
      <c r="G3033">
        <v>24.54</v>
      </c>
    </row>
    <row r="3034" spans="1:7" x14ac:dyDescent="0.25">
      <c r="A3034" s="5">
        <v>19665</v>
      </c>
      <c r="B3034">
        <v>24.66</v>
      </c>
      <c r="C3034">
        <v>24.66</v>
      </c>
      <c r="D3034">
        <v>24.51</v>
      </c>
      <c r="E3034">
        <v>24.61</v>
      </c>
      <c r="F3034">
        <v>1560000</v>
      </c>
      <c r="G3034">
        <v>24.61</v>
      </c>
    </row>
    <row r="3035" spans="1:7" x14ac:dyDescent="0.25">
      <c r="A3035" s="5">
        <v>19658</v>
      </c>
      <c r="B3035">
        <v>24.31</v>
      </c>
      <c r="C3035">
        <v>24.58</v>
      </c>
      <c r="D3035">
        <v>24.26</v>
      </c>
      <c r="E3035">
        <v>24.54</v>
      </c>
      <c r="F3035">
        <v>1356000</v>
      </c>
      <c r="G3035">
        <v>24.54</v>
      </c>
    </row>
    <row r="3036" spans="1:7" x14ac:dyDescent="0.25">
      <c r="A3036" s="5">
        <v>19651</v>
      </c>
      <c r="B3036">
        <v>24.16</v>
      </c>
      <c r="C3036">
        <v>24.35</v>
      </c>
      <c r="D3036">
        <v>24.16</v>
      </c>
      <c r="E3036">
        <v>24.35</v>
      </c>
      <c r="F3036">
        <v>1290000</v>
      </c>
      <c r="G3036">
        <v>24.35</v>
      </c>
    </row>
    <row r="3037" spans="1:7" x14ac:dyDescent="0.25">
      <c r="A3037" s="5">
        <v>19645</v>
      </c>
      <c r="B3037">
        <v>23.57</v>
      </c>
      <c r="C3037">
        <v>24.14</v>
      </c>
      <c r="D3037">
        <v>23.57</v>
      </c>
      <c r="E3037">
        <v>24.14</v>
      </c>
      <c r="F3037">
        <v>1437500</v>
      </c>
      <c r="G3037">
        <v>24.14</v>
      </c>
    </row>
    <row r="3038" spans="1:7" x14ac:dyDescent="0.25">
      <c r="A3038" s="5">
        <v>19637</v>
      </c>
      <c r="B3038">
        <v>23.48</v>
      </c>
      <c r="C3038">
        <v>23.66</v>
      </c>
      <c r="D3038">
        <v>23.39</v>
      </c>
      <c r="E3038">
        <v>23.66</v>
      </c>
      <c r="F3038">
        <v>980000</v>
      </c>
      <c r="G3038">
        <v>23.66</v>
      </c>
    </row>
    <row r="3039" spans="1:7" x14ac:dyDescent="0.25">
      <c r="A3039" s="5">
        <v>19630</v>
      </c>
      <c r="B3039">
        <v>23.45</v>
      </c>
      <c r="C3039">
        <v>23.59</v>
      </c>
      <c r="D3039">
        <v>23.35</v>
      </c>
      <c r="E3039">
        <v>23.59</v>
      </c>
      <c r="F3039">
        <v>1018000</v>
      </c>
      <c r="G3039">
        <v>23.59</v>
      </c>
    </row>
    <row r="3040" spans="1:7" x14ac:dyDescent="0.25">
      <c r="A3040" s="5">
        <v>19623</v>
      </c>
      <c r="B3040">
        <v>22.88</v>
      </c>
      <c r="C3040">
        <v>23.3</v>
      </c>
      <c r="D3040">
        <v>22.88</v>
      </c>
      <c r="E3040">
        <v>23.3</v>
      </c>
      <c r="F3040">
        <v>1108000</v>
      </c>
      <c r="G3040">
        <v>23.3</v>
      </c>
    </row>
    <row r="3041" spans="1:7" x14ac:dyDescent="0.25">
      <c r="A3041" s="5">
        <v>19616</v>
      </c>
      <c r="B3041">
        <v>22.71</v>
      </c>
      <c r="C3041">
        <v>23.07</v>
      </c>
      <c r="D3041">
        <v>22.71</v>
      </c>
      <c r="E3041">
        <v>22.95</v>
      </c>
      <c r="F3041">
        <v>1890000</v>
      </c>
      <c r="G3041">
        <v>22.95</v>
      </c>
    </row>
    <row r="3042" spans="1:7" x14ac:dyDescent="0.25">
      <c r="A3042" s="5">
        <v>19610</v>
      </c>
      <c r="B3042">
        <v>23.61</v>
      </c>
      <c r="C3042">
        <v>23.65</v>
      </c>
      <c r="D3042">
        <v>23.14</v>
      </c>
      <c r="E3042">
        <v>23.14</v>
      </c>
      <c r="F3042">
        <v>1135000</v>
      </c>
      <c r="G3042">
        <v>23.14</v>
      </c>
    </row>
    <row r="3043" spans="1:7" x14ac:dyDescent="0.25">
      <c r="A3043" s="5">
        <v>19602</v>
      </c>
      <c r="B3043">
        <v>23.32</v>
      </c>
      <c r="C3043">
        <v>23.57</v>
      </c>
      <c r="D3043">
        <v>23.32</v>
      </c>
      <c r="E3043">
        <v>23.57</v>
      </c>
      <c r="F3043">
        <v>1310000</v>
      </c>
      <c r="G3043">
        <v>23.57</v>
      </c>
    </row>
    <row r="3044" spans="1:7" x14ac:dyDescent="0.25">
      <c r="A3044" s="5">
        <v>19595</v>
      </c>
      <c r="B3044">
        <v>24.09</v>
      </c>
      <c r="C3044">
        <v>24.09</v>
      </c>
      <c r="D3044">
        <v>23.74</v>
      </c>
      <c r="E3044">
        <v>23.74</v>
      </c>
      <c r="F3044">
        <v>1240000</v>
      </c>
      <c r="G3044">
        <v>23.74</v>
      </c>
    </row>
    <row r="3045" spans="1:7" x14ac:dyDescent="0.25">
      <c r="A3045" s="5">
        <v>19588</v>
      </c>
      <c r="B3045">
        <v>24.56</v>
      </c>
      <c r="C3045">
        <v>24.56</v>
      </c>
      <c r="D3045">
        <v>24.29</v>
      </c>
      <c r="E3045">
        <v>24.35</v>
      </c>
      <c r="F3045">
        <v>1010000</v>
      </c>
      <c r="G3045">
        <v>24.35</v>
      </c>
    </row>
    <row r="3046" spans="1:7" x14ac:dyDescent="0.25">
      <c r="A3046" s="5">
        <v>19581</v>
      </c>
      <c r="B3046">
        <v>24.75</v>
      </c>
      <c r="C3046">
        <v>24.78</v>
      </c>
      <c r="D3046">
        <v>24.62</v>
      </c>
      <c r="E3046">
        <v>24.62</v>
      </c>
      <c r="F3046">
        <v>1012000</v>
      </c>
      <c r="G3046">
        <v>24.62</v>
      </c>
    </row>
    <row r="3047" spans="1:7" x14ac:dyDescent="0.25">
      <c r="A3047" s="5">
        <v>19574</v>
      </c>
      <c r="B3047">
        <v>24.84</v>
      </c>
      <c r="C3047">
        <v>24.84</v>
      </c>
      <c r="D3047">
        <v>24.68</v>
      </c>
      <c r="E3047">
        <v>24.78</v>
      </c>
      <c r="F3047">
        <v>1078000</v>
      </c>
      <c r="G3047">
        <v>24.78</v>
      </c>
    </row>
    <row r="3048" spans="1:7" x14ac:dyDescent="0.25">
      <c r="A3048" s="5">
        <v>19567</v>
      </c>
      <c r="B3048">
        <v>24.07</v>
      </c>
      <c r="C3048">
        <v>24.75</v>
      </c>
      <c r="D3048">
        <v>24.07</v>
      </c>
      <c r="E3048">
        <v>24.75</v>
      </c>
      <c r="F3048">
        <v>1162000</v>
      </c>
      <c r="G3048">
        <v>24.75</v>
      </c>
    </row>
    <row r="3049" spans="1:7" x14ac:dyDescent="0.25">
      <c r="A3049" s="5">
        <v>19560</v>
      </c>
      <c r="B3049">
        <v>24.22</v>
      </c>
      <c r="C3049">
        <v>24.23</v>
      </c>
      <c r="D3049">
        <v>24.16</v>
      </c>
      <c r="E3049">
        <v>24.23</v>
      </c>
      <c r="F3049">
        <v>894000</v>
      </c>
      <c r="G3049">
        <v>24.23</v>
      </c>
    </row>
    <row r="3050" spans="1:7" x14ac:dyDescent="0.25">
      <c r="A3050" s="5">
        <v>19553</v>
      </c>
      <c r="B3050">
        <v>24.17</v>
      </c>
      <c r="C3050">
        <v>24.35</v>
      </c>
      <c r="D3050">
        <v>24.08</v>
      </c>
      <c r="E3050">
        <v>24.35</v>
      </c>
      <c r="F3050">
        <v>924000</v>
      </c>
      <c r="G3050">
        <v>24.35</v>
      </c>
    </row>
    <row r="3051" spans="1:7" x14ac:dyDescent="0.25">
      <c r="A3051" s="5">
        <v>19546</v>
      </c>
      <c r="B3051">
        <v>24.38</v>
      </c>
      <c r="C3051">
        <v>24.51</v>
      </c>
      <c r="D3051">
        <v>24.38</v>
      </c>
      <c r="E3051">
        <v>24.41</v>
      </c>
      <c r="F3051">
        <v>914000</v>
      </c>
      <c r="G3051">
        <v>24.41</v>
      </c>
    </row>
    <row r="3052" spans="1:7" x14ac:dyDescent="0.25">
      <c r="A3052" s="5">
        <v>19539</v>
      </c>
      <c r="B3052">
        <v>24.14</v>
      </c>
      <c r="C3052">
        <v>24.36</v>
      </c>
      <c r="D3052">
        <v>24.14</v>
      </c>
      <c r="E3052">
        <v>24.36</v>
      </c>
      <c r="F3052">
        <v>878000</v>
      </c>
      <c r="G3052">
        <v>24.36</v>
      </c>
    </row>
    <row r="3053" spans="1:7" x14ac:dyDescent="0.25">
      <c r="A3053" s="5">
        <v>19532</v>
      </c>
      <c r="B3053">
        <v>23.96</v>
      </c>
      <c r="C3053">
        <v>24.21</v>
      </c>
      <c r="D3053">
        <v>23.96</v>
      </c>
      <c r="E3053">
        <v>24.21</v>
      </c>
      <c r="F3053">
        <v>1020000</v>
      </c>
      <c r="G3053">
        <v>24.21</v>
      </c>
    </row>
    <row r="3054" spans="1:7" x14ac:dyDescent="0.25">
      <c r="A3054" s="5">
        <v>19525</v>
      </c>
      <c r="B3054">
        <v>23.62</v>
      </c>
      <c r="C3054">
        <v>23.85</v>
      </c>
      <c r="D3054">
        <v>23.55</v>
      </c>
      <c r="E3054">
        <v>23.84</v>
      </c>
      <c r="F3054">
        <v>1102000</v>
      </c>
      <c r="G3054">
        <v>23.84</v>
      </c>
    </row>
    <row r="3055" spans="1:7" x14ac:dyDescent="0.25">
      <c r="A3055" s="5">
        <v>19518</v>
      </c>
      <c r="B3055">
        <v>24.01</v>
      </c>
      <c r="C3055">
        <v>24.01</v>
      </c>
      <c r="D3055">
        <v>23.54</v>
      </c>
      <c r="E3055">
        <v>23.82</v>
      </c>
      <c r="F3055">
        <v>1460000</v>
      </c>
      <c r="G3055">
        <v>23.82</v>
      </c>
    </row>
    <row r="3056" spans="1:7" x14ac:dyDescent="0.25">
      <c r="A3056" s="5">
        <v>19511</v>
      </c>
      <c r="B3056">
        <v>24.15</v>
      </c>
      <c r="C3056">
        <v>24.22</v>
      </c>
      <c r="D3056">
        <v>24.03</v>
      </c>
      <c r="E3056">
        <v>24.09</v>
      </c>
      <c r="F3056">
        <v>1310000</v>
      </c>
      <c r="G3056">
        <v>24.09</v>
      </c>
    </row>
    <row r="3057" spans="1:7" x14ac:dyDescent="0.25">
      <c r="A3057" s="5">
        <v>19504</v>
      </c>
      <c r="B3057">
        <v>24.99</v>
      </c>
      <c r="C3057">
        <v>24.99</v>
      </c>
      <c r="D3057">
        <v>24.46</v>
      </c>
      <c r="E3057">
        <v>24.54</v>
      </c>
      <c r="F3057">
        <v>1166000</v>
      </c>
      <c r="G3057">
        <v>24.54</v>
      </c>
    </row>
    <row r="3058" spans="1:7" x14ac:dyDescent="0.25">
      <c r="A3058" s="5">
        <v>19497</v>
      </c>
      <c r="B3058">
        <v>24.75</v>
      </c>
      <c r="C3058">
        <v>25.06</v>
      </c>
      <c r="D3058">
        <v>24.7</v>
      </c>
      <c r="E3058">
        <v>25.03</v>
      </c>
      <c r="F3058">
        <v>1366000</v>
      </c>
      <c r="G3058">
        <v>25.03</v>
      </c>
    </row>
    <row r="3059" spans="1:7" x14ac:dyDescent="0.25">
      <c r="A3059" s="5">
        <v>19490</v>
      </c>
      <c r="B3059">
        <v>24.91</v>
      </c>
      <c r="C3059">
        <v>24.91</v>
      </c>
      <c r="D3059">
        <v>24.71</v>
      </c>
      <c r="E3059">
        <v>24.84</v>
      </c>
      <c r="F3059">
        <v>1124000</v>
      </c>
      <c r="G3059">
        <v>24.84</v>
      </c>
    </row>
    <row r="3060" spans="1:7" x14ac:dyDescent="0.25">
      <c r="A3060" s="5">
        <v>19483</v>
      </c>
      <c r="B3060">
        <v>25</v>
      </c>
      <c r="C3060">
        <v>25.03</v>
      </c>
      <c r="D3060">
        <v>24.9</v>
      </c>
      <c r="E3060">
        <v>24.9</v>
      </c>
      <c r="F3060">
        <v>1250000</v>
      </c>
      <c r="G3060">
        <v>24.9</v>
      </c>
    </row>
    <row r="3061" spans="1:7" x14ac:dyDescent="0.25">
      <c r="A3061" s="5">
        <v>19476</v>
      </c>
      <c r="B3061">
        <v>24.34</v>
      </c>
      <c r="C3061">
        <v>24.73</v>
      </c>
      <c r="D3061">
        <v>24.34</v>
      </c>
      <c r="E3061">
        <v>24.73</v>
      </c>
      <c r="F3061">
        <v>1276000</v>
      </c>
      <c r="G3061">
        <v>24.73</v>
      </c>
    </row>
    <row r="3062" spans="1:7" x14ac:dyDescent="0.25">
      <c r="A3062" s="5">
        <v>19469</v>
      </c>
      <c r="B3062">
        <v>24.73</v>
      </c>
      <c r="C3062">
        <v>24.73</v>
      </c>
      <c r="D3062">
        <v>24.19</v>
      </c>
      <c r="E3062">
        <v>24.2</v>
      </c>
      <c r="F3062">
        <v>1572000</v>
      </c>
      <c r="G3062">
        <v>24.2</v>
      </c>
    </row>
    <row r="3063" spans="1:7" x14ac:dyDescent="0.25">
      <c r="A3063" s="5">
        <v>19462</v>
      </c>
      <c r="B3063">
        <v>24.77</v>
      </c>
      <c r="C3063">
        <v>24.96</v>
      </c>
      <c r="D3063">
        <v>24.62</v>
      </c>
      <c r="E3063">
        <v>24.62</v>
      </c>
      <c r="F3063">
        <v>1416000</v>
      </c>
      <c r="G3063">
        <v>24.62</v>
      </c>
    </row>
    <row r="3064" spans="1:7" x14ac:dyDescent="0.25">
      <c r="A3064" s="5">
        <v>19455</v>
      </c>
      <c r="B3064">
        <v>24.61</v>
      </c>
      <c r="C3064">
        <v>24.93</v>
      </c>
      <c r="D3064">
        <v>24.61</v>
      </c>
      <c r="E3064">
        <v>24.82</v>
      </c>
      <c r="F3064">
        <v>2058000</v>
      </c>
      <c r="G3064">
        <v>24.82</v>
      </c>
    </row>
    <row r="3065" spans="1:7" x14ac:dyDescent="0.25">
      <c r="A3065" s="5">
        <v>19448</v>
      </c>
      <c r="B3065">
        <v>25.61</v>
      </c>
      <c r="C3065">
        <v>25.61</v>
      </c>
      <c r="D3065">
        <v>25.23</v>
      </c>
      <c r="E3065">
        <v>25.23</v>
      </c>
      <c r="F3065">
        <v>2455000</v>
      </c>
      <c r="G3065">
        <v>25.23</v>
      </c>
    </row>
    <row r="3066" spans="1:7" x14ac:dyDescent="0.25">
      <c r="A3066" s="5">
        <v>19441</v>
      </c>
      <c r="B3066">
        <v>26.02</v>
      </c>
      <c r="C3066">
        <v>26.17</v>
      </c>
      <c r="D3066">
        <v>25.95</v>
      </c>
      <c r="E3066">
        <v>25.99</v>
      </c>
      <c r="F3066">
        <v>1936000</v>
      </c>
      <c r="G3066">
        <v>25.99</v>
      </c>
    </row>
    <row r="3067" spans="1:7" x14ac:dyDescent="0.25">
      <c r="A3067" s="5">
        <v>19434</v>
      </c>
      <c r="B3067">
        <v>26.22</v>
      </c>
      <c r="C3067">
        <v>26.33</v>
      </c>
      <c r="D3067">
        <v>26.18</v>
      </c>
      <c r="E3067">
        <v>26.18</v>
      </c>
      <c r="F3067">
        <v>1912000</v>
      </c>
      <c r="G3067">
        <v>26.18</v>
      </c>
    </row>
    <row r="3068" spans="1:7" x14ac:dyDescent="0.25">
      <c r="A3068" s="5">
        <v>19427</v>
      </c>
      <c r="B3068">
        <v>25.83</v>
      </c>
      <c r="C3068">
        <v>26.18</v>
      </c>
      <c r="D3068">
        <v>25.83</v>
      </c>
      <c r="E3068">
        <v>26.18</v>
      </c>
      <c r="F3068">
        <v>1712000</v>
      </c>
      <c r="G3068">
        <v>26.18</v>
      </c>
    </row>
    <row r="3069" spans="1:7" x14ac:dyDescent="0.25">
      <c r="A3069" s="5">
        <v>19420</v>
      </c>
      <c r="B3069">
        <v>25.93</v>
      </c>
      <c r="C3069">
        <v>26</v>
      </c>
      <c r="D3069">
        <v>25.78</v>
      </c>
      <c r="E3069">
        <v>25.84</v>
      </c>
      <c r="F3069">
        <v>1770000</v>
      </c>
      <c r="G3069">
        <v>25.84</v>
      </c>
    </row>
    <row r="3070" spans="1:7" x14ac:dyDescent="0.25">
      <c r="A3070" s="5">
        <v>19414</v>
      </c>
      <c r="B3070">
        <v>25.75</v>
      </c>
      <c r="C3070">
        <v>25.95</v>
      </c>
      <c r="D3070">
        <v>25.75</v>
      </c>
      <c r="E3070">
        <v>25.9</v>
      </c>
      <c r="F3070">
        <v>2235000</v>
      </c>
      <c r="G3070">
        <v>25.9</v>
      </c>
    </row>
    <row r="3071" spans="1:7" x14ac:dyDescent="0.25">
      <c r="A3071" s="5">
        <v>19406</v>
      </c>
      <c r="B3071">
        <v>25.65</v>
      </c>
      <c r="C3071">
        <v>25.65</v>
      </c>
      <c r="D3071">
        <v>25.48</v>
      </c>
      <c r="E3071">
        <v>25.63</v>
      </c>
      <c r="F3071">
        <v>1326000</v>
      </c>
      <c r="G3071">
        <v>25.63</v>
      </c>
    </row>
    <row r="3072" spans="1:7" x14ac:dyDescent="0.25">
      <c r="A3072" s="5">
        <v>19399</v>
      </c>
      <c r="B3072">
        <v>25.69</v>
      </c>
      <c r="C3072">
        <v>25.74</v>
      </c>
      <c r="D3072">
        <v>25.62</v>
      </c>
      <c r="E3072">
        <v>25.74</v>
      </c>
      <c r="F3072">
        <v>1430000</v>
      </c>
      <c r="G3072">
        <v>25.74</v>
      </c>
    </row>
    <row r="3073" spans="1:7" x14ac:dyDescent="0.25">
      <c r="A3073" s="5">
        <v>19392</v>
      </c>
      <c r="B3073">
        <v>26.51</v>
      </c>
      <c r="C3073">
        <v>26.54</v>
      </c>
      <c r="D3073">
        <v>26.15</v>
      </c>
      <c r="E3073">
        <v>26.51</v>
      </c>
      <c r="F3073">
        <v>1776000</v>
      </c>
      <c r="G3073">
        <v>26.51</v>
      </c>
    </row>
    <row r="3074" spans="1:7" x14ac:dyDescent="0.25">
      <c r="A3074" s="5">
        <v>19385</v>
      </c>
      <c r="B3074">
        <v>26.02</v>
      </c>
      <c r="C3074">
        <v>26.38</v>
      </c>
      <c r="D3074">
        <v>26.02</v>
      </c>
      <c r="E3074">
        <v>26.38</v>
      </c>
      <c r="F3074">
        <v>1640000</v>
      </c>
      <c r="G3074">
        <v>26.38</v>
      </c>
    </row>
    <row r="3075" spans="1:7" x14ac:dyDescent="0.25">
      <c r="A3075" s="5">
        <v>19378</v>
      </c>
      <c r="B3075">
        <v>26.01</v>
      </c>
      <c r="C3075">
        <v>26.14</v>
      </c>
      <c r="D3075">
        <v>26.01</v>
      </c>
      <c r="E3075">
        <v>26.07</v>
      </c>
      <c r="F3075">
        <v>1374000</v>
      </c>
      <c r="G3075">
        <v>26.07</v>
      </c>
    </row>
    <row r="3076" spans="1:7" x14ac:dyDescent="0.25">
      <c r="A3076" s="5">
        <v>19371</v>
      </c>
      <c r="B3076">
        <v>25.86</v>
      </c>
      <c r="C3076">
        <v>26.13</v>
      </c>
      <c r="D3076">
        <v>25.86</v>
      </c>
      <c r="E3076">
        <v>26.02</v>
      </c>
      <c r="F3076">
        <v>1542000</v>
      </c>
      <c r="G3076">
        <v>26.02</v>
      </c>
    </row>
    <row r="3077" spans="1:7" x14ac:dyDescent="0.25">
      <c r="A3077" s="5">
        <v>19364</v>
      </c>
      <c r="B3077">
        <v>26.66</v>
      </c>
      <c r="C3077">
        <v>26.66</v>
      </c>
      <c r="D3077">
        <v>26.08</v>
      </c>
      <c r="E3077">
        <v>26.08</v>
      </c>
      <c r="F3077">
        <v>1966000</v>
      </c>
      <c r="G3077">
        <v>26.08</v>
      </c>
    </row>
    <row r="3078" spans="1:7" x14ac:dyDescent="0.25">
      <c r="A3078" s="5">
        <v>19357</v>
      </c>
      <c r="B3078">
        <v>26.4</v>
      </c>
      <c r="C3078">
        <v>26.59</v>
      </c>
      <c r="D3078">
        <v>26.4</v>
      </c>
      <c r="E3078">
        <v>26.54</v>
      </c>
      <c r="F3078">
        <v>1847500</v>
      </c>
      <c r="G3078">
        <v>26.54</v>
      </c>
    </row>
    <row r="3079" spans="1:7" x14ac:dyDescent="0.25">
      <c r="A3079" s="5">
        <v>19350</v>
      </c>
      <c r="B3079">
        <v>26.3</v>
      </c>
      <c r="C3079">
        <v>26.3</v>
      </c>
      <c r="D3079">
        <v>26.19</v>
      </c>
      <c r="E3079">
        <v>26.25</v>
      </c>
      <c r="F3079">
        <v>1750000</v>
      </c>
      <c r="G3079">
        <v>26.25</v>
      </c>
    </row>
    <row r="3080" spans="1:7" x14ac:dyDescent="0.25">
      <c r="A3080" s="5">
        <v>19343</v>
      </c>
      <c r="B3080">
        <v>26.04</v>
      </c>
      <c r="C3080">
        <v>26.15</v>
      </c>
      <c r="D3080">
        <v>26.03</v>
      </c>
      <c r="E3080">
        <v>26.15</v>
      </c>
      <c r="F3080">
        <v>1906000</v>
      </c>
      <c r="G3080">
        <v>26.15</v>
      </c>
    </row>
    <row r="3081" spans="1:7" x14ac:dyDescent="0.25">
      <c r="A3081" s="5">
        <v>19336</v>
      </c>
      <c r="B3081">
        <v>25.76</v>
      </c>
      <c r="C3081">
        <v>26.04</v>
      </c>
      <c r="D3081">
        <v>25.76</v>
      </c>
      <c r="E3081">
        <v>26.04</v>
      </c>
      <c r="F3081">
        <v>1922000</v>
      </c>
      <c r="G3081">
        <v>26.04</v>
      </c>
    </row>
    <row r="3082" spans="1:7" x14ac:dyDescent="0.25">
      <c r="A3082" s="5">
        <v>19329</v>
      </c>
      <c r="B3082">
        <v>25.68</v>
      </c>
      <c r="C3082">
        <v>25.74</v>
      </c>
      <c r="D3082">
        <v>25.61</v>
      </c>
      <c r="E3082">
        <v>25.62</v>
      </c>
      <c r="F3082">
        <v>1680000</v>
      </c>
      <c r="G3082">
        <v>25.62</v>
      </c>
    </row>
    <row r="3083" spans="1:7" x14ac:dyDescent="0.25">
      <c r="A3083" s="5">
        <v>19322</v>
      </c>
      <c r="B3083">
        <v>25.42</v>
      </c>
      <c r="C3083">
        <v>25.66</v>
      </c>
      <c r="D3083">
        <v>25.36</v>
      </c>
      <c r="E3083">
        <v>25.66</v>
      </c>
      <c r="F3083">
        <v>2027500</v>
      </c>
      <c r="G3083">
        <v>25.66</v>
      </c>
    </row>
    <row r="3084" spans="1:7" x14ac:dyDescent="0.25">
      <c r="A3084" s="5">
        <v>19315</v>
      </c>
      <c r="B3084">
        <v>24.8</v>
      </c>
      <c r="C3084">
        <v>25.33</v>
      </c>
      <c r="D3084">
        <v>24.8</v>
      </c>
      <c r="E3084">
        <v>25.27</v>
      </c>
      <c r="F3084">
        <v>1918000</v>
      </c>
      <c r="G3084">
        <v>25.27</v>
      </c>
    </row>
    <row r="3085" spans="1:7" x14ac:dyDescent="0.25">
      <c r="A3085" s="5">
        <v>19308</v>
      </c>
      <c r="B3085">
        <v>24.77</v>
      </c>
      <c r="C3085">
        <v>24.77</v>
      </c>
      <c r="D3085">
        <v>24.65</v>
      </c>
      <c r="E3085">
        <v>24.75</v>
      </c>
      <c r="F3085">
        <v>1470000</v>
      </c>
      <c r="G3085">
        <v>24.75</v>
      </c>
    </row>
    <row r="3086" spans="1:7" x14ac:dyDescent="0.25">
      <c r="A3086" s="5">
        <v>19301</v>
      </c>
      <c r="B3086">
        <v>24.6</v>
      </c>
      <c r="C3086">
        <v>24.78</v>
      </c>
      <c r="D3086">
        <v>24.6</v>
      </c>
      <c r="E3086">
        <v>24.78</v>
      </c>
      <c r="F3086">
        <v>1657500</v>
      </c>
      <c r="G3086">
        <v>24.78</v>
      </c>
    </row>
    <row r="3087" spans="1:7" x14ac:dyDescent="0.25">
      <c r="A3087" s="5">
        <v>19294</v>
      </c>
      <c r="B3087">
        <v>24.09</v>
      </c>
      <c r="C3087">
        <v>24.52</v>
      </c>
      <c r="D3087">
        <v>24.09</v>
      </c>
      <c r="E3087">
        <v>24.52</v>
      </c>
      <c r="F3087">
        <v>1190000</v>
      </c>
      <c r="G3087">
        <v>24.52</v>
      </c>
    </row>
    <row r="3088" spans="1:7" x14ac:dyDescent="0.25">
      <c r="A3088" s="5">
        <v>19287</v>
      </c>
      <c r="B3088">
        <v>24.13</v>
      </c>
      <c r="C3088">
        <v>24.13</v>
      </c>
      <c r="D3088">
        <v>23.8</v>
      </c>
      <c r="E3088">
        <v>24.03</v>
      </c>
      <c r="F3088">
        <v>1104000</v>
      </c>
      <c r="G3088">
        <v>24.03</v>
      </c>
    </row>
    <row r="3089" spans="1:7" x14ac:dyDescent="0.25">
      <c r="A3089" s="5">
        <v>19281</v>
      </c>
      <c r="B3089">
        <v>24.48</v>
      </c>
      <c r="C3089">
        <v>24.48</v>
      </c>
      <c r="D3089">
        <v>23.91</v>
      </c>
      <c r="E3089">
        <v>24.2</v>
      </c>
      <c r="F3089">
        <v>1487500</v>
      </c>
      <c r="G3089">
        <v>24.2</v>
      </c>
    </row>
    <row r="3090" spans="1:7" x14ac:dyDescent="0.25">
      <c r="A3090" s="5">
        <v>19273</v>
      </c>
      <c r="B3090">
        <v>24.44</v>
      </c>
      <c r="C3090">
        <v>24.58</v>
      </c>
      <c r="D3090">
        <v>24.4</v>
      </c>
      <c r="E3090">
        <v>24.55</v>
      </c>
      <c r="F3090">
        <v>1088000</v>
      </c>
      <c r="G3090">
        <v>24.55</v>
      </c>
    </row>
    <row r="3091" spans="1:7" x14ac:dyDescent="0.25">
      <c r="A3091" s="5">
        <v>19266</v>
      </c>
      <c r="B3091">
        <v>24.68</v>
      </c>
      <c r="C3091">
        <v>24.68</v>
      </c>
      <c r="D3091">
        <v>24.48</v>
      </c>
      <c r="E3091">
        <v>24.5</v>
      </c>
      <c r="F3091">
        <v>1034000</v>
      </c>
      <c r="G3091">
        <v>24.5</v>
      </c>
    </row>
    <row r="3092" spans="1:7" x14ac:dyDescent="0.25">
      <c r="A3092" s="5">
        <v>19259</v>
      </c>
      <c r="B3092">
        <v>24.59</v>
      </c>
      <c r="C3092">
        <v>24.81</v>
      </c>
      <c r="D3092">
        <v>24.59</v>
      </c>
      <c r="E3092">
        <v>24.73</v>
      </c>
      <c r="F3092">
        <v>1236000</v>
      </c>
      <c r="G3092">
        <v>24.73</v>
      </c>
    </row>
    <row r="3093" spans="1:7" x14ac:dyDescent="0.25">
      <c r="A3093" s="5">
        <v>19252</v>
      </c>
      <c r="B3093">
        <v>24.45</v>
      </c>
      <c r="C3093">
        <v>24.58</v>
      </c>
      <c r="D3093">
        <v>24.45</v>
      </c>
      <c r="E3093">
        <v>24.57</v>
      </c>
      <c r="F3093">
        <v>1084000</v>
      </c>
      <c r="G3093">
        <v>24.57</v>
      </c>
    </row>
    <row r="3094" spans="1:7" x14ac:dyDescent="0.25">
      <c r="A3094" s="5">
        <v>19245</v>
      </c>
      <c r="B3094">
        <v>25.11</v>
      </c>
      <c r="C3094">
        <v>25.11</v>
      </c>
      <c r="D3094">
        <v>24.69</v>
      </c>
      <c r="E3094">
        <v>24.71</v>
      </c>
      <c r="F3094">
        <v>1216000</v>
      </c>
      <c r="G3094">
        <v>24.71</v>
      </c>
    </row>
    <row r="3095" spans="1:7" x14ac:dyDescent="0.25">
      <c r="A3095" s="5">
        <v>19239</v>
      </c>
      <c r="B3095">
        <v>25.15</v>
      </c>
      <c r="C3095">
        <v>25.25</v>
      </c>
      <c r="D3095">
        <v>25.15</v>
      </c>
      <c r="E3095">
        <v>25.21</v>
      </c>
      <c r="F3095">
        <v>1082500</v>
      </c>
      <c r="G3095">
        <v>25.21</v>
      </c>
    </row>
    <row r="3096" spans="1:7" x14ac:dyDescent="0.25">
      <c r="A3096" s="5">
        <v>19231</v>
      </c>
      <c r="B3096">
        <v>24.87</v>
      </c>
      <c r="C3096">
        <v>25.03</v>
      </c>
      <c r="D3096">
        <v>24.83</v>
      </c>
      <c r="E3096">
        <v>25.03</v>
      </c>
      <c r="F3096">
        <v>906000</v>
      </c>
      <c r="G3096">
        <v>25.03</v>
      </c>
    </row>
    <row r="3097" spans="1:7" x14ac:dyDescent="0.25">
      <c r="A3097" s="5">
        <v>19224</v>
      </c>
      <c r="B3097">
        <v>24.94</v>
      </c>
      <c r="C3097">
        <v>24.99</v>
      </c>
      <c r="D3097">
        <v>24.89</v>
      </c>
      <c r="E3097">
        <v>24.99</v>
      </c>
      <c r="F3097">
        <v>948000</v>
      </c>
      <c r="G3097">
        <v>24.99</v>
      </c>
    </row>
    <row r="3098" spans="1:7" x14ac:dyDescent="0.25">
      <c r="A3098" s="5">
        <v>19217</v>
      </c>
      <c r="B3098">
        <v>25.52</v>
      </c>
      <c r="C3098">
        <v>25.52</v>
      </c>
      <c r="D3098">
        <v>25.2</v>
      </c>
      <c r="E3098">
        <v>25.2</v>
      </c>
      <c r="F3098">
        <v>1016000</v>
      </c>
      <c r="G3098">
        <v>25.2</v>
      </c>
    </row>
    <row r="3099" spans="1:7" x14ac:dyDescent="0.25">
      <c r="A3099" s="5">
        <v>19210</v>
      </c>
      <c r="B3099">
        <v>25.43</v>
      </c>
      <c r="C3099">
        <v>25.55</v>
      </c>
      <c r="D3099">
        <v>25.43</v>
      </c>
      <c r="E3099">
        <v>25.55</v>
      </c>
      <c r="F3099">
        <v>1098000</v>
      </c>
      <c r="G3099">
        <v>25.55</v>
      </c>
    </row>
    <row r="3100" spans="1:7" x14ac:dyDescent="0.25">
      <c r="A3100" s="5">
        <v>19203</v>
      </c>
      <c r="B3100">
        <v>25.2</v>
      </c>
      <c r="C3100">
        <v>25.45</v>
      </c>
      <c r="D3100">
        <v>25.2</v>
      </c>
      <c r="E3100">
        <v>25.45</v>
      </c>
      <c r="F3100">
        <v>1112000</v>
      </c>
      <c r="G3100">
        <v>25.45</v>
      </c>
    </row>
    <row r="3101" spans="1:7" x14ac:dyDescent="0.25">
      <c r="A3101" s="5">
        <v>19196</v>
      </c>
      <c r="B3101">
        <v>24.95</v>
      </c>
      <c r="C3101">
        <v>25.24</v>
      </c>
      <c r="D3101">
        <v>24.95</v>
      </c>
      <c r="E3101">
        <v>25.16</v>
      </c>
      <c r="F3101">
        <v>1022000</v>
      </c>
      <c r="G3101">
        <v>25.16</v>
      </c>
    </row>
    <row r="3102" spans="1:7" x14ac:dyDescent="0.25">
      <c r="A3102" s="5">
        <v>19189</v>
      </c>
      <c r="B3102">
        <v>25.03</v>
      </c>
      <c r="C3102">
        <v>25.16</v>
      </c>
      <c r="D3102">
        <v>24.85</v>
      </c>
      <c r="E3102">
        <v>24.85</v>
      </c>
      <c r="F3102">
        <v>1092000</v>
      </c>
      <c r="G3102">
        <v>24.85</v>
      </c>
    </row>
    <row r="3103" spans="1:7" x14ac:dyDescent="0.25">
      <c r="A3103" s="5">
        <v>19182</v>
      </c>
      <c r="B3103">
        <v>24.97</v>
      </c>
      <c r="C3103">
        <v>24.98</v>
      </c>
      <c r="D3103">
        <v>24.81</v>
      </c>
      <c r="E3103">
        <v>24.98</v>
      </c>
      <c r="F3103">
        <v>1020000</v>
      </c>
      <c r="G3103">
        <v>24.98</v>
      </c>
    </row>
    <row r="3104" spans="1:7" x14ac:dyDescent="0.25">
      <c r="A3104" s="5">
        <v>19175</v>
      </c>
      <c r="B3104">
        <v>24.96</v>
      </c>
      <c r="C3104">
        <v>25.12</v>
      </c>
      <c r="D3104">
        <v>24.96</v>
      </c>
      <c r="E3104">
        <v>25.05</v>
      </c>
      <c r="F3104">
        <v>1325000</v>
      </c>
      <c r="G3104">
        <v>25.05</v>
      </c>
    </row>
    <row r="3105" spans="1:7" x14ac:dyDescent="0.25">
      <c r="A3105" s="5">
        <v>19168</v>
      </c>
      <c r="B3105">
        <v>24.56</v>
      </c>
      <c r="C3105">
        <v>24.83</v>
      </c>
      <c r="D3105">
        <v>24.56</v>
      </c>
      <c r="E3105">
        <v>24.83</v>
      </c>
      <c r="F3105">
        <v>1206000</v>
      </c>
      <c r="G3105">
        <v>24.83</v>
      </c>
    </row>
    <row r="3106" spans="1:7" x14ac:dyDescent="0.25">
      <c r="A3106" s="5">
        <v>19161</v>
      </c>
      <c r="B3106">
        <v>24.3</v>
      </c>
      <c r="C3106">
        <v>24.59</v>
      </c>
      <c r="D3106">
        <v>24.3</v>
      </c>
      <c r="E3106">
        <v>24.59</v>
      </c>
      <c r="F3106">
        <v>1136000</v>
      </c>
      <c r="G3106">
        <v>24.59</v>
      </c>
    </row>
    <row r="3107" spans="1:7" x14ac:dyDescent="0.25">
      <c r="A3107" s="5">
        <v>19154</v>
      </c>
      <c r="B3107">
        <v>24.37</v>
      </c>
      <c r="C3107">
        <v>24.37</v>
      </c>
      <c r="D3107">
        <v>24.23</v>
      </c>
      <c r="E3107">
        <v>24.37</v>
      </c>
      <c r="F3107">
        <v>1236000</v>
      </c>
      <c r="G3107">
        <v>24.37</v>
      </c>
    </row>
    <row r="3108" spans="1:7" x14ac:dyDescent="0.25">
      <c r="A3108" s="5">
        <v>19147</v>
      </c>
      <c r="B3108">
        <v>23.8</v>
      </c>
      <c r="C3108">
        <v>24.26</v>
      </c>
      <c r="D3108">
        <v>23.78</v>
      </c>
      <c r="E3108">
        <v>24.26</v>
      </c>
      <c r="F3108">
        <v>1252000</v>
      </c>
      <c r="G3108">
        <v>24.26</v>
      </c>
    </row>
    <row r="3109" spans="1:7" x14ac:dyDescent="0.25">
      <c r="A3109" s="5">
        <v>19140</v>
      </c>
      <c r="B3109">
        <v>23.94</v>
      </c>
      <c r="C3109">
        <v>23.94</v>
      </c>
      <c r="D3109">
        <v>23.84</v>
      </c>
      <c r="E3109">
        <v>23.86</v>
      </c>
      <c r="F3109">
        <v>1052500</v>
      </c>
      <c r="G3109">
        <v>23.86</v>
      </c>
    </row>
    <row r="3110" spans="1:7" x14ac:dyDescent="0.25">
      <c r="A3110" s="5">
        <v>19133</v>
      </c>
      <c r="B3110">
        <v>23.61</v>
      </c>
      <c r="C3110">
        <v>23.91</v>
      </c>
      <c r="D3110">
        <v>23.61</v>
      </c>
      <c r="E3110">
        <v>23.89</v>
      </c>
      <c r="F3110">
        <v>1130000</v>
      </c>
      <c r="G3110">
        <v>23.89</v>
      </c>
    </row>
    <row r="3111" spans="1:7" x14ac:dyDescent="0.25">
      <c r="A3111" s="5">
        <v>19126</v>
      </c>
      <c r="B3111">
        <v>23.75</v>
      </c>
      <c r="C3111">
        <v>23.78</v>
      </c>
      <c r="D3111">
        <v>23.56</v>
      </c>
      <c r="E3111">
        <v>23.56</v>
      </c>
      <c r="F3111">
        <v>920000</v>
      </c>
      <c r="G3111">
        <v>23.56</v>
      </c>
    </row>
    <row r="3112" spans="1:7" x14ac:dyDescent="0.25">
      <c r="A3112" s="5">
        <v>19119</v>
      </c>
      <c r="B3112">
        <v>23.66</v>
      </c>
      <c r="C3112">
        <v>23.86</v>
      </c>
      <c r="D3112">
        <v>23.66</v>
      </c>
      <c r="E3112">
        <v>23.84</v>
      </c>
      <c r="F3112">
        <v>1058000</v>
      </c>
      <c r="G3112">
        <v>23.84</v>
      </c>
    </row>
    <row r="3113" spans="1:7" x14ac:dyDescent="0.25">
      <c r="A3113" s="5">
        <v>19112</v>
      </c>
      <c r="B3113">
        <v>23.55</v>
      </c>
      <c r="C3113">
        <v>23.56</v>
      </c>
      <c r="D3113">
        <v>23.17</v>
      </c>
      <c r="E3113">
        <v>23.56</v>
      </c>
      <c r="F3113">
        <v>1170000</v>
      </c>
      <c r="G3113">
        <v>23.56</v>
      </c>
    </row>
    <row r="3114" spans="1:7" x14ac:dyDescent="0.25">
      <c r="A3114" s="5">
        <v>19105</v>
      </c>
      <c r="B3114">
        <v>23.69</v>
      </c>
      <c r="C3114">
        <v>23.69</v>
      </c>
      <c r="D3114">
        <v>23.43</v>
      </c>
      <c r="E3114">
        <v>23.54</v>
      </c>
      <c r="F3114">
        <v>1252000</v>
      </c>
      <c r="G3114">
        <v>23.54</v>
      </c>
    </row>
    <row r="3115" spans="1:7" x14ac:dyDescent="0.25">
      <c r="A3115" s="5">
        <v>19098</v>
      </c>
      <c r="B3115">
        <v>23.95</v>
      </c>
      <c r="C3115">
        <v>23.95</v>
      </c>
      <c r="D3115">
        <v>23.41</v>
      </c>
      <c r="E3115">
        <v>23.5</v>
      </c>
      <c r="F3115">
        <v>1554000</v>
      </c>
      <c r="G3115">
        <v>23.5</v>
      </c>
    </row>
    <row r="3116" spans="1:7" x14ac:dyDescent="0.25">
      <c r="A3116" s="5">
        <v>19091</v>
      </c>
      <c r="B3116">
        <v>23.8</v>
      </c>
      <c r="C3116">
        <v>24.11</v>
      </c>
      <c r="D3116">
        <v>23.8</v>
      </c>
      <c r="E3116">
        <v>24.11</v>
      </c>
      <c r="F3116">
        <v>1107500</v>
      </c>
      <c r="G3116">
        <v>24.11</v>
      </c>
    </row>
    <row r="3117" spans="1:7" x14ac:dyDescent="0.25">
      <c r="A3117" s="5">
        <v>19084</v>
      </c>
      <c r="B3117">
        <v>24.37</v>
      </c>
      <c r="C3117">
        <v>24.37</v>
      </c>
      <c r="D3117">
        <v>24.02</v>
      </c>
      <c r="E3117">
        <v>24.02</v>
      </c>
      <c r="F3117">
        <v>1426000</v>
      </c>
      <c r="G3117">
        <v>24.02</v>
      </c>
    </row>
    <row r="3118" spans="1:7" x14ac:dyDescent="0.25">
      <c r="A3118" s="5">
        <v>19077</v>
      </c>
      <c r="B3118">
        <v>23.93</v>
      </c>
      <c r="C3118">
        <v>24.18</v>
      </c>
      <c r="D3118">
        <v>23.78</v>
      </c>
      <c r="E3118">
        <v>24.18</v>
      </c>
      <c r="F3118">
        <v>1212000</v>
      </c>
      <c r="G3118">
        <v>24.18</v>
      </c>
    </row>
    <row r="3119" spans="1:7" x14ac:dyDescent="0.25">
      <c r="A3119" s="5">
        <v>19070</v>
      </c>
      <c r="B3119">
        <v>23.92</v>
      </c>
      <c r="C3119">
        <v>23.93</v>
      </c>
      <c r="D3119">
        <v>23.82</v>
      </c>
      <c r="E3119">
        <v>23.93</v>
      </c>
      <c r="F3119">
        <v>1188000</v>
      </c>
      <c r="G3119">
        <v>23.93</v>
      </c>
    </row>
    <row r="3120" spans="1:7" x14ac:dyDescent="0.25">
      <c r="A3120" s="5">
        <v>19063</v>
      </c>
      <c r="B3120">
        <v>23.6</v>
      </c>
      <c r="C3120">
        <v>23.75</v>
      </c>
      <c r="D3120">
        <v>23.6</v>
      </c>
      <c r="E3120">
        <v>23.75</v>
      </c>
      <c r="F3120">
        <v>1262000</v>
      </c>
      <c r="G3120">
        <v>23.75</v>
      </c>
    </row>
    <row r="3121" spans="1:7" x14ac:dyDescent="0.25">
      <c r="A3121" s="5">
        <v>19056</v>
      </c>
      <c r="B3121">
        <v>23.29</v>
      </c>
      <c r="C3121">
        <v>23.72</v>
      </c>
      <c r="D3121">
        <v>23.29</v>
      </c>
      <c r="E3121">
        <v>23.72</v>
      </c>
      <c r="F3121">
        <v>1318000</v>
      </c>
      <c r="G3121">
        <v>23.72</v>
      </c>
    </row>
    <row r="3122" spans="1:7" x14ac:dyDescent="0.25">
      <c r="A3122" s="5">
        <v>19049</v>
      </c>
      <c r="B3122">
        <v>23.23</v>
      </c>
      <c r="C3122">
        <v>23.29</v>
      </c>
      <c r="D3122">
        <v>23.15</v>
      </c>
      <c r="E3122">
        <v>23.26</v>
      </c>
      <c r="F3122">
        <v>1138000</v>
      </c>
      <c r="G3122">
        <v>23.26</v>
      </c>
    </row>
    <row r="3123" spans="1:7" x14ac:dyDescent="0.25">
      <c r="A3123" s="5">
        <v>19042</v>
      </c>
      <c r="B3123">
        <v>23.74</v>
      </c>
      <c r="C3123">
        <v>23.74</v>
      </c>
      <c r="D3123">
        <v>23.09</v>
      </c>
      <c r="E3123">
        <v>23.16</v>
      </c>
      <c r="F3123">
        <v>1525000</v>
      </c>
      <c r="G3123">
        <v>23.16</v>
      </c>
    </row>
    <row r="3124" spans="1:7" x14ac:dyDescent="0.25">
      <c r="A3124" s="5">
        <v>19035</v>
      </c>
      <c r="B3124">
        <v>24.11</v>
      </c>
      <c r="C3124">
        <v>24.11</v>
      </c>
      <c r="D3124">
        <v>23.86</v>
      </c>
      <c r="E3124">
        <v>23.86</v>
      </c>
      <c r="F3124">
        <v>1245000</v>
      </c>
      <c r="G3124">
        <v>23.86</v>
      </c>
    </row>
    <row r="3125" spans="1:7" x14ac:dyDescent="0.25">
      <c r="A3125" s="5">
        <v>19028</v>
      </c>
      <c r="B3125">
        <v>24.12</v>
      </c>
      <c r="C3125">
        <v>24.24</v>
      </c>
      <c r="D3125">
        <v>24.11</v>
      </c>
      <c r="E3125">
        <v>24.24</v>
      </c>
      <c r="F3125">
        <v>1412000</v>
      </c>
      <c r="G3125">
        <v>24.24</v>
      </c>
    </row>
    <row r="3126" spans="1:7" x14ac:dyDescent="0.25">
      <c r="A3126" s="5">
        <v>19021</v>
      </c>
      <c r="B3126">
        <v>24.61</v>
      </c>
      <c r="C3126">
        <v>24.61</v>
      </c>
      <c r="D3126">
        <v>24.14</v>
      </c>
      <c r="E3126">
        <v>24.3</v>
      </c>
      <c r="F3126">
        <v>1672000</v>
      </c>
      <c r="G3126">
        <v>24.3</v>
      </c>
    </row>
    <row r="3127" spans="1:7" x14ac:dyDescent="0.25">
      <c r="A3127" s="5">
        <v>19014</v>
      </c>
      <c r="B3127">
        <v>24.46</v>
      </c>
      <c r="C3127">
        <v>24.66</v>
      </c>
      <c r="D3127">
        <v>24.46</v>
      </c>
      <c r="E3127">
        <v>24.55</v>
      </c>
      <c r="F3127">
        <v>1710000</v>
      </c>
      <c r="G3127">
        <v>24.55</v>
      </c>
    </row>
    <row r="3128" spans="1:7" x14ac:dyDescent="0.25">
      <c r="A3128" s="5">
        <v>19007</v>
      </c>
      <c r="B3128">
        <v>24.16</v>
      </c>
      <c r="C3128">
        <v>24.25</v>
      </c>
      <c r="D3128">
        <v>24.06</v>
      </c>
      <c r="E3128">
        <v>24.25</v>
      </c>
      <c r="F3128">
        <v>1522000</v>
      </c>
      <c r="G3128">
        <v>24.25</v>
      </c>
    </row>
    <row r="3129" spans="1:7" x14ac:dyDescent="0.25">
      <c r="A3129" s="5">
        <v>19000</v>
      </c>
      <c r="B3129">
        <v>23.91</v>
      </c>
      <c r="C3129">
        <v>23.98</v>
      </c>
      <c r="D3129">
        <v>23.74</v>
      </c>
      <c r="E3129">
        <v>23.98</v>
      </c>
      <c r="F3129">
        <v>1516000</v>
      </c>
      <c r="G3129">
        <v>23.98</v>
      </c>
    </row>
    <row r="3130" spans="1:7" x14ac:dyDescent="0.25">
      <c r="A3130" s="5">
        <v>18993</v>
      </c>
      <c r="B3130">
        <v>23.77</v>
      </c>
      <c r="C3130">
        <v>23.92</v>
      </c>
      <c r="D3130">
        <v>23.77</v>
      </c>
      <c r="E3130">
        <v>23.92</v>
      </c>
      <c r="F3130">
        <v>1302500</v>
      </c>
      <c r="G3130">
        <v>23.92</v>
      </c>
    </row>
    <row r="3131" spans="1:7" x14ac:dyDescent="0.25">
      <c r="A3131" s="5">
        <v>18986</v>
      </c>
      <c r="B3131">
        <v>23.54</v>
      </c>
      <c r="C3131">
        <v>23.69</v>
      </c>
      <c r="D3131">
        <v>23.44</v>
      </c>
      <c r="E3131">
        <v>23.69</v>
      </c>
      <c r="F3131">
        <v>1282500</v>
      </c>
      <c r="G3131">
        <v>23.69</v>
      </c>
    </row>
    <row r="3132" spans="1:7" x14ac:dyDescent="0.25">
      <c r="A3132" s="5">
        <v>18979</v>
      </c>
      <c r="B3132">
        <v>23.41</v>
      </c>
      <c r="C3132">
        <v>23.57</v>
      </c>
      <c r="D3132">
        <v>23.41</v>
      </c>
      <c r="E3132">
        <v>23.51</v>
      </c>
      <c r="F3132">
        <v>1322000</v>
      </c>
      <c r="G3132">
        <v>23.51</v>
      </c>
    </row>
    <row r="3133" spans="1:7" x14ac:dyDescent="0.25">
      <c r="A3133" s="5">
        <v>18972</v>
      </c>
      <c r="B3133">
        <v>23.42</v>
      </c>
      <c r="C3133">
        <v>23.42</v>
      </c>
      <c r="D3133">
        <v>23.3</v>
      </c>
      <c r="E3133">
        <v>23.37</v>
      </c>
      <c r="F3133">
        <v>1344000</v>
      </c>
      <c r="G3133">
        <v>23.37</v>
      </c>
    </row>
    <row r="3134" spans="1:7" x14ac:dyDescent="0.25">
      <c r="A3134" s="5">
        <v>18965</v>
      </c>
      <c r="B3134">
        <v>23.01</v>
      </c>
      <c r="C3134">
        <v>23.38</v>
      </c>
      <c r="D3134">
        <v>23.01</v>
      </c>
      <c r="E3134">
        <v>23.38</v>
      </c>
      <c r="F3134">
        <v>1532000</v>
      </c>
      <c r="G3134">
        <v>23.38</v>
      </c>
    </row>
    <row r="3135" spans="1:7" x14ac:dyDescent="0.25">
      <c r="A3135" s="5">
        <v>18958</v>
      </c>
      <c r="B3135">
        <v>22.43</v>
      </c>
      <c r="C3135">
        <v>22.88</v>
      </c>
      <c r="D3135">
        <v>22.43</v>
      </c>
      <c r="E3135">
        <v>22.88</v>
      </c>
      <c r="F3135">
        <v>1248000</v>
      </c>
      <c r="G3135">
        <v>22.88</v>
      </c>
    </row>
    <row r="3136" spans="1:7" x14ac:dyDescent="0.25">
      <c r="A3136" s="5">
        <v>18951</v>
      </c>
      <c r="B3136">
        <v>22.73</v>
      </c>
      <c r="C3136">
        <v>22.73</v>
      </c>
      <c r="D3136">
        <v>22.4</v>
      </c>
      <c r="E3136">
        <v>22.4</v>
      </c>
      <c r="F3136">
        <v>1115000</v>
      </c>
      <c r="G3136">
        <v>22.4</v>
      </c>
    </row>
    <row r="3137" spans="1:7" x14ac:dyDescent="0.25">
      <c r="A3137" s="5">
        <v>18945</v>
      </c>
      <c r="B3137">
        <v>22.79</v>
      </c>
      <c r="C3137">
        <v>22.85</v>
      </c>
      <c r="D3137">
        <v>22.79</v>
      </c>
      <c r="E3137">
        <v>22.82</v>
      </c>
      <c r="F3137">
        <v>1180000</v>
      </c>
      <c r="G3137">
        <v>22.82</v>
      </c>
    </row>
    <row r="3138" spans="1:7" x14ac:dyDescent="0.25">
      <c r="A3138" s="5">
        <v>18937</v>
      </c>
      <c r="B3138">
        <v>22.82</v>
      </c>
      <c r="C3138">
        <v>22.82</v>
      </c>
      <c r="D3138">
        <v>22.47</v>
      </c>
      <c r="E3138">
        <v>22.75</v>
      </c>
      <c r="F3138">
        <v>1375000</v>
      </c>
      <c r="G3138">
        <v>22.75</v>
      </c>
    </row>
    <row r="3139" spans="1:7" x14ac:dyDescent="0.25">
      <c r="A3139" s="5">
        <v>18930</v>
      </c>
      <c r="B3139">
        <v>22.69</v>
      </c>
      <c r="C3139">
        <v>23.1</v>
      </c>
      <c r="D3139">
        <v>22.66</v>
      </c>
      <c r="E3139">
        <v>22.93</v>
      </c>
      <c r="F3139">
        <v>1492000</v>
      </c>
      <c r="G3139">
        <v>22.93</v>
      </c>
    </row>
    <row r="3140" spans="1:7" x14ac:dyDescent="0.25">
      <c r="A3140" s="5">
        <v>18923</v>
      </c>
      <c r="B3140">
        <v>22.75</v>
      </c>
      <c r="C3140">
        <v>23.03</v>
      </c>
      <c r="D3140">
        <v>22.75</v>
      </c>
      <c r="E3140">
        <v>22.81</v>
      </c>
      <c r="F3140">
        <v>1908000</v>
      </c>
      <c r="G3140">
        <v>22.81</v>
      </c>
    </row>
    <row r="3141" spans="1:7" x14ac:dyDescent="0.25">
      <c r="A3141" s="5">
        <v>18916</v>
      </c>
      <c r="B3141">
        <v>23.85</v>
      </c>
      <c r="C3141">
        <v>23.85</v>
      </c>
      <c r="D3141">
        <v>23.32</v>
      </c>
      <c r="E3141">
        <v>23.32</v>
      </c>
      <c r="F3141">
        <v>1670000</v>
      </c>
      <c r="G3141">
        <v>23.32</v>
      </c>
    </row>
    <row r="3142" spans="1:7" x14ac:dyDescent="0.25">
      <c r="A3142" s="5">
        <v>18909</v>
      </c>
      <c r="B3142">
        <v>23.75</v>
      </c>
      <c r="C3142">
        <v>23.75</v>
      </c>
      <c r="D3142">
        <v>23.61</v>
      </c>
      <c r="E3142">
        <v>23.7</v>
      </c>
      <c r="F3142">
        <v>1672500</v>
      </c>
      <c r="G3142">
        <v>23.7</v>
      </c>
    </row>
    <row r="3143" spans="1:7" x14ac:dyDescent="0.25">
      <c r="A3143" s="5">
        <v>18902</v>
      </c>
      <c r="B3143">
        <v>23.47</v>
      </c>
      <c r="C3143">
        <v>23.79</v>
      </c>
      <c r="D3143">
        <v>23.47</v>
      </c>
      <c r="E3143">
        <v>23.78</v>
      </c>
      <c r="F3143">
        <v>1974000</v>
      </c>
      <c r="G3143">
        <v>23.78</v>
      </c>
    </row>
    <row r="3144" spans="1:7" x14ac:dyDescent="0.25">
      <c r="A3144" s="5">
        <v>18895</v>
      </c>
      <c r="B3144">
        <v>23.3</v>
      </c>
      <c r="C3144">
        <v>23.4</v>
      </c>
      <c r="D3144">
        <v>23.26</v>
      </c>
      <c r="E3144">
        <v>23.26</v>
      </c>
      <c r="F3144">
        <v>1564000</v>
      </c>
      <c r="G3144">
        <v>23.26</v>
      </c>
    </row>
    <row r="3145" spans="1:7" x14ac:dyDescent="0.25">
      <c r="A3145" s="5">
        <v>18888</v>
      </c>
      <c r="B3145">
        <v>23.62</v>
      </c>
      <c r="C3145">
        <v>23.62</v>
      </c>
      <c r="D3145">
        <v>23.4</v>
      </c>
      <c r="E3145">
        <v>23.4</v>
      </c>
      <c r="F3145">
        <v>2036000</v>
      </c>
      <c r="G3145">
        <v>23.4</v>
      </c>
    </row>
    <row r="3146" spans="1:7" x14ac:dyDescent="0.25">
      <c r="A3146" s="5">
        <v>18881</v>
      </c>
      <c r="B3146">
        <v>23.62</v>
      </c>
      <c r="C3146">
        <v>23.71</v>
      </c>
      <c r="D3146">
        <v>23.5</v>
      </c>
      <c r="E3146">
        <v>23.69</v>
      </c>
      <c r="F3146">
        <v>2186000</v>
      </c>
      <c r="G3146">
        <v>23.69</v>
      </c>
    </row>
    <row r="3147" spans="1:7" x14ac:dyDescent="0.25">
      <c r="A3147" s="5">
        <v>18875</v>
      </c>
      <c r="B3147">
        <v>23.28</v>
      </c>
      <c r="C3147">
        <v>23.53</v>
      </c>
      <c r="D3147">
        <v>23.28</v>
      </c>
      <c r="E3147">
        <v>23.53</v>
      </c>
      <c r="F3147">
        <v>1872500</v>
      </c>
      <c r="G3147">
        <v>23.53</v>
      </c>
    </row>
    <row r="3148" spans="1:7" x14ac:dyDescent="0.25">
      <c r="A3148" s="5">
        <v>18867</v>
      </c>
      <c r="B3148">
        <v>22.85</v>
      </c>
      <c r="C3148">
        <v>23.28</v>
      </c>
      <c r="D3148">
        <v>22.85</v>
      </c>
      <c r="E3148">
        <v>23.28</v>
      </c>
      <c r="F3148">
        <v>1472000</v>
      </c>
      <c r="G3148">
        <v>23.28</v>
      </c>
    </row>
    <row r="3149" spans="1:7" x14ac:dyDescent="0.25">
      <c r="A3149" s="5">
        <v>18860</v>
      </c>
      <c r="B3149">
        <v>22.93</v>
      </c>
      <c r="C3149">
        <v>22.93</v>
      </c>
      <c r="D3149">
        <v>22.75</v>
      </c>
      <c r="E3149">
        <v>22.88</v>
      </c>
      <c r="F3149">
        <v>1220000</v>
      </c>
      <c r="G3149">
        <v>22.88</v>
      </c>
    </row>
    <row r="3150" spans="1:7" x14ac:dyDescent="0.25">
      <c r="A3150" s="5">
        <v>18853</v>
      </c>
      <c r="B3150">
        <v>22.8</v>
      </c>
      <c r="C3150">
        <v>22.94</v>
      </c>
      <c r="D3150">
        <v>22.7</v>
      </c>
      <c r="E3150">
        <v>22.94</v>
      </c>
      <c r="F3150">
        <v>1442000</v>
      </c>
      <c r="G3150">
        <v>22.94</v>
      </c>
    </row>
    <row r="3151" spans="1:7" x14ac:dyDescent="0.25">
      <c r="A3151" s="5">
        <v>18846</v>
      </c>
      <c r="B3151">
        <v>23.01</v>
      </c>
      <c r="C3151">
        <v>23.03</v>
      </c>
      <c r="D3151">
        <v>22.79</v>
      </c>
      <c r="E3151">
        <v>22.79</v>
      </c>
      <c r="F3151">
        <v>1516000</v>
      </c>
      <c r="G3151">
        <v>22.79</v>
      </c>
    </row>
    <row r="3152" spans="1:7" x14ac:dyDescent="0.25">
      <c r="A3152" s="5">
        <v>18839</v>
      </c>
      <c r="B3152">
        <v>22.63</v>
      </c>
      <c r="C3152">
        <v>22.85</v>
      </c>
      <c r="D3152">
        <v>22.4</v>
      </c>
      <c r="E3152">
        <v>22.85</v>
      </c>
      <c r="F3152">
        <v>1706000</v>
      </c>
      <c r="G3152">
        <v>22.85</v>
      </c>
    </row>
    <row r="3153" spans="1:7" x14ac:dyDescent="0.25">
      <c r="A3153" s="5">
        <v>18832</v>
      </c>
      <c r="B3153">
        <v>22.1</v>
      </c>
      <c r="C3153">
        <v>22.53</v>
      </c>
      <c r="D3153">
        <v>22.1</v>
      </c>
      <c r="E3153">
        <v>22.53</v>
      </c>
      <c r="F3153">
        <v>1572000</v>
      </c>
      <c r="G3153">
        <v>22.53</v>
      </c>
    </row>
    <row r="3154" spans="1:7" x14ac:dyDescent="0.25">
      <c r="A3154" s="5">
        <v>18825</v>
      </c>
      <c r="B3154">
        <v>21.73</v>
      </c>
      <c r="C3154">
        <v>21.92</v>
      </c>
      <c r="D3154">
        <v>21.73</v>
      </c>
      <c r="E3154">
        <v>21.88</v>
      </c>
      <c r="F3154">
        <v>1272000</v>
      </c>
      <c r="G3154">
        <v>21.88</v>
      </c>
    </row>
    <row r="3155" spans="1:7" x14ac:dyDescent="0.25">
      <c r="A3155" s="5">
        <v>18818</v>
      </c>
      <c r="B3155">
        <v>21.73</v>
      </c>
      <c r="C3155">
        <v>21.98</v>
      </c>
      <c r="D3155">
        <v>21.63</v>
      </c>
      <c r="E3155">
        <v>21.98</v>
      </c>
      <c r="F3155">
        <v>1088000</v>
      </c>
      <c r="G3155">
        <v>21.98</v>
      </c>
    </row>
    <row r="3156" spans="1:7" x14ac:dyDescent="0.25">
      <c r="A3156" s="5">
        <v>18811</v>
      </c>
      <c r="B3156">
        <v>21.1</v>
      </c>
      <c r="C3156">
        <v>21.64</v>
      </c>
      <c r="D3156">
        <v>21.1</v>
      </c>
      <c r="E3156">
        <v>21.64</v>
      </c>
      <c r="F3156">
        <v>1295000</v>
      </c>
      <c r="G3156">
        <v>21.64</v>
      </c>
    </row>
    <row r="3157" spans="1:7" x14ac:dyDescent="0.25">
      <c r="A3157" s="5">
        <v>18804</v>
      </c>
      <c r="B3157">
        <v>21.29</v>
      </c>
      <c r="C3157">
        <v>21.37</v>
      </c>
      <c r="D3157">
        <v>20.96</v>
      </c>
      <c r="E3157">
        <v>20.96</v>
      </c>
      <c r="F3157">
        <v>1746000</v>
      </c>
      <c r="G3157">
        <v>20.96</v>
      </c>
    </row>
    <row r="3158" spans="1:7" x14ac:dyDescent="0.25">
      <c r="A3158" s="5">
        <v>18797</v>
      </c>
      <c r="B3158">
        <v>22.05</v>
      </c>
      <c r="C3158">
        <v>22.05</v>
      </c>
      <c r="D3158">
        <v>21.55</v>
      </c>
      <c r="E3158">
        <v>21.55</v>
      </c>
      <c r="F3158">
        <v>1142000</v>
      </c>
      <c r="G3158">
        <v>21.55</v>
      </c>
    </row>
    <row r="3159" spans="1:7" x14ac:dyDescent="0.25">
      <c r="A3159" s="5">
        <v>18790</v>
      </c>
      <c r="B3159">
        <v>21.61</v>
      </c>
      <c r="C3159">
        <v>22.04</v>
      </c>
      <c r="D3159">
        <v>21.52</v>
      </c>
      <c r="E3159">
        <v>22.04</v>
      </c>
      <c r="F3159">
        <v>1230000</v>
      </c>
      <c r="G3159">
        <v>22.04</v>
      </c>
    </row>
    <row r="3160" spans="1:7" x14ac:dyDescent="0.25">
      <c r="A3160" s="5">
        <v>18783</v>
      </c>
      <c r="B3160">
        <v>21.24</v>
      </c>
      <c r="C3160">
        <v>21.56</v>
      </c>
      <c r="D3160">
        <v>21.24</v>
      </c>
      <c r="E3160">
        <v>21.49</v>
      </c>
      <c r="F3160">
        <v>1164000</v>
      </c>
      <c r="G3160">
        <v>21.49</v>
      </c>
    </row>
    <row r="3161" spans="1:7" x14ac:dyDescent="0.25">
      <c r="A3161" s="5">
        <v>18776</v>
      </c>
      <c r="B3161">
        <v>21.21</v>
      </c>
      <c r="C3161">
        <v>21.52</v>
      </c>
      <c r="D3161">
        <v>21.21</v>
      </c>
      <c r="E3161">
        <v>21.48</v>
      </c>
      <c r="F3161">
        <v>3365000</v>
      </c>
      <c r="G3161">
        <v>21.48</v>
      </c>
    </row>
    <row r="3162" spans="1:7" x14ac:dyDescent="0.25">
      <c r="A3162" s="5">
        <v>18769</v>
      </c>
      <c r="B3162">
        <v>21.46</v>
      </c>
      <c r="C3162">
        <v>21.46</v>
      </c>
      <c r="D3162">
        <v>21.03</v>
      </c>
      <c r="E3162">
        <v>21.03</v>
      </c>
      <c r="F3162">
        <v>1670000</v>
      </c>
      <c r="G3162">
        <v>21.03</v>
      </c>
    </row>
    <row r="3163" spans="1:7" x14ac:dyDescent="0.25">
      <c r="A3163" s="5">
        <v>18762</v>
      </c>
      <c r="B3163">
        <v>22.18</v>
      </c>
      <c r="C3163">
        <v>22.18</v>
      </c>
      <c r="D3163">
        <v>21.51</v>
      </c>
      <c r="E3163">
        <v>21.51</v>
      </c>
      <c r="F3163">
        <v>1592000</v>
      </c>
      <c r="G3163">
        <v>21.51</v>
      </c>
    </row>
    <row r="3164" spans="1:7" x14ac:dyDescent="0.25">
      <c r="A3164" s="5">
        <v>18755</v>
      </c>
      <c r="B3164">
        <v>22.63</v>
      </c>
      <c r="C3164">
        <v>22.64</v>
      </c>
      <c r="D3164">
        <v>22.33</v>
      </c>
      <c r="E3164">
        <v>22.33</v>
      </c>
      <c r="F3164">
        <v>1688000</v>
      </c>
      <c r="G3164">
        <v>22.33</v>
      </c>
    </row>
    <row r="3165" spans="1:7" x14ac:dyDescent="0.25">
      <c r="A3165" s="5">
        <v>18748</v>
      </c>
      <c r="B3165">
        <v>22.43</v>
      </c>
      <c r="C3165">
        <v>22.81</v>
      </c>
      <c r="D3165">
        <v>22.43</v>
      </c>
      <c r="E3165">
        <v>22.77</v>
      </c>
      <c r="F3165">
        <v>1912000</v>
      </c>
      <c r="G3165">
        <v>22.77</v>
      </c>
    </row>
    <row r="3166" spans="1:7" x14ac:dyDescent="0.25">
      <c r="A3166" s="5">
        <v>18741</v>
      </c>
      <c r="B3166">
        <v>22.05</v>
      </c>
      <c r="C3166">
        <v>22.39</v>
      </c>
      <c r="D3166">
        <v>21.96</v>
      </c>
      <c r="E3166">
        <v>22.39</v>
      </c>
      <c r="F3166">
        <v>1604000</v>
      </c>
      <c r="G3166">
        <v>22.39</v>
      </c>
    </row>
    <row r="3167" spans="1:7" x14ac:dyDescent="0.25">
      <c r="A3167" s="5">
        <v>18734</v>
      </c>
      <c r="B3167">
        <v>22.04</v>
      </c>
      <c r="C3167">
        <v>22.13</v>
      </c>
      <c r="D3167">
        <v>22.04</v>
      </c>
      <c r="E3167">
        <v>22.04</v>
      </c>
      <c r="F3167">
        <v>1488000</v>
      </c>
      <c r="G3167">
        <v>22.04</v>
      </c>
    </row>
    <row r="3168" spans="1:7" x14ac:dyDescent="0.25">
      <c r="A3168" s="5">
        <v>18727</v>
      </c>
      <c r="B3168">
        <v>21.68</v>
      </c>
      <c r="C3168">
        <v>22.09</v>
      </c>
      <c r="D3168">
        <v>21.64</v>
      </c>
      <c r="E3168">
        <v>22.09</v>
      </c>
      <c r="F3168">
        <v>1492000</v>
      </c>
      <c r="G3168">
        <v>22.09</v>
      </c>
    </row>
    <row r="3169" spans="1:7" x14ac:dyDescent="0.25">
      <c r="A3169" s="5">
        <v>18720</v>
      </c>
      <c r="B3169">
        <v>21.32</v>
      </c>
      <c r="C3169">
        <v>21.72</v>
      </c>
      <c r="D3169">
        <v>21.26</v>
      </c>
      <c r="E3169">
        <v>21.72</v>
      </c>
      <c r="F3169">
        <v>1408000</v>
      </c>
      <c r="G3169">
        <v>21.72</v>
      </c>
    </row>
    <row r="3170" spans="1:7" x14ac:dyDescent="0.25">
      <c r="A3170" s="5">
        <v>18713</v>
      </c>
      <c r="B3170">
        <v>21.53</v>
      </c>
      <c r="C3170">
        <v>21.53</v>
      </c>
      <c r="D3170">
        <v>21.26</v>
      </c>
      <c r="E3170">
        <v>21.48</v>
      </c>
      <c r="F3170">
        <v>1340000</v>
      </c>
      <c r="G3170">
        <v>21.48</v>
      </c>
    </row>
    <row r="3171" spans="1:7" x14ac:dyDescent="0.25">
      <c r="A3171" s="5">
        <v>18706</v>
      </c>
      <c r="B3171">
        <v>21.56</v>
      </c>
      <c r="C3171">
        <v>21.73</v>
      </c>
      <c r="D3171">
        <v>21.52</v>
      </c>
      <c r="E3171">
        <v>21.73</v>
      </c>
      <c r="F3171">
        <v>1185000</v>
      </c>
      <c r="G3171">
        <v>21.73</v>
      </c>
    </row>
    <row r="3172" spans="1:7" x14ac:dyDescent="0.25">
      <c r="A3172" s="5">
        <v>18699</v>
      </c>
      <c r="B3172">
        <v>21.7</v>
      </c>
      <c r="C3172">
        <v>21.7</v>
      </c>
      <c r="D3172">
        <v>21.25</v>
      </c>
      <c r="E3172">
        <v>21.64</v>
      </c>
      <c r="F3172">
        <v>1962000</v>
      </c>
      <c r="G3172">
        <v>21.64</v>
      </c>
    </row>
    <row r="3173" spans="1:7" x14ac:dyDescent="0.25">
      <c r="A3173" s="5">
        <v>18692</v>
      </c>
      <c r="B3173">
        <v>21.79</v>
      </c>
      <c r="C3173">
        <v>21.95</v>
      </c>
      <c r="D3173">
        <v>21.79</v>
      </c>
      <c r="E3173">
        <v>21.95</v>
      </c>
      <c r="F3173">
        <v>1600000</v>
      </c>
      <c r="G3173">
        <v>21.95</v>
      </c>
    </row>
    <row r="3174" spans="1:7" x14ac:dyDescent="0.25">
      <c r="A3174" s="5">
        <v>18685</v>
      </c>
      <c r="B3174">
        <v>21.93</v>
      </c>
      <c r="C3174">
        <v>21.93</v>
      </c>
      <c r="D3174">
        <v>21.76</v>
      </c>
      <c r="E3174">
        <v>21.93</v>
      </c>
      <c r="F3174">
        <v>1630000</v>
      </c>
      <c r="G3174">
        <v>21.93</v>
      </c>
    </row>
    <row r="3175" spans="1:7" x14ac:dyDescent="0.25">
      <c r="A3175" s="5">
        <v>18678</v>
      </c>
      <c r="B3175">
        <v>21.83</v>
      </c>
      <c r="C3175">
        <v>21.92</v>
      </c>
      <c r="D3175">
        <v>21.79</v>
      </c>
      <c r="E3175">
        <v>21.92</v>
      </c>
      <c r="F3175">
        <v>1782500</v>
      </c>
      <c r="G3175">
        <v>21.92</v>
      </c>
    </row>
    <row r="3176" spans="1:7" x14ac:dyDescent="0.25">
      <c r="A3176" s="5">
        <v>18672</v>
      </c>
      <c r="B3176">
        <v>22.18</v>
      </c>
      <c r="C3176">
        <v>22.18</v>
      </c>
      <c r="D3176">
        <v>22</v>
      </c>
      <c r="E3176">
        <v>22.13</v>
      </c>
      <c r="F3176">
        <v>2002500</v>
      </c>
      <c r="G3176">
        <v>22.13</v>
      </c>
    </row>
    <row r="3177" spans="1:7" x14ac:dyDescent="0.25">
      <c r="A3177" s="5">
        <v>18664</v>
      </c>
      <c r="B3177">
        <v>22.2</v>
      </c>
      <c r="C3177">
        <v>22.2</v>
      </c>
      <c r="D3177">
        <v>21.99</v>
      </c>
      <c r="E3177">
        <v>22.17</v>
      </c>
      <c r="F3177">
        <v>2348000</v>
      </c>
      <c r="G3177">
        <v>22.17</v>
      </c>
    </row>
    <row r="3178" spans="1:7" x14ac:dyDescent="0.25">
      <c r="A3178" s="5">
        <v>18657</v>
      </c>
      <c r="B3178">
        <v>21.67</v>
      </c>
      <c r="C3178">
        <v>21.96</v>
      </c>
      <c r="D3178">
        <v>21.66</v>
      </c>
      <c r="E3178">
        <v>21.96</v>
      </c>
      <c r="F3178">
        <v>2572000</v>
      </c>
      <c r="G3178">
        <v>21.96</v>
      </c>
    </row>
    <row r="3179" spans="1:7" x14ac:dyDescent="0.25">
      <c r="A3179" s="5">
        <v>18650</v>
      </c>
      <c r="B3179">
        <v>21.18</v>
      </c>
      <c r="C3179">
        <v>21.26</v>
      </c>
      <c r="D3179">
        <v>21.03</v>
      </c>
      <c r="E3179">
        <v>21.26</v>
      </c>
      <c r="F3179">
        <v>2278000</v>
      </c>
      <c r="G3179">
        <v>21.26</v>
      </c>
    </row>
    <row r="3180" spans="1:7" x14ac:dyDescent="0.25">
      <c r="A3180" s="5">
        <v>18643</v>
      </c>
      <c r="B3180">
        <v>21.3</v>
      </c>
      <c r="C3180">
        <v>21.55</v>
      </c>
      <c r="D3180">
        <v>21.3</v>
      </c>
      <c r="E3180">
        <v>21.36</v>
      </c>
      <c r="F3180">
        <v>3422000</v>
      </c>
      <c r="G3180">
        <v>21.36</v>
      </c>
    </row>
    <row r="3181" spans="1:7" x14ac:dyDescent="0.25">
      <c r="A3181" s="5">
        <v>18636</v>
      </c>
      <c r="B3181">
        <v>21</v>
      </c>
      <c r="C3181">
        <v>21.19</v>
      </c>
      <c r="D3181">
        <v>20.85</v>
      </c>
      <c r="E3181">
        <v>21.11</v>
      </c>
      <c r="F3181">
        <v>3258000</v>
      </c>
      <c r="G3181">
        <v>21.11</v>
      </c>
    </row>
    <row r="3182" spans="1:7" x14ac:dyDescent="0.25">
      <c r="A3182" s="5">
        <v>18630</v>
      </c>
      <c r="B3182">
        <v>20.77</v>
      </c>
      <c r="C3182">
        <v>20.87</v>
      </c>
      <c r="D3182">
        <v>20.69</v>
      </c>
      <c r="E3182">
        <v>20.87</v>
      </c>
      <c r="F3182">
        <v>3295000</v>
      </c>
      <c r="G3182">
        <v>20.87</v>
      </c>
    </row>
    <row r="3183" spans="1:7" x14ac:dyDescent="0.25">
      <c r="A3183" s="5">
        <v>18623</v>
      </c>
      <c r="B3183">
        <v>19.920000000000002</v>
      </c>
      <c r="C3183">
        <v>20.43</v>
      </c>
      <c r="D3183">
        <v>19.920000000000002</v>
      </c>
      <c r="E3183">
        <v>20.43</v>
      </c>
      <c r="F3183">
        <v>3150000</v>
      </c>
      <c r="G3183">
        <v>20.43</v>
      </c>
    </row>
    <row r="3184" spans="1:7" x14ac:dyDescent="0.25">
      <c r="A3184" s="5">
        <v>18615</v>
      </c>
      <c r="B3184">
        <v>19.850000000000001</v>
      </c>
      <c r="C3184">
        <v>20.07</v>
      </c>
      <c r="D3184">
        <v>19.850000000000001</v>
      </c>
      <c r="E3184">
        <v>20.07</v>
      </c>
      <c r="F3184">
        <v>3674000</v>
      </c>
      <c r="G3184">
        <v>20.07</v>
      </c>
    </row>
    <row r="3185" spans="1:7" x14ac:dyDescent="0.25">
      <c r="A3185" s="5">
        <v>18608</v>
      </c>
      <c r="B3185">
        <v>19.72</v>
      </c>
      <c r="C3185">
        <v>19.72</v>
      </c>
      <c r="D3185">
        <v>19.329999999999998</v>
      </c>
      <c r="E3185">
        <v>19.329999999999998</v>
      </c>
      <c r="F3185">
        <v>2370000</v>
      </c>
      <c r="G3185">
        <v>19.329999999999998</v>
      </c>
    </row>
    <row r="3186" spans="1:7" x14ac:dyDescent="0.25">
      <c r="A3186" s="5">
        <v>18601</v>
      </c>
      <c r="B3186">
        <v>19</v>
      </c>
      <c r="C3186">
        <v>19.45</v>
      </c>
      <c r="D3186">
        <v>19</v>
      </c>
      <c r="E3186">
        <v>19.399999999999999</v>
      </c>
      <c r="F3186">
        <v>2116000</v>
      </c>
      <c r="G3186">
        <v>19.399999999999999</v>
      </c>
    </row>
    <row r="3187" spans="1:7" x14ac:dyDescent="0.25">
      <c r="A3187" s="5">
        <v>18594</v>
      </c>
      <c r="B3187">
        <v>20.18</v>
      </c>
      <c r="C3187">
        <v>20.18</v>
      </c>
      <c r="D3187">
        <v>19.37</v>
      </c>
      <c r="E3187">
        <v>19.66</v>
      </c>
      <c r="F3187">
        <v>2286000</v>
      </c>
      <c r="G3187">
        <v>19.66</v>
      </c>
    </row>
    <row r="3188" spans="1:7" x14ac:dyDescent="0.25">
      <c r="A3188" s="5">
        <v>18587</v>
      </c>
      <c r="B3188">
        <v>19.93</v>
      </c>
      <c r="C3188">
        <v>20.32</v>
      </c>
      <c r="D3188">
        <v>19.88</v>
      </c>
      <c r="E3188">
        <v>20.32</v>
      </c>
      <c r="F3188">
        <v>2402500</v>
      </c>
      <c r="G3188">
        <v>20.32</v>
      </c>
    </row>
    <row r="3189" spans="1:7" x14ac:dyDescent="0.25">
      <c r="A3189" s="5">
        <v>18580</v>
      </c>
      <c r="B3189">
        <v>20.010000000000002</v>
      </c>
      <c r="C3189">
        <v>20.010000000000002</v>
      </c>
      <c r="D3189">
        <v>19.72</v>
      </c>
      <c r="E3189">
        <v>19.86</v>
      </c>
      <c r="F3189">
        <v>1784000</v>
      </c>
      <c r="G3189">
        <v>19.86</v>
      </c>
    </row>
    <row r="3190" spans="1:7" x14ac:dyDescent="0.25">
      <c r="A3190" s="5">
        <v>18573</v>
      </c>
      <c r="B3190">
        <v>19.36</v>
      </c>
      <c r="C3190">
        <v>19.940000000000001</v>
      </c>
      <c r="D3190">
        <v>19.36</v>
      </c>
      <c r="E3190">
        <v>19.940000000000001</v>
      </c>
      <c r="F3190">
        <v>1957500</v>
      </c>
      <c r="G3190">
        <v>19.940000000000001</v>
      </c>
    </row>
    <row r="3191" spans="1:7" x14ac:dyDescent="0.25">
      <c r="A3191" s="5">
        <v>18566</v>
      </c>
      <c r="B3191">
        <v>19.61</v>
      </c>
      <c r="C3191">
        <v>19.850000000000001</v>
      </c>
      <c r="D3191">
        <v>19.53</v>
      </c>
      <c r="E3191">
        <v>19.850000000000001</v>
      </c>
      <c r="F3191">
        <v>1744000</v>
      </c>
      <c r="G3191">
        <v>19.850000000000001</v>
      </c>
    </row>
    <row r="3192" spans="1:7" x14ac:dyDescent="0.25">
      <c r="A3192" s="5">
        <v>18559</v>
      </c>
      <c r="B3192">
        <v>19.96</v>
      </c>
      <c r="C3192">
        <v>20.079999999999998</v>
      </c>
      <c r="D3192">
        <v>19.61</v>
      </c>
      <c r="E3192">
        <v>19.77</v>
      </c>
      <c r="F3192">
        <v>2074000</v>
      </c>
      <c r="G3192">
        <v>19.77</v>
      </c>
    </row>
    <row r="3193" spans="1:7" x14ac:dyDescent="0.25">
      <c r="A3193" s="5">
        <v>18552</v>
      </c>
      <c r="B3193">
        <v>19.71</v>
      </c>
      <c r="C3193">
        <v>20.02</v>
      </c>
      <c r="D3193">
        <v>19.71</v>
      </c>
      <c r="E3193">
        <v>19.96</v>
      </c>
      <c r="F3193">
        <v>2028000</v>
      </c>
      <c r="G3193">
        <v>19.96</v>
      </c>
    </row>
    <row r="3194" spans="1:7" x14ac:dyDescent="0.25">
      <c r="A3194" s="5">
        <v>18545</v>
      </c>
      <c r="B3194">
        <v>20</v>
      </c>
      <c r="C3194">
        <v>20</v>
      </c>
      <c r="D3194">
        <v>19.78</v>
      </c>
      <c r="E3194">
        <v>19.850000000000001</v>
      </c>
      <c r="F3194">
        <v>2107500</v>
      </c>
      <c r="G3194">
        <v>19.850000000000001</v>
      </c>
    </row>
    <row r="3195" spans="1:7" x14ac:dyDescent="0.25">
      <c r="A3195" s="5">
        <v>18538</v>
      </c>
      <c r="B3195">
        <v>19.690000000000001</v>
      </c>
      <c r="C3195">
        <v>20.12</v>
      </c>
      <c r="D3195">
        <v>19.66</v>
      </c>
      <c r="E3195">
        <v>20.12</v>
      </c>
      <c r="F3195">
        <v>2490000</v>
      </c>
      <c r="G3195">
        <v>20.12</v>
      </c>
    </row>
    <row r="3196" spans="1:7" x14ac:dyDescent="0.25">
      <c r="A3196" s="5">
        <v>18531</v>
      </c>
      <c r="B3196">
        <v>19.420000000000002</v>
      </c>
      <c r="C3196">
        <v>19.45</v>
      </c>
      <c r="D3196">
        <v>19.14</v>
      </c>
      <c r="E3196">
        <v>19.45</v>
      </c>
      <c r="F3196">
        <v>2132000</v>
      </c>
      <c r="G3196">
        <v>19.45</v>
      </c>
    </row>
    <row r="3197" spans="1:7" x14ac:dyDescent="0.25">
      <c r="A3197" s="5">
        <v>18524</v>
      </c>
      <c r="B3197">
        <v>19.37</v>
      </c>
      <c r="C3197">
        <v>19.440000000000001</v>
      </c>
      <c r="D3197">
        <v>19.21</v>
      </c>
      <c r="E3197">
        <v>19.440000000000001</v>
      </c>
      <c r="F3197">
        <v>1978000</v>
      </c>
      <c r="G3197">
        <v>19.440000000000001</v>
      </c>
    </row>
    <row r="3198" spans="1:7" x14ac:dyDescent="0.25">
      <c r="A3198" s="5">
        <v>18517</v>
      </c>
      <c r="B3198">
        <v>18.61</v>
      </c>
      <c r="C3198">
        <v>19.29</v>
      </c>
      <c r="D3198">
        <v>18.61</v>
      </c>
      <c r="E3198">
        <v>19.29</v>
      </c>
      <c r="F3198">
        <v>2180000</v>
      </c>
      <c r="G3198">
        <v>19.29</v>
      </c>
    </row>
    <row r="3199" spans="1:7" x14ac:dyDescent="0.25">
      <c r="A3199" s="5">
        <v>18511</v>
      </c>
      <c r="B3199">
        <v>18.68</v>
      </c>
      <c r="C3199">
        <v>18.75</v>
      </c>
      <c r="D3199">
        <v>18.54</v>
      </c>
      <c r="E3199">
        <v>18.75</v>
      </c>
      <c r="F3199">
        <v>1462500</v>
      </c>
      <c r="G3199">
        <v>18.75</v>
      </c>
    </row>
    <row r="3200" spans="1:7" x14ac:dyDescent="0.25">
      <c r="A3200" s="5">
        <v>18503</v>
      </c>
      <c r="B3200">
        <v>18.53</v>
      </c>
      <c r="C3200">
        <v>18.55</v>
      </c>
      <c r="D3200">
        <v>18.420000000000002</v>
      </c>
      <c r="E3200">
        <v>18.55</v>
      </c>
      <c r="F3200">
        <v>1422000</v>
      </c>
      <c r="G3200">
        <v>18.55</v>
      </c>
    </row>
    <row r="3201" spans="1:7" x14ac:dyDescent="0.25">
      <c r="A3201" s="5">
        <v>18496</v>
      </c>
      <c r="B3201">
        <v>18.7</v>
      </c>
      <c r="C3201">
        <v>18.82</v>
      </c>
      <c r="D3201">
        <v>18.54</v>
      </c>
      <c r="E3201">
        <v>18.54</v>
      </c>
      <c r="F3201">
        <v>1640000</v>
      </c>
      <c r="G3201">
        <v>18.54</v>
      </c>
    </row>
    <row r="3202" spans="1:7" x14ac:dyDescent="0.25">
      <c r="A3202" s="5">
        <v>18489</v>
      </c>
      <c r="B3202">
        <v>18.29</v>
      </c>
      <c r="C3202">
        <v>18.68</v>
      </c>
      <c r="D3202">
        <v>18.29</v>
      </c>
      <c r="E3202">
        <v>18.68</v>
      </c>
      <c r="F3202">
        <v>1666000</v>
      </c>
      <c r="G3202">
        <v>18.68</v>
      </c>
    </row>
    <row r="3203" spans="1:7" x14ac:dyDescent="0.25">
      <c r="A3203" s="5">
        <v>18482</v>
      </c>
      <c r="B3203">
        <v>18.41</v>
      </c>
      <c r="C3203">
        <v>18.61</v>
      </c>
      <c r="D3203">
        <v>18.28</v>
      </c>
      <c r="E3203">
        <v>18.28</v>
      </c>
      <c r="F3203">
        <v>1868000</v>
      </c>
      <c r="G3203">
        <v>18.28</v>
      </c>
    </row>
    <row r="3204" spans="1:7" x14ac:dyDescent="0.25">
      <c r="A3204" s="5">
        <v>18475</v>
      </c>
      <c r="B3204">
        <v>17.84</v>
      </c>
      <c r="C3204">
        <v>18.14</v>
      </c>
      <c r="D3204">
        <v>17.84</v>
      </c>
      <c r="E3204">
        <v>18.14</v>
      </c>
      <c r="F3204">
        <v>1760000</v>
      </c>
      <c r="G3204">
        <v>18.14</v>
      </c>
    </row>
    <row r="3205" spans="1:7" x14ac:dyDescent="0.25">
      <c r="A3205" s="5">
        <v>18468</v>
      </c>
      <c r="B3205">
        <v>17.48</v>
      </c>
      <c r="C3205">
        <v>17.690000000000001</v>
      </c>
      <c r="D3205">
        <v>17.23</v>
      </c>
      <c r="E3205">
        <v>17.690000000000001</v>
      </c>
      <c r="F3205">
        <v>2376000</v>
      </c>
      <c r="G3205">
        <v>17.690000000000001</v>
      </c>
    </row>
    <row r="3206" spans="1:7" x14ac:dyDescent="0.25">
      <c r="A3206" s="5">
        <v>18461</v>
      </c>
      <c r="B3206">
        <v>16.68</v>
      </c>
      <c r="C3206">
        <v>17.61</v>
      </c>
      <c r="D3206">
        <v>16.68</v>
      </c>
      <c r="E3206">
        <v>17.59</v>
      </c>
      <c r="F3206">
        <v>2348000</v>
      </c>
      <c r="G3206">
        <v>17.59</v>
      </c>
    </row>
    <row r="3207" spans="1:7" x14ac:dyDescent="0.25">
      <c r="A3207" s="5">
        <v>18454</v>
      </c>
      <c r="B3207">
        <v>17.59</v>
      </c>
      <c r="C3207">
        <v>17.59</v>
      </c>
      <c r="D3207">
        <v>16.690000000000001</v>
      </c>
      <c r="E3207">
        <v>16.87</v>
      </c>
      <c r="F3207">
        <v>2594000</v>
      </c>
      <c r="G3207">
        <v>16.87</v>
      </c>
    </row>
    <row r="3208" spans="1:7" x14ac:dyDescent="0.25">
      <c r="A3208" s="5">
        <v>18447</v>
      </c>
      <c r="B3208">
        <v>17.64</v>
      </c>
      <c r="C3208">
        <v>17.91</v>
      </c>
      <c r="D3208">
        <v>17.64</v>
      </c>
      <c r="E3208">
        <v>17.670000000000002</v>
      </c>
      <c r="F3208">
        <v>1597500</v>
      </c>
      <c r="G3208">
        <v>17.670000000000002</v>
      </c>
    </row>
    <row r="3209" spans="1:7" x14ac:dyDescent="0.25">
      <c r="A3209" s="5">
        <v>18440</v>
      </c>
      <c r="B3209">
        <v>18.11</v>
      </c>
      <c r="C3209">
        <v>18.11</v>
      </c>
      <c r="D3209">
        <v>17.440000000000001</v>
      </c>
      <c r="E3209">
        <v>17.690000000000001</v>
      </c>
      <c r="F3209">
        <v>3422000</v>
      </c>
      <c r="G3209">
        <v>17.690000000000001</v>
      </c>
    </row>
    <row r="3210" spans="1:7" x14ac:dyDescent="0.25">
      <c r="A3210" s="5">
        <v>18433</v>
      </c>
      <c r="B3210">
        <v>18.920000000000002</v>
      </c>
      <c r="C3210">
        <v>19.16</v>
      </c>
      <c r="D3210">
        <v>18.829999999999998</v>
      </c>
      <c r="E3210">
        <v>19.14</v>
      </c>
      <c r="F3210">
        <v>1608000</v>
      </c>
      <c r="G3210">
        <v>19.14</v>
      </c>
    </row>
    <row r="3211" spans="1:7" x14ac:dyDescent="0.25">
      <c r="A3211" s="5">
        <v>18426</v>
      </c>
      <c r="B3211">
        <v>19.399999999999999</v>
      </c>
      <c r="C3211">
        <v>19.399999999999999</v>
      </c>
      <c r="D3211">
        <v>18.93</v>
      </c>
      <c r="E3211">
        <v>18.97</v>
      </c>
      <c r="F3211">
        <v>1588000</v>
      </c>
      <c r="G3211">
        <v>18.97</v>
      </c>
    </row>
    <row r="3212" spans="1:7" x14ac:dyDescent="0.25">
      <c r="A3212" s="5">
        <v>18419</v>
      </c>
      <c r="B3212">
        <v>18.600000000000001</v>
      </c>
      <c r="C3212">
        <v>19.260000000000002</v>
      </c>
      <c r="D3212">
        <v>18.600000000000001</v>
      </c>
      <c r="E3212">
        <v>19.260000000000002</v>
      </c>
      <c r="F3212">
        <v>1908000</v>
      </c>
      <c r="G3212">
        <v>19.260000000000002</v>
      </c>
    </row>
    <row r="3213" spans="1:7" x14ac:dyDescent="0.25">
      <c r="A3213" s="5">
        <v>18412</v>
      </c>
      <c r="B3213">
        <v>18.72</v>
      </c>
      <c r="C3213">
        <v>18.79</v>
      </c>
      <c r="D3213">
        <v>18.72</v>
      </c>
      <c r="E3213">
        <v>18.79</v>
      </c>
      <c r="F3213">
        <v>1417500</v>
      </c>
      <c r="G3213">
        <v>18.79</v>
      </c>
    </row>
    <row r="3214" spans="1:7" x14ac:dyDescent="0.25">
      <c r="A3214" s="5">
        <v>18405</v>
      </c>
      <c r="B3214">
        <v>18.600000000000001</v>
      </c>
      <c r="C3214">
        <v>18.71</v>
      </c>
      <c r="D3214">
        <v>18.600000000000001</v>
      </c>
      <c r="E3214">
        <v>18.670000000000002</v>
      </c>
      <c r="F3214">
        <v>1548000</v>
      </c>
      <c r="G3214">
        <v>18.670000000000002</v>
      </c>
    </row>
    <row r="3215" spans="1:7" x14ac:dyDescent="0.25">
      <c r="A3215" s="5">
        <v>18398</v>
      </c>
      <c r="B3215">
        <v>18.260000000000002</v>
      </c>
      <c r="C3215">
        <v>18.68</v>
      </c>
      <c r="D3215">
        <v>18.260000000000002</v>
      </c>
      <c r="E3215">
        <v>18.68</v>
      </c>
      <c r="F3215">
        <v>2464000</v>
      </c>
      <c r="G3215">
        <v>18.68</v>
      </c>
    </row>
    <row r="3216" spans="1:7" x14ac:dyDescent="0.25">
      <c r="A3216" s="5">
        <v>18391</v>
      </c>
      <c r="B3216">
        <v>18.27</v>
      </c>
      <c r="C3216">
        <v>18.29</v>
      </c>
      <c r="D3216">
        <v>18.18</v>
      </c>
      <c r="E3216">
        <v>18.18</v>
      </c>
      <c r="F3216">
        <v>1764000</v>
      </c>
      <c r="G3216">
        <v>18.18</v>
      </c>
    </row>
    <row r="3217" spans="1:7" x14ac:dyDescent="0.25">
      <c r="A3217" s="5">
        <v>18384</v>
      </c>
      <c r="B3217">
        <v>18.22</v>
      </c>
      <c r="C3217">
        <v>18.27</v>
      </c>
      <c r="D3217">
        <v>18.11</v>
      </c>
      <c r="E3217">
        <v>18.22</v>
      </c>
      <c r="F3217">
        <v>2142000</v>
      </c>
      <c r="G3217">
        <v>18.22</v>
      </c>
    </row>
    <row r="3218" spans="1:7" x14ac:dyDescent="0.25">
      <c r="A3218" s="5">
        <v>18377</v>
      </c>
      <c r="B3218">
        <v>17.829999999999998</v>
      </c>
      <c r="C3218">
        <v>17.96</v>
      </c>
      <c r="D3218">
        <v>17.760000000000002</v>
      </c>
      <c r="E3218">
        <v>17.96</v>
      </c>
      <c r="F3218">
        <v>2056000</v>
      </c>
      <c r="G3218">
        <v>17.96</v>
      </c>
    </row>
    <row r="3219" spans="1:7" x14ac:dyDescent="0.25">
      <c r="A3219" s="5">
        <v>18370</v>
      </c>
      <c r="B3219">
        <v>17.88</v>
      </c>
      <c r="C3219">
        <v>18.05</v>
      </c>
      <c r="D3219">
        <v>17.88</v>
      </c>
      <c r="E3219">
        <v>17.96</v>
      </c>
      <c r="F3219">
        <v>2818000</v>
      </c>
      <c r="G3219">
        <v>17.96</v>
      </c>
    </row>
    <row r="3220" spans="1:7" x14ac:dyDescent="0.25">
      <c r="A3220" s="5">
        <v>18363</v>
      </c>
      <c r="B3220">
        <v>17.850000000000001</v>
      </c>
      <c r="C3220">
        <v>17.98</v>
      </c>
      <c r="D3220">
        <v>17.75</v>
      </c>
      <c r="E3220">
        <v>17.96</v>
      </c>
      <c r="F3220">
        <v>2250000</v>
      </c>
      <c r="G3220">
        <v>17.96</v>
      </c>
    </row>
    <row r="3221" spans="1:7" x14ac:dyDescent="0.25">
      <c r="A3221" s="5">
        <v>18356</v>
      </c>
      <c r="B3221">
        <v>17.53</v>
      </c>
      <c r="C3221">
        <v>17.78</v>
      </c>
      <c r="D3221">
        <v>17.53</v>
      </c>
      <c r="E3221">
        <v>17.78</v>
      </c>
      <c r="F3221">
        <v>1752500</v>
      </c>
      <c r="G3221">
        <v>17.78</v>
      </c>
    </row>
    <row r="3222" spans="1:7" x14ac:dyDescent="0.25">
      <c r="A3222" s="5">
        <v>18349</v>
      </c>
      <c r="B3222">
        <v>17.46</v>
      </c>
      <c r="C3222">
        <v>17.53</v>
      </c>
      <c r="D3222">
        <v>17.29</v>
      </c>
      <c r="E3222">
        <v>17.29</v>
      </c>
      <c r="F3222">
        <v>2010000</v>
      </c>
      <c r="G3222">
        <v>17.29</v>
      </c>
    </row>
    <row r="3223" spans="1:7" x14ac:dyDescent="0.25">
      <c r="A3223" s="5">
        <v>18342</v>
      </c>
      <c r="B3223">
        <v>17.440000000000001</v>
      </c>
      <c r="C3223">
        <v>17.559999999999999</v>
      </c>
      <c r="D3223">
        <v>17.440000000000001</v>
      </c>
      <c r="E3223">
        <v>17.559999999999999</v>
      </c>
      <c r="F3223">
        <v>1686000</v>
      </c>
      <c r="G3223">
        <v>17.559999999999999</v>
      </c>
    </row>
    <row r="3224" spans="1:7" x14ac:dyDescent="0.25">
      <c r="A3224" s="5">
        <v>18335</v>
      </c>
      <c r="B3224">
        <v>17.12</v>
      </c>
      <c r="C3224">
        <v>17.489999999999998</v>
      </c>
      <c r="D3224">
        <v>17.12</v>
      </c>
      <c r="E3224">
        <v>17.45</v>
      </c>
      <c r="F3224">
        <v>1538000</v>
      </c>
      <c r="G3224">
        <v>17.45</v>
      </c>
    </row>
    <row r="3225" spans="1:7" x14ac:dyDescent="0.25">
      <c r="A3225" s="5">
        <v>18328</v>
      </c>
      <c r="B3225">
        <v>17.32</v>
      </c>
      <c r="C3225">
        <v>17.32</v>
      </c>
      <c r="D3225">
        <v>17.07</v>
      </c>
      <c r="E3225">
        <v>17.09</v>
      </c>
      <c r="F3225">
        <v>1402000</v>
      </c>
      <c r="G3225">
        <v>17.09</v>
      </c>
    </row>
    <row r="3226" spans="1:7" x14ac:dyDescent="0.25">
      <c r="A3226" s="5">
        <v>18321</v>
      </c>
      <c r="B3226">
        <v>17.28</v>
      </c>
      <c r="C3226">
        <v>17.29</v>
      </c>
      <c r="D3226">
        <v>17.22</v>
      </c>
      <c r="E3226">
        <v>17.29</v>
      </c>
      <c r="F3226">
        <v>1398000</v>
      </c>
      <c r="G3226">
        <v>17.29</v>
      </c>
    </row>
    <row r="3227" spans="1:7" x14ac:dyDescent="0.25">
      <c r="A3227" s="5">
        <v>18314</v>
      </c>
      <c r="B3227">
        <v>17.2</v>
      </c>
      <c r="C3227">
        <v>17.28</v>
      </c>
      <c r="D3227">
        <v>17.170000000000002</v>
      </c>
      <c r="E3227">
        <v>17.28</v>
      </c>
      <c r="F3227">
        <v>1425000</v>
      </c>
      <c r="G3227">
        <v>17.28</v>
      </c>
    </row>
    <row r="3228" spans="1:7" x14ac:dyDescent="0.25">
      <c r="A3228" s="5">
        <v>18308</v>
      </c>
      <c r="B3228">
        <v>17.059999999999999</v>
      </c>
      <c r="C3228">
        <v>17.149999999999999</v>
      </c>
      <c r="D3228">
        <v>16.989999999999998</v>
      </c>
      <c r="E3228">
        <v>17.149999999999999</v>
      </c>
      <c r="F3228">
        <v>1950000</v>
      </c>
      <c r="G3228">
        <v>17.149999999999999</v>
      </c>
    </row>
    <row r="3229" spans="1:7" x14ac:dyDescent="0.25">
      <c r="A3229" s="5">
        <v>18300</v>
      </c>
      <c r="B3229">
        <v>17.32</v>
      </c>
      <c r="C3229">
        <v>17.32</v>
      </c>
      <c r="D3229">
        <v>17.21</v>
      </c>
      <c r="E3229">
        <v>17.239999999999998</v>
      </c>
      <c r="F3229">
        <v>1584000</v>
      </c>
      <c r="G3229">
        <v>17.239999999999998</v>
      </c>
    </row>
    <row r="3230" spans="1:7" x14ac:dyDescent="0.25">
      <c r="A3230" s="5">
        <v>18293</v>
      </c>
      <c r="B3230">
        <v>17.02</v>
      </c>
      <c r="C3230">
        <v>17.29</v>
      </c>
      <c r="D3230">
        <v>17.02</v>
      </c>
      <c r="E3230">
        <v>17.29</v>
      </c>
      <c r="F3230">
        <v>1878000</v>
      </c>
      <c r="G3230">
        <v>17.29</v>
      </c>
    </row>
    <row r="3231" spans="1:7" x14ac:dyDescent="0.25">
      <c r="A3231" s="5">
        <v>18286</v>
      </c>
      <c r="B3231">
        <v>16.920000000000002</v>
      </c>
      <c r="C3231">
        <v>16.920000000000002</v>
      </c>
      <c r="D3231">
        <v>16.73</v>
      </c>
      <c r="E3231">
        <v>16.82</v>
      </c>
      <c r="F3231">
        <v>1338000</v>
      </c>
      <c r="G3231">
        <v>16.82</v>
      </c>
    </row>
    <row r="3232" spans="1:7" x14ac:dyDescent="0.25">
      <c r="A3232" s="5">
        <v>18279</v>
      </c>
      <c r="B3232">
        <v>16.72</v>
      </c>
      <c r="C3232">
        <v>16.899999999999999</v>
      </c>
      <c r="D3232">
        <v>16.72</v>
      </c>
      <c r="E3232">
        <v>16.899999999999999</v>
      </c>
      <c r="F3232">
        <v>1486000</v>
      </c>
      <c r="G3232">
        <v>16.899999999999999</v>
      </c>
    </row>
    <row r="3233" spans="1:7" x14ac:dyDescent="0.25">
      <c r="A3233" s="5">
        <v>18272</v>
      </c>
      <c r="B3233">
        <v>17.079999999999998</v>
      </c>
      <c r="C3233">
        <v>17.09</v>
      </c>
      <c r="D3233">
        <v>16.670000000000002</v>
      </c>
      <c r="E3233">
        <v>16.670000000000002</v>
      </c>
      <c r="F3233">
        <v>2722000</v>
      </c>
      <c r="G3233">
        <v>16.670000000000002</v>
      </c>
    </row>
    <row r="3234" spans="1:7" x14ac:dyDescent="0.25">
      <c r="A3234" s="5">
        <v>18266</v>
      </c>
      <c r="B3234">
        <v>16.66</v>
      </c>
      <c r="C3234">
        <v>16.98</v>
      </c>
      <c r="D3234">
        <v>16.66</v>
      </c>
      <c r="E3234">
        <v>16.98</v>
      </c>
      <c r="F3234">
        <v>1927500</v>
      </c>
      <c r="G3234">
        <v>16.98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Create New</vt:lpstr>
      <vt:lpstr>GOOG|S&amp;P Data</vt:lpstr>
      <vt:lpstr>GOOG</vt:lpstr>
      <vt:lpstr>S&amp;P</vt:lpstr>
      <vt:lpstr>GOOG|S&amp;P Beta</vt:lpstr>
      <vt:lpstr>GOOG|S&amp;P COR </vt:lpstr>
      <vt:lpstr>GOOG|S&amp;P Stdv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Mueller</dc:creator>
  <cp:lastModifiedBy>Zach Mueller</cp:lastModifiedBy>
  <cp:lastPrinted>2011-11-11T19:44:27Z</cp:lastPrinted>
  <dcterms:created xsi:type="dcterms:W3CDTF">2011-11-11T16:42:58Z</dcterms:created>
  <dcterms:modified xsi:type="dcterms:W3CDTF">2011-12-28T06:07:33Z</dcterms:modified>
</cp:coreProperties>
</file>