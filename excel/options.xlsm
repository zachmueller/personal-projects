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20" windowWidth="15180" windowHeight="8070"/>
  </bookViews>
  <sheets>
    <sheet name="Add New" sheetId="71" r:id="rId1"/>
    <sheet name="Chart AMZN" sheetId="79" r:id="rId2"/>
    <sheet name="AMZN" sheetId="78" r:id="rId3"/>
    <sheet name="Chart AAPL" sheetId="70" r:id="rId4"/>
    <sheet name="AAPL" sheetId="69" r:id="rId5"/>
    <sheet name="Chart DUK" sheetId="73" r:id="rId6"/>
    <sheet name="DUK" sheetId="72" r:id="rId7"/>
    <sheet name="Code Sheet" sheetId="6" state="hidden" r:id="rId8"/>
  </sheets>
  <definedNames>
    <definedName name="AddEdit">'Code Sheet'!$D$8</definedName>
    <definedName name="CallPut">'Code Sheet'!$D$16</definedName>
    <definedName name="ChartIncrement">'Code Sheet'!$C$6</definedName>
    <definedName name="ChartMax">'Code Sheet'!$B$6</definedName>
    <definedName name="ChartMin">'Code Sheet'!$A$6</definedName>
    <definedName name="Expiration">'Code Sheet'!$C$3</definedName>
    <definedName name="ListNumber">'Code Sheet'!$E$16</definedName>
    <definedName name="LongShort">'Code Sheet'!$C$16</definedName>
    <definedName name="Premium">'Code Sheet'!$B$16</definedName>
    <definedName name="SecuritiesCount">'Code Sheet'!$B$15</definedName>
    <definedName name="Security">'Code Sheet'!$D$3</definedName>
    <definedName name="SelectedCallPut">'Code Sheet'!$D$10</definedName>
    <definedName name="SelectedListNumber">'Code Sheet'!$E$10</definedName>
    <definedName name="SelectedLongShort">'Code Sheet'!$C$10</definedName>
    <definedName name="SelectedPremium">'Code Sheet'!$B$10</definedName>
    <definedName name="SelectedStrike">'Code Sheet'!$A$10</definedName>
    <definedName name="StockPrice">'Code Sheet'!$B$3</definedName>
    <definedName name="Strike">'Code Sheet'!$A$16</definedName>
    <definedName name="Ticker">'Code Sheet'!$A$3</definedName>
  </definedNames>
  <calcPr calcId="145621"/>
</workbook>
</file>

<file path=xl/calcChain.xml><?xml version="1.0" encoding="utf-8"?>
<calcChain xmlns="http://schemas.openxmlformats.org/spreadsheetml/2006/main">
  <c r="C17" i="78" l="1"/>
  <c r="D17" i="78"/>
  <c r="E17" i="78"/>
  <c r="C18" i="78"/>
  <c r="D18" i="78"/>
  <c r="E18" i="78" s="1"/>
  <c r="C19" i="78"/>
  <c r="D19" i="78"/>
  <c r="E19" i="78" s="1"/>
  <c r="C20" i="78"/>
  <c r="D20" i="78"/>
  <c r="E20" i="78" s="1"/>
  <c r="C21" i="78"/>
  <c r="D21" i="78"/>
  <c r="E21" i="78"/>
  <c r="C22" i="78"/>
  <c r="D22" i="78"/>
  <c r="E22" i="78"/>
  <c r="C23" i="78"/>
  <c r="D23" i="78"/>
  <c r="E23" i="78" s="1"/>
  <c r="C24" i="78"/>
  <c r="D24" i="78"/>
  <c r="E24" i="78"/>
  <c r="C25" i="78"/>
  <c r="D25" i="78"/>
  <c r="E25" i="78" s="1"/>
  <c r="C26" i="78"/>
  <c r="D26" i="78"/>
  <c r="E26" i="78"/>
  <c r="C27" i="78"/>
  <c r="D27" i="78"/>
  <c r="E27" i="78" s="1"/>
  <c r="C28" i="78"/>
  <c r="D28" i="78"/>
  <c r="E28" i="78"/>
  <c r="C29" i="78"/>
  <c r="D29" i="78"/>
  <c r="E29" i="78" s="1"/>
  <c r="C30" i="78"/>
  <c r="D30" i="78"/>
  <c r="E30" i="78"/>
  <c r="C31" i="78"/>
  <c r="D31" i="78"/>
  <c r="E31" i="78" s="1"/>
  <c r="C32" i="78"/>
  <c r="D32" i="78"/>
  <c r="E32" i="78"/>
  <c r="E16" i="78"/>
  <c r="D16" i="78"/>
  <c r="C16" i="78"/>
  <c r="B17" i="78"/>
  <c r="B18" i="78"/>
  <c r="B19" i="78"/>
  <c r="B20" i="78"/>
  <c r="B21" i="78"/>
  <c r="B22" i="78"/>
  <c r="B23" i="78"/>
  <c r="B24" i="78"/>
  <c r="B25" i="78"/>
  <c r="B26" i="78"/>
  <c r="B27" i="78"/>
  <c r="B28" i="78"/>
  <c r="B29" i="78"/>
  <c r="B30" i="78"/>
  <c r="B31" i="78"/>
  <c r="B32" i="78"/>
  <c r="B16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C17" i="72" l="1"/>
  <c r="D17" i="72"/>
  <c r="E17" i="72" s="1"/>
  <c r="C18" i="72"/>
  <c r="D18" i="72"/>
  <c r="E18" i="72"/>
  <c r="C19" i="72"/>
  <c r="D19" i="72"/>
  <c r="E19" i="72" s="1"/>
  <c r="C20" i="72"/>
  <c r="D20" i="72"/>
  <c r="E20" i="72"/>
  <c r="C21" i="72"/>
  <c r="D21" i="72"/>
  <c r="E21" i="72" s="1"/>
  <c r="C22" i="72"/>
  <c r="D22" i="72"/>
  <c r="E22" i="72"/>
  <c r="C23" i="72"/>
  <c r="D23" i="72"/>
  <c r="E23" i="72" s="1"/>
  <c r="C24" i="72"/>
  <c r="D24" i="72"/>
  <c r="E24" i="72"/>
  <c r="C25" i="72"/>
  <c r="D25" i="72"/>
  <c r="E25" i="72" s="1"/>
  <c r="C26" i="72"/>
  <c r="D26" i="72"/>
  <c r="E26" i="72"/>
  <c r="C27" i="72"/>
  <c r="D27" i="72"/>
  <c r="E27" i="72" s="1"/>
  <c r="C28" i="72"/>
  <c r="D28" i="72"/>
  <c r="E28" i="72"/>
  <c r="C29" i="72"/>
  <c r="D29" i="72"/>
  <c r="E29" i="72" s="1"/>
  <c r="C30" i="72"/>
  <c r="D30" i="72"/>
  <c r="E30" i="72"/>
  <c r="C31" i="72"/>
  <c r="D31" i="72"/>
  <c r="E31" i="72" s="1"/>
  <c r="C32" i="72"/>
  <c r="D32" i="72"/>
  <c r="E32" i="72"/>
  <c r="C33" i="72"/>
  <c r="D33" i="72"/>
  <c r="E33" i="72" s="1"/>
  <c r="C34" i="72"/>
  <c r="D34" i="72"/>
  <c r="E34" i="72"/>
  <c r="C35" i="72"/>
  <c r="D35" i="72"/>
  <c r="E35" i="72" s="1"/>
  <c r="C36" i="72"/>
  <c r="D36" i="72"/>
  <c r="E36" i="72"/>
  <c r="C37" i="72"/>
  <c r="D37" i="72"/>
  <c r="E37" i="72" s="1"/>
  <c r="C38" i="72"/>
  <c r="D38" i="72"/>
  <c r="E38" i="72"/>
  <c r="C39" i="72"/>
  <c r="D39" i="72"/>
  <c r="E39" i="72" s="1"/>
  <c r="C40" i="72"/>
  <c r="D40" i="72"/>
  <c r="E40" i="72"/>
  <c r="C41" i="72"/>
  <c r="D41" i="72"/>
  <c r="E41" i="72" s="1"/>
  <c r="C42" i="72"/>
  <c r="D42" i="72"/>
  <c r="E42" i="72"/>
  <c r="C43" i="72"/>
  <c r="D43" i="72"/>
  <c r="E43" i="72" s="1"/>
  <c r="C44" i="72"/>
  <c r="D44" i="72"/>
  <c r="E44" i="72"/>
  <c r="C45" i="72"/>
  <c r="D45" i="72"/>
  <c r="E45" i="72" s="1"/>
  <c r="C46" i="72"/>
  <c r="D46" i="72"/>
  <c r="E46" i="72"/>
  <c r="C47" i="72"/>
  <c r="D47" i="72"/>
  <c r="E47" i="72" s="1"/>
  <c r="C48" i="72"/>
  <c r="D48" i="72"/>
  <c r="E48" i="72"/>
  <c r="C49" i="72"/>
  <c r="D49" i="72"/>
  <c r="E49" i="72" s="1"/>
  <c r="C50" i="72"/>
  <c r="D50" i="72"/>
  <c r="E50" i="72"/>
  <c r="C51" i="72"/>
  <c r="D51" i="72"/>
  <c r="E51" i="72" s="1"/>
  <c r="C52" i="72"/>
  <c r="D52" i="72"/>
  <c r="E52" i="72"/>
  <c r="C53" i="72"/>
  <c r="D53" i="72"/>
  <c r="E53" i="72" s="1"/>
  <c r="C54" i="72"/>
  <c r="D54" i="72"/>
  <c r="E54" i="72"/>
  <c r="C55" i="72"/>
  <c r="D55" i="72"/>
  <c r="E55" i="72" s="1"/>
  <c r="C56" i="72"/>
  <c r="D56" i="72"/>
  <c r="E56" i="72"/>
  <c r="E16" i="72"/>
  <c r="D16" i="72"/>
  <c r="C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30" i="72"/>
  <c r="B31" i="72"/>
  <c r="B32" i="72"/>
  <c r="B33" i="72"/>
  <c r="B34" i="72"/>
  <c r="B35" i="72"/>
  <c r="B36" i="72"/>
  <c r="B37" i="72"/>
  <c r="B38" i="72"/>
  <c r="B39" i="72"/>
  <c r="B40" i="72"/>
  <c r="B41" i="72"/>
  <c r="B42" i="72"/>
  <c r="B43" i="72"/>
  <c r="B44" i="72"/>
  <c r="B45" i="72"/>
  <c r="B46" i="72"/>
  <c r="B47" i="72"/>
  <c r="B48" i="72"/>
  <c r="B49" i="72"/>
  <c r="B50" i="72"/>
  <c r="B51" i="72"/>
  <c r="B52" i="72"/>
  <c r="B53" i="72"/>
  <c r="B54" i="72"/>
  <c r="B55" i="72"/>
  <c r="B56" i="72"/>
  <c r="B16" i="72"/>
  <c r="A56" i="72"/>
  <c r="A55" i="72"/>
  <c r="A54" i="72"/>
  <c r="A53" i="72"/>
  <c r="A52" i="72"/>
  <c r="A51" i="72"/>
  <c r="A50" i="72"/>
  <c r="A49" i="72"/>
  <c r="A48" i="72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C16" i="69"/>
  <c r="D16" i="69" s="1"/>
  <c r="C17" i="69"/>
  <c r="D17" i="69" s="1"/>
  <c r="C18" i="69"/>
  <c r="D18" i="69" s="1"/>
  <c r="C19" i="69"/>
  <c r="D19" i="69" s="1"/>
  <c r="C20" i="69"/>
  <c r="D20" i="69" s="1"/>
  <c r="C21" i="69"/>
  <c r="D21" i="69" s="1"/>
  <c r="C22" i="69"/>
  <c r="D22" i="69" s="1"/>
  <c r="C23" i="69"/>
  <c r="D23" i="69" s="1"/>
  <c r="C24" i="69"/>
  <c r="D24" i="69" s="1"/>
  <c r="C25" i="69"/>
  <c r="D25" i="69" s="1"/>
  <c r="C26" i="69"/>
  <c r="D26" i="69" s="1"/>
  <c r="C27" i="69"/>
  <c r="D27" i="69" s="1"/>
  <c r="C28" i="69"/>
  <c r="D28" i="69" s="1"/>
  <c r="C29" i="69"/>
  <c r="D29" i="69" s="1"/>
  <c r="C30" i="69"/>
  <c r="D30" i="69" s="1"/>
  <c r="C31" i="69"/>
  <c r="D31" i="69" s="1"/>
  <c r="C32" i="69"/>
  <c r="D32" i="69" s="1"/>
  <c r="C33" i="69"/>
  <c r="D33" i="69" s="1"/>
  <c r="C34" i="69"/>
  <c r="D34" i="69" s="1"/>
  <c r="C35" i="69"/>
  <c r="D35" i="69" s="1"/>
  <c r="D15" i="69"/>
  <c r="C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B32" i="69"/>
  <c r="B33" i="69"/>
  <c r="B34" i="69"/>
  <c r="B35" i="69"/>
  <c r="B15" i="69"/>
  <c r="A35" i="69"/>
  <c r="A34" i="69"/>
  <c r="A33" i="69"/>
  <c r="A32" i="69"/>
  <c r="A31" i="69"/>
  <c r="A30" i="69"/>
  <c r="A29" i="69"/>
  <c r="A28" i="69"/>
  <c r="A27" i="69"/>
  <c r="A26" i="69"/>
  <c r="A25" i="69"/>
  <c r="A24" i="69"/>
  <c r="A23" i="69"/>
  <c r="A22" i="69"/>
  <c r="A21" i="69"/>
  <c r="A20" i="69"/>
  <c r="A19" i="69"/>
  <c r="A18" i="69"/>
  <c r="A17" i="69"/>
  <c r="A16" i="69"/>
  <c r="B15" i="6" l="1"/>
</calcChain>
</file>

<file path=xl/sharedStrings.xml><?xml version="1.0" encoding="utf-8"?>
<sst xmlns="http://schemas.openxmlformats.org/spreadsheetml/2006/main" count="84" uniqueCount="46">
  <si>
    <t>DUK</t>
  </si>
  <si>
    <t>S</t>
  </si>
  <si>
    <t>X2</t>
  </si>
  <si>
    <t>X1</t>
  </si>
  <si>
    <t>T</t>
  </si>
  <si>
    <t>Call</t>
  </si>
  <si>
    <t>Put</t>
  </si>
  <si>
    <t>At Expiration</t>
  </si>
  <si>
    <t>Stock Price</t>
  </si>
  <si>
    <t>Stock</t>
  </si>
  <si>
    <t>Long</t>
  </si>
  <si>
    <t>Basic Data</t>
  </si>
  <si>
    <t>Ticker</t>
  </si>
  <si>
    <t>Expiration</t>
  </si>
  <si>
    <t>Selected Security</t>
  </si>
  <si>
    <t>Securities</t>
  </si>
  <si>
    <t>Strike</t>
  </si>
  <si>
    <t>Premium</t>
  </si>
  <si>
    <t>Long/Short</t>
  </si>
  <si>
    <t>Call/Put</t>
  </si>
  <si>
    <t>Short</t>
  </si>
  <si>
    <t>Security</t>
  </si>
  <si>
    <t>Add</t>
  </si>
  <si>
    <t>List Number</t>
  </si>
  <si>
    <t>Chart Data</t>
  </si>
  <si>
    <t>Min</t>
  </si>
  <si>
    <t>Max</t>
  </si>
  <si>
    <t>Increment</t>
  </si>
  <si>
    <t>Options Strategy for:</t>
  </si>
  <si>
    <t>Own the</t>
  </si>
  <si>
    <t>Premiums</t>
  </si>
  <si>
    <t>Short Call</t>
  </si>
  <si>
    <t>Long Call</t>
  </si>
  <si>
    <t>Long Put</t>
  </si>
  <si>
    <t>out of the money</t>
  </si>
  <si>
    <t>in the money</t>
  </si>
  <si>
    <t>AAPL</t>
  </si>
  <si>
    <t>on Strategy</t>
  </si>
  <si>
    <t>Gain (Loss)</t>
  </si>
  <si>
    <t>(or press Ctrl + D)</t>
  </si>
  <si>
    <t>AMZN</t>
  </si>
  <si>
    <t>Short Put</t>
  </si>
  <si>
    <t>zacharymueller@gmail.com</t>
  </si>
  <si>
    <t>Options Spreadsheet v1.0</t>
  </si>
  <si>
    <t>by Zach Mueller</t>
  </si>
  <si>
    <t>For questions, comments, requests - email: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</si>
</sst>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[$-409]d\-mmm\-yyyy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0" fontId="2" fillId="0" borderId="0" xfId="0" applyFont="1"/>
    <xf numFmtId="0" fontId="0" fillId="0" borderId="0" xfId="0" applyAlignment="1">
      <alignment horizontal="right"/>
    </xf>
    <xf numFmtId="17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NumberFormat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164" fontId="0" fillId="0" borderId="0" xfId="0" applyNumberFormat="1"/>
    <xf numFmtId="0" fontId="5" fillId="0" borderId="0" xfId="0" applyFont="1" applyAlignment="1">
      <alignment horizontal="right"/>
    </xf>
    <xf numFmtId="0" fontId="5" fillId="0" borderId="0" xfId="0" applyFont="1"/>
    <xf numFmtId="0" fontId="7" fillId="0" borderId="0" xfId="2" applyFont="1" applyAlignment="1">
      <alignment horizontal="righ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4.xml"/><Relationship Id="rId12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3.xml"/><Relationship Id="rId10" Type="http://schemas.openxmlformats.org/officeDocument/2006/relationships/styles" Target="styles.xml"/><Relationship Id="rId4" Type="http://schemas.openxmlformats.org/officeDocument/2006/relationships/chartsheet" Target="chartsheets/sheet2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AMZN!$A$16:$A$32</c:f>
              <c:numCache>
                <c:formatCode>_("$"* #,##0.00_);_("$"* \(#,##0.00\);_("$"* "-"??_);_(@_)</c:formatCode>
                <c:ptCount val="17"/>
                <c:pt idx="0">
                  <c:v>135</c:v>
                </c:pt>
                <c:pt idx="1">
                  <c:v>140</c:v>
                </c:pt>
                <c:pt idx="2">
                  <c:v>145</c:v>
                </c:pt>
                <c:pt idx="3">
                  <c:v>150</c:v>
                </c:pt>
                <c:pt idx="4">
                  <c:v>155</c:v>
                </c:pt>
                <c:pt idx="5">
                  <c:v>160</c:v>
                </c:pt>
                <c:pt idx="6">
                  <c:v>165</c:v>
                </c:pt>
                <c:pt idx="7">
                  <c:v>170</c:v>
                </c:pt>
                <c:pt idx="8">
                  <c:v>175</c:v>
                </c:pt>
                <c:pt idx="9">
                  <c:v>180</c:v>
                </c:pt>
                <c:pt idx="10">
                  <c:v>185</c:v>
                </c:pt>
                <c:pt idx="11">
                  <c:v>190</c:v>
                </c:pt>
                <c:pt idx="12">
                  <c:v>195</c:v>
                </c:pt>
                <c:pt idx="13">
                  <c:v>200</c:v>
                </c:pt>
                <c:pt idx="14">
                  <c:v>205</c:v>
                </c:pt>
                <c:pt idx="15">
                  <c:v>210</c:v>
                </c:pt>
                <c:pt idx="16">
                  <c:v>215</c:v>
                </c:pt>
              </c:numCache>
            </c:numRef>
          </c:cat>
          <c:val>
            <c:numRef>
              <c:f>AMZN!$B$16:$B$32</c:f>
              <c:numCache>
                <c:formatCode>_("$"* #,##0.00_);_("$"* \(#,##0.00\);_("$"* "-"??_);_(@_)</c:formatCode>
                <c:ptCount val="17"/>
                <c:pt idx="0">
                  <c:v>-42.28</c:v>
                </c:pt>
                <c:pt idx="1">
                  <c:v>-37.28</c:v>
                </c:pt>
                <c:pt idx="2">
                  <c:v>-32.28</c:v>
                </c:pt>
                <c:pt idx="3">
                  <c:v>-27.28</c:v>
                </c:pt>
                <c:pt idx="4">
                  <c:v>-22.28</c:v>
                </c:pt>
                <c:pt idx="5">
                  <c:v>-17.28</c:v>
                </c:pt>
                <c:pt idx="6">
                  <c:v>-12.280000000000001</c:v>
                </c:pt>
                <c:pt idx="7">
                  <c:v>-7.2800000000000011</c:v>
                </c:pt>
                <c:pt idx="8">
                  <c:v>-2.2800000000000011</c:v>
                </c:pt>
                <c:pt idx="9">
                  <c:v>2.7199999999999989</c:v>
                </c:pt>
                <c:pt idx="10">
                  <c:v>7.7199999999999989</c:v>
                </c:pt>
                <c:pt idx="11">
                  <c:v>12.719999999999999</c:v>
                </c:pt>
                <c:pt idx="12">
                  <c:v>17.72</c:v>
                </c:pt>
                <c:pt idx="13">
                  <c:v>22.72</c:v>
                </c:pt>
                <c:pt idx="14">
                  <c:v>27.72</c:v>
                </c:pt>
                <c:pt idx="15">
                  <c:v>32.72</c:v>
                </c:pt>
                <c:pt idx="16">
                  <c:v>37.72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AMZN!$A$16:$A$32</c:f>
              <c:numCache>
                <c:formatCode>_("$"* #,##0.00_);_("$"* \(#,##0.00\);_("$"* "-"??_);_(@_)</c:formatCode>
                <c:ptCount val="17"/>
                <c:pt idx="0">
                  <c:v>135</c:v>
                </c:pt>
                <c:pt idx="1">
                  <c:v>140</c:v>
                </c:pt>
                <c:pt idx="2">
                  <c:v>145</c:v>
                </c:pt>
                <c:pt idx="3">
                  <c:v>150</c:v>
                </c:pt>
                <c:pt idx="4">
                  <c:v>155</c:v>
                </c:pt>
                <c:pt idx="5">
                  <c:v>160</c:v>
                </c:pt>
                <c:pt idx="6">
                  <c:v>165</c:v>
                </c:pt>
                <c:pt idx="7">
                  <c:v>170</c:v>
                </c:pt>
                <c:pt idx="8">
                  <c:v>175</c:v>
                </c:pt>
                <c:pt idx="9">
                  <c:v>180</c:v>
                </c:pt>
                <c:pt idx="10">
                  <c:v>185</c:v>
                </c:pt>
                <c:pt idx="11">
                  <c:v>190</c:v>
                </c:pt>
                <c:pt idx="12">
                  <c:v>195</c:v>
                </c:pt>
                <c:pt idx="13">
                  <c:v>200</c:v>
                </c:pt>
                <c:pt idx="14">
                  <c:v>205</c:v>
                </c:pt>
                <c:pt idx="15">
                  <c:v>210</c:v>
                </c:pt>
                <c:pt idx="16">
                  <c:v>215</c:v>
                </c:pt>
              </c:numCache>
            </c:numRef>
          </c:cat>
          <c:val>
            <c:numRef>
              <c:f>AMZN!$E$16:$E$32</c:f>
              <c:numCache>
                <c:formatCode>_("$"* #,##0.00_);_("$"* \(#,##0.00\);_("$"* "-"??_);_(@_)</c:formatCode>
                <c:ptCount val="17"/>
                <c:pt idx="0">
                  <c:v>-19</c:v>
                </c:pt>
                <c:pt idx="1">
                  <c:v>-14</c:v>
                </c:pt>
                <c:pt idx="2">
                  <c:v>-9</c:v>
                </c:pt>
                <c:pt idx="3">
                  <c:v>-4</c:v>
                </c:pt>
                <c:pt idx="4">
                  <c:v>1</c:v>
                </c:pt>
                <c:pt idx="5">
                  <c:v>6</c:v>
                </c:pt>
                <c:pt idx="6">
                  <c:v>11</c:v>
                </c:pt>
                <c:pt idx="7">
                  <c:v>16</c:v>
                </c:pt>
                <c:pt idx="8">
                  <c:v>21</c:v>
                </c:pt>
                <c:pt idx="9">
                  <c:v>21</c:v>
                </c:pt>
                <c:pt idx="10">
                  <c:v>16</c:v>
                </c:pt>
                <c:pt idx="11">
                  <c:v>11</c:v>
                </c:pt>
                <c:pt idx="12">
                  <c:v>6</c:v>
                </c:pt>
                <c:pt idx="13">
                  <c:v>1</c:v>
                </c:pt>
                <c:pt idx="14">
                  <c:v>-4</c:v>
                </c:pt>
                <c:pt idx="15">
                  <c:v>-9</c:v>
                </c:pt>
                <c:pt idx="16">
                  <c:v>-14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16512"/>
        <c:axId val="153218048"/>
      </c:lineChart>
      <c:catAx>
        <c:axId val="153216512"/>
        <c:scaling>
          <c:orientation val="minMax"/>
        </c:scaling>
        <c:delete val="0"/>
        <c:axPos val="b"/>
        <c:numFmt formatCode="_(&quot;$&quot;* #,##0_);_(&quot;$&quot;* \(#,##0\);_(&quot;$&quot;* &quot;-&quot;_);_(@_)" sourceLinked="0"/>
        <c:majorTickMark val="out"/>
        <c:minorTickMark val="none"/>
        <c:tickLblPos val="nextTo"/>
        <c:crossAx val="153218048"/>
        <c:crosses val="autoZero"/>
        <c:auto val="1"/>
        <c:lblAlgn val="ctr"/>
        <c:lblOffset val="100"/>
        <c:noMultiLvlLbl val="0"/>
      </c:catAx>
      <c:valAx>
        <c:axId val="153218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600"/>
                  <a:t>Gain</a:t>
                </a:r>
                <a:r>
                  <a:rPr lang="en-US" sz="1600" baseline="0"/>
                  <a:t> (Loss)</a:t>
                </a:r>
                <a:endParaRPr lang="en-US" sz="1600"/>
              </a:p>
            </c:rich>
          </c:tx>
          <c:layout/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53216512"/>
        <c:crosses val="autoZero"/>
        <c:crossBetween val="between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AAPL!$A$15:$A$35</c:f>
              <c:numCache>
                <c:formatCode>_("$"* #,##0.00_);_("$"* \(#,##0.00\);_("$"* "-"??_);_(@_)</c:formatCode>
                <c:ptCount val="21"/>
                <c:pt idx="0">
                  <c:v>350</c:v>
                </c:pt>
                <c:pt idx="1">
                  <c:v>355</c:v>
                </c:pt>
                <c:pt idx="2">
                  <c:v>360</c:v>
                </c:pt>
                <c:pt idx="3">
                  <c:v>365</c:v>
                </c:pt>
                <c:pt idx="4">
                  <c:v>370</c:v>
                </c:pt>
                <c:pt idx="5">
                  <c:v>375</c:v>
                </c:pt>
                <c:pt idx="6">
                  <c:v>380</c:v>
                </c:pt>
                <c:pt idx="7">
                  <c:v>385</c:v>
                </c:pt>
                <c:pt idx="8">
                  <c:v>390</c:v>
                </c:pt>
                <c:pt idx="9">
                  <c:v>395</c:v>
                </c:pt>
                <c:pt idx="10">
                  <c:v>400</c:v>
                </c:pt>
                <c:pt idx="11">
                  <c:v>405</c:v>
                </c:pt>
                <c:pt idx="12">
                  <c:v>410</c:v>
                </c:pt>
                <c:pt idx="13">
                  <c:v>415</c:v>
                </c:pt>
                <c:pt idx="14">
                  <c:v>420</c:v>
                </c:pt>
                <c:pt idx="15">
                  <c:v>425</c:v>
                </c:pt>
                <c:pt idx="16">
                  <c:v>430</c:v>
                </c:pt>
                <c:pt idx="17">
                  <c:v>435</c:v>
                </c:pt>
                <c:pt idx="18">
                  <c:v>440</c:v>
                </c:pt>
                <c:pt idx="19">
                  <c:v>445</c:v>
                </c:pt>
                <c:pt idx="20">
                  <c:v>450</c:v>
                </c:pt>
              </c:numCache>
            </c:numRef>
          </c:cat>
          <c:val>
            <c:numRef>
              <c:f>AAPL!$B$15:$B$35</c:f>
              <c:numCache>
                <c:formatCode>_("$"* #,##0.00_);_("$"* \(#,##0.00\);_("$"* "-"??_);_(@_)</c:formatCode>
                <c:ptCount val="21"/>
                <c:pt idx="0">
                  <c:v>-53.329999999999984</c:v>
                </c:pt>
                <c:pt idx="1">
                  <c:v>-48.329999999999984</c:v>
                </c:pt>
                <c:pt idx="2">
                  <c:v>-43.329999999999984</c:v>
                </c:pt>
                <c:pt idx="3">
                  <c:v>-38.329999999999984</c:v>
                </c:pt>
                <c:pt idx="4">
                  <c:v>-33.329999999999984</c:v>
                </c:pt>
                <c:pt idx="5">
                  <c:v>-28.329999999999984</c:v>
                </c:pt>
                <c:pt idx="6">
                  <c:v>-23.329999999999984</c:v>
                </c:pt>
                <c:pt idx="7">
                  <c:v>-18.329999999999984</c:v>
                </c:pt>
                <c:pt idx="8">
                  <c:v>-13.329999999999984</c:v>
                </c:pt>
                <c:pt idx="9">
                  <c:v>-8.3299999999999841</c:v>
                </c:pt>
                <c:pt idx="10">
                  <c:v>-3.3299999999999841</c:v>
                </c:pt>
                <c:pt idx="11">
                  <c:v>1.6700000000000159</c:v>
                </c:pt>
                <c:pt idx="12">
                  <c:v>6.6700000000000159</c:v>
                </c:pt>
                <c:pt idx="13">
                  <c:v>11.670000000000016</c:v>
                </c:pt>
                <c:pt idx="14">
                  <c:v>16.670000000000016</c:v>
                </c:pt>
                <c:pt idx="15">
                  <c:v>21.670000000000016</c:v>
                </c:pt>
                <c:pt idx="16">
                  <c:v>26.670000000000016</c:v>
                </c:pt>
                <c:pt idx="17">
                  <c:v>31.670000000000016</c:v>
                </c:pt>
                <c:pt idx="18">
                  <c:v>36.670000000000016</c:v>
                </c:pt>
                <c:pt idx="19">
                  <c:v>41.670000000000016</c:v>
                </c:pt>
                <c:pt idx="20">
                  <c:v>46.670000000000016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AAPL!$A$15:$A$35</c:f>
              <c:numCache>
                <c:formatCode>_("$"* #,##0.00_);_("$"* \(#,##0.00\);_("$"* "-"??_);_(@_)</c:formatCode>
                <c:ptCount val="21"/>
                <c:pt idx="0">
                  <c:v>350</c:v>
                </c:pt>
                <c:pt idx="1">
                  <c:v>355</c:v>
                </c:pt>
                <c:pt idx="2">
                  <c:v>360</c:v>
                </c:pt>
                <c:pt idx="3">
                  <c:v>365</c:v>
                </c:pt>
                <c:pt idx="4">
                  <c:v>370</c:v>
                </c:pt>
                <c:pt idx="5">
                  <c:v>375</c:v>
                </c:pt>
                <c:pt idx="6">
                  <c:v>380</c:v>
                </c:pt>
                <c:pt idx="7">
                  <c:v>385</c:v>
                </c:pt>
                <c:pt idx="8">
                  <c:v>390</c:v>
                </c:pt>
                <c:pt idx="9">
                  <c:v>395</c:v>
                </c:pt>
                <c:pt idx="10">
                  <c:v>400</c:v>
                </c:pt>
                <c:pt idx="11">
                  <c:v>405</c:v>
                </c:pt>
                <c:pt idx="12">
                  <c:v>410</c:v>
                </c:pt>
                <c:pt idx="13">
                  <c:v>415</c:v>
                </c:pt>
                <c:pt idx="14">
                  <c:v>420</c:v>
                </c:pt>
                <c:pt idx="15">
                  <c:v>425</c:v>
                </c:pt>
                <c:pt idx="16">
                  <c:v>430</c:v>
                </c:pt>
                <c:pt idx="17">
                  <c:v>435</c:v>
                </c:pt>
                <c:pt idx="18">
                  <c:v>440</c:v>
                </c:pt>
                <c:pt idx="19">
                  <c:v>445</c:v>
                </c:pt>
                <c:pt idx="20">
                  <c:v>450</c:v>
                </c:pt>
              </c:numCache>
            </c:numRef>
          </c:cat>
          <c:val>
            <c:numRef>
              <c:f>AAPL!$D$15:$D$35</c:f>
              <c:numCache>
                <c:formatCode>_("$"* #,##0.00_);_("$"* \(#,##0.00\);_("$"* "-"??_);_(@_)</c:formatCode>
                <c:ptCount val="21"/>
                <c:pt idx="0">
                  <c:v>-44.629999999999981</c:v>
                </c:pt>
                <c:pt idx="1">
                  <c:v>-39.629999999999981</c:v>
                </c:pt>
                <c:pt idx="2">
                  <c:v>-34.629999999999981</c:v>
                </c:pt>
                <c:pt idx="3">
                  <c:v>-29.629999999999985</c:v>
                </c:pt>
                <c:pt idx="4">
                  <c:v>-24.629999999999985</c:v>
                </c:pt>
                <c:pt idx="5">
                  <c:v>-19.629999999999985</c:v>
                </c:pt>
                <c:pt idx="6">
                  <c:v>-14.629999999999985</c:v>
                </c:pt>
                <c:pt idx="7">
                  <c:v>-9.6299999999999848</c:v>
                </c:pt>
                <c:pt idx="8">
                  <c:v>-4.6299999999999848</c:v>
                </c:pt>
                <c:pt idx="9">
                  <c:v>0.37000000000001521</c:v>
                </c:pt>
                <c:pt idx="10">
                  <c:v>5.3700000000000152</c:v>
                </c:pt>
                <c:pt idx="11">
                  <c:v>10.370000000000015</c:v>
                </c:pt>
                <c:pt idx="12">
                  <c:v>15.370000000000015</c:v>
                </c:pt>
                <c:pt idx="13">
                  <c:v>15.370000000000015</c:v>
                </c:pt>
                <c:pt idx="14">
                  <c:v>15.370000000000015</c:v>
                </c:pt>
                <c:pt idx="15">
                  <c:v>15.370000000000015</c:v>
                </c:pt>
                <c:pt idx="16">
                  <c:v>15.370000000000015</c:v>
                </c:pt>
                <c:pt idx="17">
                  <c:v>15.370000000000015</c:v>
                </c:pt>
                <c:pt idx="18">
                  <c:v>15.370000000000015</c:v>
                </c:pt>
                <c:pt idx="19">
                  <c:v>15.370000000000015</c:v>
                </c:pt>
                <c:pt idx="20">
                  <c:v>15.370000000000015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284288"/>
        <c:axId val="162285824"/>
      </c:lineChart>
      <c:catAx>
        <c:axId val="162284288"/>
        <c:scaling>
          <c:orientation val="minMax"/>
        </c:scaling>
        <c:delete val="0"/>
        <c:axPos val="b"/>
        <c:numFmt formatCode="_(&quot;$&quot;* #,##0_);_(&quot;$&quot;* \(#,##0\);_(&quot;$&quot;* &quot;-&quot;_);_(@_)" sourceLinked="0"/>
        <c:majorTickMark val="out"/>
        <c:minorTickMark val="none"/>
        <c:tickLblPos val="nextTo"/>
        <c:crossAx val="162285824"/>
        <c:crosses val="autoZero"/>
        <c:auto val="1"/>
        <c:lblAlgn val="ctr"/>
        <c:lblOffset val="100"/>
        <c:noMultiLvlLbl val="0"/>
      </c:catAx>
      <c:valAx>
        <c:axId val="162285824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62284288"/>
        <c:crosses val="autoZero"/>
        <c:crossBetween val="between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DUK!$B$16:$B$56</c:f>
              <c:numCache>
                <c:formatCode>_("$"* #,##0.00_);_("$"* \(#,##0.00\);_("$"* "-"??_);_(@_)</c:formatCode>
                <c:ptCount val="41"/>
                <c:pt idx="0">
                  <c:v>-11.899999999999999</c:v>
                </c:pt>
                <c:pt idx="1">
                  <c:v>-11.399999999999999</c:v>
                </c:pt>
                <c:pt idx="2">
                  <c:v>-10.899999999999999</c:v>
                </c:pt>
                <c:pt idx="3">
                  <c:v>-10.399999999999999</c:v>
                </c:pt>
                <c:pt idx="4">
                  <c:v>-9.8999999999999986</c:v>
                </c:pt>
                <c:pt idx="5">
                  <c:v>-9.3999999999999986</c:v>
                </c:pt>
                <c:pt idx="6">
                  <c:v>-8.8999999999999986</c:v>
                </c:pt>
                <c:pt idx="7">
                  <c:v>-8.3999999999999986</c:v>
                </c:pt>
                <c:pt idx="8">
                  <c:v>-7.8999999999999986</c:v>
                </c:pt>
                <c:pt idx="9">
                  <c:v>-7.3999999999999986</c:v>
                </c:pt>
                <c:pt idx="10">
                  <c:v>-6.8999999999999986</c:v>
                </c:pt>
                <c:pt idx="11">
                  <c:v>-6.3999999999999986</c:v>
                </c:pt>
                <c:pt idx="12">
                  <c:v>-5.8999999999999986</c:v>
                </c:pt>
                <c:pt idx="13">
                  <c:v>-5.3999999999999986</c:v>
                </c:pt>
                <c:pt idx="14">
                  <c:v>-4.8999999999999986</c:v>
                </c:pt>
                <c:pt idx="15">
                  <c:v>-4.3999999999999986</c:v>
                </c:pt>
                <c:pt idx="16">
                  <c:v>-3.8999999999999986</c:v>
                </c:pt>
                <c:pt idx="17">
                  <c:v>-3.3999999999999986</c:v>
                </c:pt>
                <c:pt idx="18">
                  <c:v>-2.8999999999999986</c:v>
                </c:pt>
                <c:pt idx="19">
                  <c:v>-2.3999999999999986</c:v>
                </c:pt>
                <c:pt idx="20">
                  <c:v>-1.8999999999999986</c:v>
                </c:pt>
                <c:pt idx="21">
                  <c:v>-1.3999999999999986</c:v>
                </c:pt>
                <c:pt idx="22">
                  <c:v>-0.89999999999999858</c:v>
                </c:pt>
                <c:pt idx="23">
                  <c:v>-0.39999999999999858</c:v>
                </c:pt>
                <c:pt idx="24">
                  <c:v>0.10000000000000142</c:v>
                </c:pt>
                <c:pt idx="25">
                  <c:v>0.60000000000000142</c:v>
                </c:pt>
                <c:pt idx="26">
                  <c:v>1.1000000000000014</c:v>
                </c:pt>
                <c:pt idx="27">
                  <c:v>1.6000000000000014</c:v>
                </c:pt>
                <c:pt idx="28">
                  <c:v>2.1000000000000014</c:v>
                </c:pt>
                <c:pt idx="29">
                  <c:v>2.6000000000000014</c:v>
                </c:pt>
                <c:pt idx="30">
                  <c:v>3.1000000000000014</c:v>
                </c:pt>
                <c:pt idx="31">
                  <c:v>3.6000000000000014</c:v>
                </c:pt>
                <c:pt idx="32">
                  <c:v>4.1000000000000014</c:v>
                </c:pt>
                <c:pt idx="33">
                  <c:v>4.6000000000000014</c:v>
                </c:pt>
                <c:pt idx="34">
                  <c:v>5.1000000000000014</c:v>
                </c:pt>
                <c:pt idx="35">
                  <c:v>5.6000000000000014</c:v>
                </c:pt>
                <c:pt idx="36">
                  <c:v>6.1000000000000014</c:v>
                </c:pt>
                <c:pt idx="37">
                  <c:v>6.6000000000000014</c:v>
                </c:pt>
                <c:pt idx="38">
                  <c:v>7.1000000000000014</c:v>
                </c:pt>
                <c:pt idx="39">
                  <c:v>7.6000000000000014</c:v>
                </c:pt>
                <c:pt idx="40">
                  <c:v>8.1000000000000014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DUK!$E$16:$E$56</c:f>
              <c:numCache>
                <c:formatCode>_("$"* #,##0.00_);_("$"* \(#,##0.00\);_("$"* "-"??_);_(@_)</c:formatCode>
                <c:ptCount val="41"/>
                <c:pt idx="0">
                  <c:v>7.9999999999999991</c:v>
                </c:pt>
                <c:pt idx="1">
                  <c:v>7.4999999999999991</c:v>
                </c:pt>
                <c:pt idx="2">
                  <c:v>7</c:v>
                </c:pt>
                <c:pt idx="3">
                  <c:v>6.5</c:v>
                </c:pt>
                <c:pt idx="4">
                  <c:v>6</c:v>
                </c:pt>
                <c:pt idx="5">
                  <c:v>5.5</c:v>
                </c:pt>
                <c:pt idx="6">
                  <c:v>5</c:v>
                </c:pt>
                <c:pt idx="7">
                  <c:v>4.5</c:v>
                </c:pt>
                <c:pt idx="8">
                  <c:v>4</c:v>
                </c:pt>
                <c:pt idx="9">
                  <c:v>3.5</c:v>
                </c:pt>
                <c:pt idx="10">
                  <c:v>3</c:v>
                </c:pt>
                <c:pt idx="11">
                  <c:v>2.5</c:v>
                </c:pt>
                <c:pt idx="12">
                  <c:v>2</c:v>
                </c:pt>
                <c:pt idx="13">
                  <c:v>1.5000000000000002</c:v>
                </c:pt>
                <c:pt idx="14">
                  <c:v>1</c:v>
                </c:pt>
                <c:pt idx="15">
                  <c:v>0.5</c:v>
                </c:pt>
                <c:pt idx="16">
                  <c:v>0</c:v>
                </c:pt>
                <c:pt idx="17">
                  <c:v>-0.49999999999999994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-0.49999999999999994</c:v>
                </c:pt>
                <c:pt idx="24">
                  <c:v>0</c:v>
                </c:pt>
                <c:pt idx="25">
                  <c:v>0.5</c:v>
                </c:pt>
                <c:pt idx="26">
                  <c:v>1</c:v>
                </c:pt>
                <c:pt idx="27">
                  <c:v>1.5</c:v>
                </c:pt>
                <c:pt idx="28">
                  <c:v>1.9999999999999998</c:v>
                </c:pt>
                <c:pt idx="29">
                  <c:v>2.5</c:v>
                </c:pt>
                <c:pt idx="30">
                  <c:v>3</c:v>
                </c:pt>
                <c:pt idx="31">
                  <c:v>3.5</c:v>
                </c:pt>
                <c:pt idx="32">
                  <c:v>4</c:v>
                </c:pt>
                <c:pt idx="33">
                  <c:v>4.5</c:v>
                </c:pt>
                <c:pt idx="34">
                  <c:v>5</c:v>
                </c:pt>
                <c:pt idx="35">
                  <c:v>5.5</c:v>
                </c:pt>
                <c:pt idx="36">
                  <c:v>6</c:v>
                </c:pt>
                <c:pt idx="37">
                  <c:v>6.5</c:v>
                </c:pt>
                <c:pt idx="38">
                  <c:v>7</c:v>
                </c:pt>
                <c:pt idx="39">
                  <c:v>7.5</c:v>
                </c:pt>
                <c:pt idx="40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437248"/>
        <c:axId val="168438784"/>
      </c:lineChart>
      <c:catAx>
        <c:axId val="168437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68438784"/>
        <c:crosses val="autoZero"/>
        <c:auto val="1"/>
        <c:lblAlgn val="ctr"/>
        <c:lblOffset val="100"/>
        <c:noMultiLvlLbl val="0"/>
      </c:catAx>
      <c:valAx>
        <c:axId val="168438784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6843724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69"/>
  <sheetViews>
    <sheetView zoomScale="8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72"/>
  <sheetViews>
    <sheetView zoomScale="8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4</xdr:row>
          <xdr:rowOff>161925</xdr:rowOff>
        </xdr:from>
        <xdr:to>
          <xdr:col>4</xdr:col>
          <xdr:colOff>314325</xdr:colOff>
          <xdr:row>7</xdr:row>
          <xdr:rowOff>66675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Option Strategy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zacharymueller@gmail.com?subject=Excel%20Spreadsheet:%20Options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G14"/>
  <sheetViews>
    <sheetView tabSelected="1" workbookViewId="0"/>
  </sheetViews>
  <sheetFormatPr defaultColWidth="0" defaultRowHeight="15" zeroHeight="1" x14ac:dyDescent="0.25"/>
  <cols>
    <col min="1" max="6" width="9.140625" customWidth="1"/>
    <col min="7" max="7" width="9.140625" style="14" customWidth="1"/>
    <col min="8" max="16384" width="9.140625" hidden="1"/>
  </cols>
  <sheetData>
    <row r="1" spans="4:7" x14ac:dyDescent="0.25">
      <c r="G1"/>
    </row>
    <row r="2" spans="4:7" x14ac:dyDescent="0.25">
      <c r="G2"/>
    </row>
    <row r="3" spans="4:7" x14ac:dyDescent="0.25">
      <c r="G3"/>
    </row>
    <row r="4" spans="4:7" x14ac:dyDescent="0.25">
      <c r="G4"/>
    </row>
    <row r="5" spans="4:7" x14ac:dyDescent="0.25">
      <c r="G5"/>
    </row>
    <row r="6" spans="4:7" x14ac:dyDescent="0.25">
      <c r="G6"/>
    </row>
    <row r="7" spans="4:7" x14ac:dyDescent="0.25">
      <c r="G7"/>
    </row>
    <row r="8" spans="4:7" x14ac:dyDescent="0.25">
      <c r="G8"/>
    </row>
    <row r="9" spans="4:7" x14ac:dyDescent="0.25">
      <c r="G9"/>
    </row>
    <row r="10" spans="4:7" x14ac:dyDescent="0.25">
      <c r="D10" s="5" t="s">
        <v>39</v>
      </c>
      <c r="G10"/>
    </row>
    <row r="11" spans="4:7" x14ac:dyDescent="0.25">
      <c r="G11" s="13" t="s">
        <v>43</v>
      </c>
    </row>
    <row r="12" spans="4:7" x14ac:dyDescent="0.25">
      <c r="G12" s="13" t="s">
        <v>44</v>
      </c>
    </row>
    <row r="13" spans="4:7" x14ac:dyDescent="0.25">
      <c r="G13" s="13" t="s">
        <v>45</v>
      </c>
    </row>
    <row r="14" spans="4:7" x14ac:dyDescent="0.25">
      <c r="G14" s="15" t="s">
        <v>42</v>
      </c>
    </row>
  </sheetData>
  <hyperlinks>
    <hyperlink ref="G14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OptionUF">
                <anchor moveWithCells="1" sizeWithCells="1">
                  <from>
                    <xdr:col>2</xdr:col>
                    <xdr:colOff>47625</xdr:colOff>
                    <xdr:row>4</xdr:row>
                    <xdr:rowOff>161925</xdr:rowOff>
                  </from>
                  <to>
                    <xdr:col>4</xdr:col>
                    <xdr:colOff>314325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3"/>
  <sheetViews>
    <sheetView workbookViewId="0"/>
  </sheetViews>
  <sheetFormatPr defaultRowHeight="15" x14ac:dyDescent="0.25"/>
  <cols>
    <col min="1" max="1" width="20.7109375" customWidth="1"/>
    <col min="2" max="6" width="14.7109375" customWidth="1"/>
  </cols>
  <sheetData>
    <row r="1" spans="1:5" x14ac:dyDescent="0.25">
      <c r="A1" s="11" t="s">
        <v>28</v>
      </c>
      <c r="B1" s="7" t="s">
        <v>40</v>
      </c>
    </row>
    <row r="3" spans="1:5" x14ac:dyDescent="0.25">
      <c r="A3" s="10" t="s">
        <v>1</v>
      </c>
      <c r="B3" s="1">
        <v>177.28</v>
      </c>
    </row>
    <row r="4" spans="1:5" x14ac:dyDescent="0.25">
      <c r="C4" s="6" t="s">
        <v>30</v>
      </c>
    </row>
    <row r="5" spans="1:5" x14ac:dyDescent="0.25">
      <c r="A5" s="10" t="s">
        <v>3</v>
      </c>
      <c r="B5" s="1">
        <v>175</v>
      </c>
      <c r="C5" s="1">
        <v>13</v>
      </c>
      <c r="D5" s="3" t="s">
        <v>31</v>
      </c>
      <c r="E5" t="s">
        <v>35</v>
      </c>
    </row>
    <row r="6" spans="1:5" x14ac:dyDescent="0.25">
      <c r="A6" s="10" t="s">
        <v>2</v>
      </c>
      <c r="B6" s="1">
        <v>180</v>
      </c>
      <c r="C6" s="1">
        <v>13</v>
      </c>
      <c r="D6" s="3" t="s">
        <v>41</v>
      </c>
      <c r="E6" t="s">
        <v>35</v>
      </c>
    </row>
    <row r="7" spans="1:5" x14ac:dyDescent="0.25">
      <c r="A7" s="10"/>
      <c r="B7" s="1"/>
      <c r="C7" s="1"/>
    </row>
    <row r="8" spans="1:5" x14ac:dyDescent="0.25">
      <c r="A8" s="10" t="s">
        <v>4</v>
      </c>
      <c r="B8" s="12">
        <v>40575</v>
      </c>
    </row>
    <row r="11" spans="1:5" x14ac:dyDescent="0.25">
      <c r="A11" s="11" t="s">
        <v>7</v>
      </c>
    </row>
    <row r="14" spans="1:5" s="6" customFormat="1" x14ac:dyDescent="0.25">
      <c r="A14" s="6" t="s">
        <v>8</v>
      </c>
      <c r="B14" s="6" t="s">
        <v>29</v>
      </c>
      <c r="C14" s="6" t="s">
        <v>20</v>
      </c>
      <c r="D14" s="6" t="s">
        <v>20</v>
      </c>
      <c r="E14" s="6" t="s">
        <v>38</v>
      </c>
    </row>
    <row r="15" spans="1:5" s="6" customFormat="1" x14ac:dyDescent="0.25">
      <c r="B15" s="6" t="s">
        <v>9</v>
      </c>
      <c r="C15" s="6" t="s">
        <v>5</v>
      </c>
      <c r="D15" s="6" t="s">
        <v>6</v>
      </c>
      <c r="E15" s="6" t="s">
        <v>37</v>
      </c>
    </row>
    <row r="16" spans="1:5" s="1" customFormat="1" x14ac:dyDescent="0.25">
      <c r="A16" s="1">
        <v>135</v>
      </c>
      <c r="B16" s="1">
        <f>A16-$B$3</f>
        <v>-42.28</v>
      </c>
      <c r="C16" s="1">
        <f>MIN(0,$B$5-A16)+$C$5</f>
        <v>13</v>
      </c>
      <c r="D16" s="1">
        <f>MIN(0,A16-$B$6)+$C$6</f>
        <v>-32</v>
      </c>
      <c r="E16" s="1">
        <f>SUM(C16:D16)</f>
        <v>-19</v>
      </c>
    </row>
    <row r="17" spans="1:5" s="1" customFormat="1" x14ac:dyDescent="0.25">
      <c r="A17" s="1">
        <f t="shared" ref="A17:A32" si="0">A16+5</f>
        <v>140</v>
      </c>
      <c r="B17" s="1">
        <f t="shared" ref="B17:B32" si="1">A17-$B$3</f>
        <v>-37.28</v>
      </c>
      <c r="C17" s="1">
        <f t="shared" ref="C17:C32" si="2">MIN(0,$B$5-A17)+$C$5</f>
        <v>13</v>
      </c>
      <c r="D17" s="1">
        <f t="shared" ref="D17:D32" si="3">MIN(0,A17-$B$6)+$C$6</f>
        <v>-27</v>
      </c>
      <c r="E17" s="1">
        <f t="shared" ref="E17:E32" si="4">SUM(C17:D17)</f>
        <v>-14</v>
      </c>
    </row>
    <row r="18" spans="1:5" s="1" customFormat="1" x14ac:dyDescent="0.25">
      <c r="A18" s="1">
        <f t="shared" si="0"/>
        <v>145</v>
      </c>
      <c r="B18" s="1">
        <f t="shared" si="1"/>
        <v>-32.28</v>
      </c>
      <c r="C18" s="1">
        <f t="shared" si="2"/>
        <v>13</v>
      </c>
      <c r="D18" s="1">
        <f t="shared" si="3"/>
        <v>-22</v>
      </c>
      <c r="E18" s="1">
        <f t="shared" si="4"/>
        <v>-9</v>
      </c>
    </row>
    <row r="19" spans="1:5" s="1" customFormat="1" x14ac:dyDescent="0.25">
      <c r="A19" s="1">
        <f t="shared" si="0"/>
        <v>150</v>
      </c>
      <c r="B19" s="1">
        <f t="shared" si="1"/>
        <v>-27.28</v>
      </c>
      <c r="C19" s="1">
        <f t="shared" si="2"/>
        <v>13</v>
      </c>
      <c r="D19" s="1">
        <f t="shared" si="3"/>
        <v>-17</v>
      </c>
      <c r="E19" s="1">
        <f t="shared" si="4"/>
        <v>-4</v>
      </c>
    </row>
    <row r="20" spans="1:5" s="1" customFormat="1" x14ac:dyDescent="0.25">
      <c r="A20" s="1">
        <f t="shared" si="0"/>
        <v>155</v>
      </c>
      <c r="B20" s="1">
        <f t="shared" si="1"/>
        <v>-22.28</v>
      </c>
      <c r="C20" s="1">
        <f t="shared" si="2"/>
        <v>13</v>
      </c>
      <c r="D20" s="1">
        <f t="shared" si="3"/>
        <v>-12</v>
      </c>
      <c r="E20" s="1">
        <f t="shared" si="4"/>
        <v>1</v>
      </c>
    </row>
    <row r="21" spans="1:5" s="1" customFormat="1" x14ac:dyDescent="0.25">
      <c r="A21" s="1">
        <f t="shared" si="0"/>
        <v>160</v>
      </c>
      <c r="B21" s="1">
        <f t="shared" si="1"/>
        <v>-17.28</v>
      </c>
      <c r="C21" s="1">
        <f t="shared" si="2"/>
        <v>13</v>
      </c>
      <c r="D21" s="1">
        <f t="shared" si="3"/>
        <v>-7</v>
      </c>
      <c r="E21" s="1">
        <f t="shared" si="4"/>
        <v>6</v>
      </c>
    </row>
    <row r="22" spans="1:5" s="1" customFormat="1" x14ac:dyDescent="0.25">
      <c r="A22" s="1">
        <f t="shared" si="0"/>
        <v>165</v>
      </c>
      <c r="B22" s="1">
        <f t="shared" si="1"/>
        <v>-12.280000000000001</v>
      </c>
      <c r="C22" s="1">
        <f t="shared" si="2"/>
        <v>13</v>
      </c>
      <c r="D22" s="1">
        <f t="shared" si="3"/>
        <v>-2</v>
      </c>
      <c r="E22" s="1">
        <f t="shared" si="4"/>
        <v>11</v>
      </c>
    </row>
    <row r="23" spans="1:5" s="1" customFormat="1" x14ac:dyDescent="0.25">
      <c r="A23" s="1">
        <f t="shared" si="0"/>
        <v>170</v>
      </c>
      <c r="B23" s="1">
        <f t="shared" si="1"/>
        <v>-7.2800000000000011</v>
      </c>
      <c r="C23" s="1">
        <f t="shared" si="2"/>
        <v>13</v>
      </c>
      <c r="D23" s="1">
        <f t="shared" si="3"/>
        <v>3</v>
      </c>
      <c r="E23" s="1">
        <f t="shared" si="4"/>
        <v>16</v>
      </c>
    </row>
    <row r="24" spans="1:5" s="1" customFormat="1" x14ac:dyDescent="0.25">
      <c r="A24" s="1">
        <f t="shared" si="0"/>
        <v>175</v>
      </c>
      <c r="B24" s="1">
        <f t="shared" si="1"/>
        <v>-2.2800000000000011</v>
      </c>
      <c r="C24" s="1">
        <f t="shared" si="2"/>
        <v>13</v>
      </c>
      <c r="D24" s="1">
        <f t="shared" si="3"/>
        <v>8</v>
      </c>
      <c r="E24" s="1">
        <f t="shared" si="4"/>
        <v>21</v>
      </c>
    </row>
    <row r="25" spans="1:5" s="1" customFormat="1" x14ac:dyDescent="0.25">
      <c r="A25" s="1">
        <f t="shared" si="0"/>
        <v>180</v>
      </c>
      <c r="B25" s="1">
        <f t="shared" si="1"/>
        <v>2.7199999999999989</v>
      </c>
      <c r="C25" s="1">
        <f t="shared" si="2"/>
        <v>8</v>
      </c>
      <c r="D25" s="1">
        <f t="shared" si="3"/>
        <v>13</v>
      </c>
      <c r="E25" s="1">
        <f t="shared" si="4"/>
        <v>21</v>
      </c>
    </row>
    <row r="26" spans="1:5" s="1" customFormat="1" x14ac:dyDescent="0.25">
      <c r="A26" s="1">
        <f t="shared" si="0"/>
        <v>185</v>
      </c>
      <c r="B26" s="1">
        <f t="shared" si="1"/>
        <v>7.7199999999999989</v>
      </c>
      <c r="C26" s="1">
        <f t="shared" si="2"/>
        <v>3</v>
      </c>
      <c r="D26" s="1">
        <f t="shared" si="3"/>
        <v>13</v>
      </c>
      <c r="E26" s="1">
        <f t="shared" si="4"/>
        <v>16</v>
      </c>
    </row>
    <row r="27" spans="1:5" s="1" customFormat="1" x14ac:dyDescent="0.25">
      <c r="A27" s="1">
        <f t="shared" si="0"/>
        <v>190</v>
      </c>
      <c r="B27" s="1">
        <f t="shared" si="1"/>
        <v>12.719999999999999</v>
      </c>
      <c r="C27" s="1">
        <f t="shared" si="2"/>
        <v>-2</v>
      </c>
      <c r="D27" s="1">
        <f t="shared" si="3"/>
        <v>13</v>
      </c>
      <c r="E27" s="1">
        <f t="shared" si="4"/>
        <v>11</v>
      </c>
    </row>
    <row r="28" spans="1:5" s="1" customFormat="1" x14ac:dyDescent="0.25">
      <c r="A28" s="1">
        <f t="shared" si="0"/>
        <v>195</v>
      </c>
      <c r="B28" s="1">
        <f t="shared" si="1"/>
        <v>17.72</v>
      </c>
      <c r="C28" s="1">
        <f t="shared" si="2"/>
        <v>-7</v>
      </c>
      <c r="D28" s="1">
        <f t="shared" si="3"/>
        <v>13</v>
      </c>
      <c r="E28" s="1">
        <f t="shared" si="4"/>
        <v>6</v>
      </c>
    </row>
    <row r="29" spans="1:5" s="1" customFormat="1" x14ac:dyDescent="0.25">
      <c r="A29" s="1">
        <f t="shared" si="0"/>
        <v>200</v>
      </c>
      <c r="B29" s="1">
        <f t="shared" si="1"/>
        <v>22.72</v>
      </c>
      <c r="C29" s="1">
        <f t="shared" si="2"/>
        <v>-12</v>
      </c>
      <c r="D29" s="1">
        <f t="shared" si="3"/>
        <v>13</v>
      </c>
      <c r="E29" s="1">
        <f t="shared" si="4"/>
        <v>1</v>
      </c>
    </row>
    <row r="30" spans="1:5" s="1" customFormat="1" x14ac:dyDescent="0.25">
      <c r="A30" s="1">
        <f t="shared" si="0"/>
        <v>205</v>
      </c>
      <c r="B30" s="1">
        <f t="shared" si="1"/>
        <v>27.72</v>
      </c>
      <c r="C30" s="1">
        <f t="shared" si="2"/>
        <v>-17</v>
      </c>
      <c r="D30" s="1">
        <f t="shared" si="3"/>
        <v>13</v>
      </c>
      <c r="E30" s="1">
        <f t="shared" si="4"/>
        <v>-4</v>
      </c>
    </row>
    <row r="31" spans="1:5" s="1" customFormat="1" x14ac:dyDescent="0.25">
      <c r="A31" s="1">
        <f t="shared" si="0"/>
        <v>210</v>
      </c>
      <c r="B31" s="1">
        <f t="shared" si="1"/>
        <v>32.72</v>
      </c>
      <c r="C31" s="1">
        <f t="shared" si="2"/>
        <v>-22</v>
      </c>
      <c r="D31" s="1">
        <f t="shared" si="3"/>
        <v>13</v>
      </c>
      <c r="E31" s="1">
        <f t="shared" si="4"/>
        <v>-9</v>
      </c>
    </row>
    <row r="32" spans="1:5" s="1" customFormat="1" x14ac:dyDescent="0.25">
      <c r="A32" s="1">
        <f t="shared" si="0"/>
        <v>215</v>
      </c>
      <c r="B32" s="1">
        <f t="shared" si="1"/>
        <v>37.72</v>
      </c>
      <c r="C32" s="1">
        <f t="shared" si="2"/>
        <v>-27</v>
      </c>
      <c r="D32" s="1">
        <f t="shared" si="3"/>
        <v>13</v>
      </c>
      <c r="E32" s="1">
        <f t="shared" si="4"/>
        <v>-14</v>
      </c>
    </row>
    <row r="33" s="1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E36"/>
  <sheetViews>
    <sheetView workbookViewId="0"/>
  </sheetViews>
  <sheetFormatPr defaultRowHeight="15" x14ac:dyDescent="0.25"/>
  <cols>
    <col min="1" max="1" width="20.7109375" customWidth="1"/>
    <col min="2" max="5" width="14.7109375" customWidth="1"/>
  </cols>
  <sheetData>
    <row r="1" spans="1:5" x14ac:dyDescent="0.25">
      <c r="A1" s="11" t="s">
        <v>28</v>
      </c>
      <c r="B1" s="7" t="s">
        <v>36</v>
      </c>
    </row>
    <row r="3" spans="1:5" x14ac:dyDescent="0.25">
      <c r="A3" s="10" t="s">
        <v>1</v>
      </c>
      <c r="B3" s="1">
        <v>403.33</v>
      </c>
    </row>
    <row r="4" spans="1:5" x14ac:dyDescent="0.25">
      <c r="C4" s="6" t="s">
        <v>30</v>
      </c>
    </row>
    <row r="5" spans="1:5" x14ac:dyDescent="0.25">
      <c r="A5" s="10" t="s">
        <v>3</v>
      </c>
      <c r="B5" s="1">
        <v>410</v>
      </c>
      <c r="C5" s="1">
        <v>8.6999999999999993</v>
      </c>
      <c r="D5" s="3" t="s">
        <v>31</v>
      </c>
      <c r="E5" t="s">
        <v>34</v>
      </c>
    </row>
    <row r="6" spans="1:5" x14ac:dyDescent="0.25">
      <c r="A6" s="10"/>
      <c r="B6" s="1"/>
      <c r="C6" s="1"/>
    </row>
    <row r="7" spans="1:5" x14ac:dyDescent="0.25">
      <c r="A7" s="10" t="s">
        <v>4</v>
      </c>
      <c r="B7" s="12">
        <v>40544</v>
      </c>
    </row>
    <row r="10" spans="1:5" x14ac:dyDescent="0.25">
      <c r="A10" s="11" t="s">
        <v>7</v>
      </c>
    </row>
    <row r="13" spans="1:5" s="6" customFormat="1" x14ac:dyDescent="0.25">
      <c r="A13" s="6" t="s">
        <v>8</v>
      </c>
      <c r="B13" s="6" t="s">
        <v>29</v>
      </c>
      <c r="C13" s="6" t="s">
        <v>20</v>
      </c>
      <c r="D13" s="6" t="s">
        <v>38</v>
      </c>
    </row>
    <row r="14" spans="1:5" s="6" customFormat="1" x14ac:dyDescent="0.25">
      <c r="B14" s="6" t="s">
        <v>9</v>
      </c>
      <c r="C14" s="6" t="s">
        <v>5</v>
      </c>
      <c r="D14" s="6" t="s">
        <v>37</v>
      </c>
    </row>
    <row r="15" spans="1:5" s="1" customFormat="1" x14ac:dyDescent="0.25">
      <c r="A15" s="1">
        <v>350</v>
      </c>
      <c r="B15" s="1">
        <f>A15-$B$3</f>
        <v>-53.329999999999984</v>
      </c>
      <c r="C15" s="1">
        <f>MIN(0,$B$5-A15)+$C$5</f>
        <v>8.6999999999999993</v>
      </c>
      <c r="D15" s="1">
        <f>SUM(C15:C15)+B15</f>
        <v>-44.629999999999981</v>
      </c>
    </row>
    <row r="16" spans="1:5" s="1" customFormat="1" x14ac:dyDescent="0.25">
      <c r="A16" s="1">
        <f t="shared" ref="A16:A35" si="0">A15+5</f>
        <v>355</v>
      </c>
      <c r="B16" s="1">
        <f t="shared" ref="B16:B35" si="1">A16-$B$3</f>
        <v>-48.329999999999984</v>
      </c>
      <c r="C16" s="1">
        <f t="shared" ref="C16:C35" si="2">MIN(0,$B$5-A16)+$C$5</f>
        <v>8.6999999999999993</v>
      </c>
      <c r="D16" s="1">
        <f t="shared" ref="D16:D35" si="3">SUM(C16:C16)+B16</f>
        <v>-39.629999999999981</v>
      </c>
    </row>
    <row r="17" spans="1:4" s="1" customFormat="1" x14ac:dyDescent="0.25">
      <c r="A17" s="1">
        <f t="shared" si="0"/>
        <v>360</v>
      </c>
      <c r="B17" s="1">
        <f t="shared" si="1"/>
        <v>-43.329999999999984</v>
      </c>
      <c r="C17" s="1">
        <f t="shared" si="2"/>
        <v>8.6999999999999993</v>
      </c>
      <c r="D17" s="1">
        <f t="shared" si="3"/>
        <v>-34.629999999999981</v>
      </c>
    </row>
    <row r="18" spans="1:4" s="1" customFormat="1" x14ac:dyDescent="0.25">
      <c r="A18" s="1">
        <f t="shared" si="0"/>
        <v>365</v>
      </c>
      <c r="B18" s="1">
        <f t="shared" si="1"/>
        <v>-38.329999999999984</v>
      </c>
      <c r="C18" s="1">
        <f t="shared" si="2"/>
        <v>8.6999999999999993</v>
      </c>
      <c r="D18" s="1">
        <f t="shared" si="3"/>
        <v>-29.629999999999985</v>
      </c>
    </row>
    <row r="19" spans="1:4" s="1" customFormat="1" x14ac:dyDescent="0.25">
      <c r="A19" s="1">
        <f t="shared" si="0"/>
        <v>370</v>
      </c>
      <c r="B19" s="1">
        <f t="shared" si="1"/>
        <v>-33.329999999999984</v>
      </c>
      <c r="C19" s="1">
        <f t="shared" si="2"/>
        <v>8.6999999999999993</v>
      </c>
      <c r="D19" s="1">
        <f t="shared" si="3"/>
        <v>-24.629999999999985</v>
      </c>
    </row>
    <row r="20" spans="1:4" s="1" customFormat="1" x14ac:dyDescent="0.25">
      <c r="A20" s="1">
        <f t="shared" si="0"/>
        <v>375</v>
      </c>
      <c r="B20" s="1">
        <f t="shared" si="1"/>
        <v>-28.329999999999984</v>
      </c>
      <c r="C20" s="1">
        <f t="shared" si="2"/>
        <v>8.6999999999999993</v>
      </c>
      <c r="D20" s="1">
        <f t="shared" si="3"/>
        <v>-19.629999999999985</v>
      </c>
    </row>
    <row r="21" spans="1:4" s="1" customFormat="1" x14ac:dyDescent="0.25">
      <c r="A21" s="1">
        <f t="shared" si="0"/>
        <v>380</v>
      </c>
      <c r="B21" s="1">
        <f t="shared" si="1"/>
        <v>-23.329999999999984</v>
      </c>
      <c r="C21" s="1">
        <f t="shared" si="2"/>
        <v>8.6999999999999993</v>
      </c>
      <c r="D21" s="1">
        <f t="shared" si="3"/>
        <v>-14.629999999999985</v>
      </c>
    </row>
    <row r="22" spans="1:4" s="1" customFormat="1" x14ac:dyDescent="0.25">
      <c r="A22" s="1">
        <f t="shared" si="0"/>
        <v>385</v>
      </c>
      <c r="B22" s="1">
        <f t="shared" si="1"/>
        <v>-18.329999999999984</v>
      </c>
      <c r="C22" s="1">
        <f t="shared" si="2"/>
        <v>8.6999999999999993</v>
      </c>
      <c r="D22" s="1">
        <f t="shared" si="3"/>
        <v>-9.6299999999999848</v>
      </c>
    </row>
    <row r="23" spans="1:4" s="1" customFormat="1" x14ac:dyDescent="0.25">
      <c r="A23" s="1">
        <f t="shared" si="0"/>
        <v>390</v>
      </c>
      <c r="B23" s="1">
        <f t="shared" si="1"/>
        <v>-13.329999999999984</v>
      </c>
      <c r="C23" s="1">
        <f t="shared" si="2"/>
        <v>8.6999999999999993</v>
      </c>
      <c r="D23" s="1">
        <f t="shared" si="3"/>
        <v>-4.6299999999999848</v>
      </c>
    </row>
    <row r="24" spans="1:4" s="1" customFormat="1" x14ac:dyDescent="0.25">
      <c r="A24" s="1">
        <f t="shared" si="0"/>
        <v>395</v>
      </c>
      <c r="B24" s="1">
        <f t="shared" si="1"/>
        <v>-8.3299999999999841</v>
      </c>
      <c r="C24" s="1">
        <f t="shared" si="2"/>
        <v>8.6999999999999993</v>
      </c>
      <c r="D24" s="1">
        <f t="shared" si="3"/>
        <v>0.37000000000001521</v>
      </c>
    </row>
    <row r="25" spans="1:4" s="1" customFormat="1" x14ac:dyDescent="0.25">
      <c r="A25" s="1">
        <f t="shared" si="0"/>
        <v>400</v>
      </c>
      <c r="B25" s="1">
        <f t="shared" si="1"/>
        <v>-3.3299999999999841</v>
      </c>
      <c r="C25" s="1">
        <f t="shared" si="2"/>
        <v>8.6999999999999993</v>
      </c>
      <c r="D25" s="1">
        <f t="shared" si="3"/>
        <v>5.3700000000000152</v>
      </c>
    </row>
    <row r="26" spans="1:4" s="1" customFormat="1" x14ac:dyDescent="0.25">
      <c r="A26" s="1">
        <f t="shared" si="0"/>
        <v>405</v>
      </c>
      <c r="B26" s="1">
        <f t="shared" si="1"/>
        <v>1.6700000000000159</v>
      </c>
      <c r="C26" s="1">
        <f t="shared" si="2"/>
        <v>8.6999999999999993</v>
      </c>
      <c r="D26" s="1">
        <f t="shared" si="3"/>
        <v>10.370000000000015</v>
      </c>
    </row>
    <row r="27" spans="1:4" s="1" customFormat="1" x14ac:dyDescent="0.25">
      <c r="A27" s="1">
        <f t="shared" si="0"/>
        <v>410</v>
      </c>
      <c r="B27" s="1">
        <f t="shared" si="1"/>
        <v>6.6700000000000159</v>
      </c>
      <c r="C27" s="1">
        <f t="shared" si="2"/>
        <v>8.6999999999999993</v>
      </c>
      <c r="D27" s="1">
        <f t="shared" si="3"/>
        <v>15.370000000000015</v>
      </c>
    </row>
    <row r="28" spans="1:4" s="1" customFormat="1" x14ac:dyDescent="0.25">
      <c r="A28" s="1">
        <f t="shared" si="0"/>
        <v>415</v>
      </c>
      <c r="B28" s="1">
        <f t="shared" si="1"/>
        <v>11.670000000000016</v>
      </c>
      <c r="C28" s="1">
        <f t="shared" si="2"/>
        <v>3.6999999999999993</v>
      </c>
      <c r="D28" s="1">
        <f t="shared" si="3"/>
        <v>15.370000000000015</v>
      </c>
    </row>
    <row r="29" spans="1:4" s="1" customFormat="1" x14ac:dyDescent="0.25">
      <c r="A29" s="1">
        <f t="shared" si="0"/>
        <v>420</v>
      </c>
      <c r="B29" s="1">
        <f t="shared" si="1"/>
        <v>16.670000000000016</v>
      </c>
      <c r="C29" s="1">
        <f t="shared" si="2"/>
        <v>-1.3000000000000007</v>
      </c>
      <c r="D29" s="1">
        <f t="shared" si="3"/>
        <v>15.370000000000015</v>
      </c>
    </row>
    <row r="30" spans="1:4" s="1" customFormat="1" x14ac:dyDescent="0.25">
      <c r="A30" s="1">
        <f t="shared" si="0"/>
        <v>425</v>
      </c>
      <c r="B30" s="1">
        <f t="shared" si="1"/>
        <v>21.670000000000016</v>
      </c>
      <c r="C30" s="1">
        <f t="shared" si="2"/>
        <v>-6.3000000000000007</v>
      </c>
      <c r="D30" s="1">
        <f t="shared" si="3"/>
        <v>15.370000000000015</v>
      </c>
    </row>
    <row r="31" spans="1:4" s="1" customFormat="1" x14ac:dyDescent="0.25">
      <c r="A31" s="1">
        <f t="shared" si="0"/>
        <v>430</v>
      </c>
      <c r="B31" s="1">
        <f t="shared" si="1"/>
        <v>26.670000000000016</v>
      </c>
      <c r="C31" s="1">
        <f t="shared" si="2"/>
        <v>-11.3</v>
      </c>
      <c r="D31" s="1">
        <f t="shared" si="3"/>
        <v>15.370000000000015</v>
      </c>
    </row>
    <row r="32" spans="1:4" s="1" customFormat="1" x14ac:dyDescent="0.25">
      <c r="A32" s="1">
        <f t="shared" si="0"/>
        <v>435</v>
      </c>
      <c r="B32" s="1">
        <f t="shared" si="1"/>
        <v>31.670000000000016</v>
      </c>
      <c r="C32" s="1">
        <f t="shared" si="2"/>
        <v>-16.3</v>
      </c>
      <c r="D32" s="1">
        <f t="shared" si="3"/>
        <v>15.370000000000015</v>
      </c>
    </row>
    <row r="33" spans="1:4" s="1" customFormat="1" x14ac:dyDescent="0.25">
      <c r="A33" s="1">
        <f t="shared" si="0"/>
        <v>440</v>
      </c>
      <c r="B33" s="1">
        <f t="shared" si="1"/>
        <v>36.670000000000016</v>
      </c>
      <c r="C33" s="1">
        <f t="shared" si="2"/>
        <v>-21.3</v>
      </c>
      <c r="D33" s="1">
        <f t="shared" si="3"/>
        <v>15.370000000000015</v>
      </c>
    </row>
    <row r="34" spans="1:4" s="1" customFormat="1" x14ac:dyDescent="0.25">
      <c r="A34" s="1">
        <f t="shared" si="0"/>
        <v>445</v>
      </c>
      <c r="B34" s="1">
        <f t="shared" si="1"/>
        <v>41.670000000000016</v>
      </c>
      <c r="C34" s="1">
        <f t="shared" si="2"/>
        <v>-26.3</v>
      </c>
      <c r="D34" s="1">
        <f t="shared" si="3"/>
        <v>15.370000000000015</v>
      </c>
    </row>
    <row r="35" spans="1:4" s="1" customFormat="1" x14ac:dyDescent="0.25">
      <c r="A35" s="1">
        <f t="shared" si="0"/>
        <v>450</v>
      </c>
      <c r="B35" s="1">
        <f t="shared" si="1"/>
        <v>46.670000000000016</v>
      </c>
      <c r="C35" s="1">
        <f t="shared" si="2"/>
        <v>-31.3</v>
      </c>
      <c r="D35" s="1">
        <f t="shared" si="3"/>
        <v>15.370000000000015</v>
      </c>
    </row>
    <row r="36" spans="1:4" s="1" customForma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E57"/>
  <sheetViews>
    <sheetView workbookViewId="0"/>
  </sheetViews>
  <sheetFormatPr defaultRowHeight="15" x14ac:dyDescent="0.25"/>
  <cols>
    <col min="1" max="1" width="20.7109375" customWidth="1"/>
    <col min="2" max="6" width="14.7109375" customWidth="1"/>
  </cols>
  <sheetData>
    <row r="1" spans="1:5" x14ac:dyDescent="0.25">
      <c r="A1" s="11" t="s">
        <v>28</v>
      </c>
      <c r="B1" s="7" t="s">
        <v>0</v>
      </c>
    </row>
    <row r="3" spans="1:5" x14ac:dyDescent="0.25">
      <c r="A3" s="10" t="s">
        <v>1</v>
      </c>
      <c r="B3" s="1">
        <v>21.9</v>
      </c>
    </row>
    <row r="4" spans="1:5" x14ac:dyDescent="0.25">
      <c r="C4" s="6" t="s">
        <v>30</v>
      </c>
    </row>
    <row r="5" spans="1:5" x14ac:dyDescent="0.25">
      <c r="A5" s="10" t="s">
        <v>3</v>
      </c>
      <c r="B5" s="1">
        <v>21</v>
      </c>
      <c r="C5" s="1">
        <v>0.95</v>
      </c>
      <c r="D5" s="3" t="s">
        <v>32</v>
      </c>
      <c r="E5" t="s">
        <v>35</v>
      </c>
    </row>
    <row r="6" spans="1:5" x14ac:dyDescent="0.25">
      <c r="A6" s="10" t="s">
        <v>2</v>
      </c>
      <c r="B6" s="1">
        <v>19</v>
      </c>
      <c r="C6" s="1">
        <v>0.05</v>
      </c>
      <c r="D6" s="3" t="s">
        <v>33</v>
      </c>
      <c r="E6" t="s">
        <v>34</v>
      </c>
    </row>
    <row r="7" spans="1:5" x14ac:dyDescent="0.25">
      <c r="A7" s="10"/>
      <c r="B7" s="1"/>
      <c r="C7" s="1"/>
    </row>
    <row r="8" spans="1:5" x14ac:dyDescent="0.25">
      <c r="A8" s="10" t="s">
        <v>4</v>
      </c>
      <c r="B8" s="12">
        <v>40544</v>
      </c>
    </row>
    <row r="11" spans="1:5" x14ac:dyDescent="0.25">
      <c r="A11" s="11" t="s">
        <v>7</v>
      </c>
    </row>
    <row r="14" spans="1:5" s="6" customFormat="1" x14ac:dyDescent="0.25">
      <c r="A14" s="6" t="s">
        <v>8</v>
      </c>
      <c r="B14" s="6" t="s">
        <v>29</v>
      </c>
      <c r="C14" s="6" t="s">
        <v>10</v>
      </c>
      <c r="D14" s="6" t="s">
        <v>10</v>
      </c>
      <c r="E14" s="6" t="s">
        <v>38</v>
      </c>
    </row>
    <row r="15" spans="1:5" s="6" customFormat="1" x14ac:dyDescent="0.25">
      <c r="B15" s="6" t="s">
        <v>9</v>
      </c>
      <c r="C15" s="6" t="s">
        <v>5</v>
      </c>
      <c r="D15" s="6" t="s">
        <v>6</v>
      </c>
      <c r="E15" s="6" t="s">
        <v>37</v>
      </c>
    </row>
    <row r="16" spans="1:5" s="1" customFormat="1" x14ac:dyDescent="0.25">
      <c r="A16" s="1">
        <v>10</v>
      </c>
      <c r="B16" s="1">
        <f>A16-$B$3</f>
        <v>-11.899999999999999</v>
      </c>
      <c r="C16" s="1">
        <f>MAX(0,A16-$B$5)-$C$5</f>
        <v>-0.95</v>
      </c>
      <c r="D16" s="1">
        <f>MAX(0,$B$6-A16)-$C$6</f>
        <v>8.9499999999999993</v>
      </c>
      <c r="E16" s="1">
        <f>SUM(C16:D16)</f>
        <v>7.9999999999999991</v>
      </c>
    </row>
    <row r="17" spans="1:5" s="1" customFormat="1" x14ac:dyDescent="0.25">
      <c r="A17" s="1">
        <f t="shared" ref="A17:A56" si="0">A16+0.5</f>
        <v>10.5</v>
      </c>
      <c r="B17" s="1">
        <f t="shared" ref="B17:B56" si="1">A17-$B$3</f>
        <v>-11.399999999999999</v>
      </c>
      <c r="C17" s="1">
        <f t="shared" ref="C17:C56" si="2">MAX(0,A17-$B$5)-$C$5</f>
        <v>-0.95</v>
      </c>
      <c r="D17" s="1">
        <f t="shared" ref="D17:D56" si="3">MAX(0,$B$6-A17)-$C$6</f>
        <v>8.4499999999999993</v>
      </c>
      <c r="E17" s="1">
        <f t="shared" ref="E17:E56" si="4">SUM(C17:D17)</f>
        <v>7.4999999999999991</v>
      </c>
    </row>
    <row r="18" spans="1:5" s="1" customFormat="1" x14ac:dyDescent="0.25">
      <c r="A18" s="1">
        <f t="shared" si="0"/>
        <v>11</v>
      </c>
      <c r="B18" s="1">
        <f t="shared" si="1"/>
        <v>-10.899999999999999</v>
      </c>
      <c r="C18" s="1">
        <f t="shared" si="2"/>
        <v>-0.95</v>
      </c>
      <c r="D18" s="1">
        <f t="shared" si="3"/>
        <v>7.95</v>
      </c>
      <c r="E18" s="1">
        <f t="shared" si="4"/>
        <v>7</v>
      </c>
    </row>
    <row r="19" spans="1:5" s="1" customFormat="1" x14ac:dyDescent="0.25">
      <c r="A19" s="1">
        <f t="shared" si="0"/>
        <v>11.5</v>
      </c>
      <c r="B19" s="1">
        <f t="shared" si="1"/>
        <v>-10.399999999999999</v>
      </c>
      <c r="C19" s="1">
        <f t="shared" si="2"/>
        <v>-0.95</v>
      </c>
      <c r="D19" s="1">
        <f t="shared" si="3"/>
        <v>7.45</v>
      </c>
      <c r="E19" s="1">
        <f t="shared" si="4"/>
        <v>6.5</v>
      </c>
    </row>
    <row r="20" spans="1:5" s="1" customFormat="1" x14ac:dyDescent="0.25">
      <c r="A20" s="1">
        <f t="shared" si="0"/>
        <v>12</v>
      </c>
      <c r="B20" s="1">
        <f t="shared" si="1"/>
        <v>-9.8999999999999986</v>
      </c>
      <c r="C20" s="1">
        <f t="shared" si="2"/>
        <v>-0.95</v>
      </c>
      <c r="D20" s="1">
        <f t="shared" si="3"/>
        <v>6.95</v>
      </c>
      <c r="E20" s="1">
        <f t="shared" si="4"/>
        <v>6</v>
      </c>
    </row>
    <row r="21" spans="1:5" s="1" customFormat="1" x14ac:dyDescent="0.25">
      <c r="A21" s="1">
        <f t="shared" si="0"/>
        <v>12.5</v>
      </c>
      <c r="B21" s="1">
        <f t="shared" si="1"/>
        <v>-9.3999999999999986</v>
      </c>
      <c r="C21" s="1">
        <f t="shared" si="2"/>
        <v>-0.95</v>
      </c>
      <c r="D21" s="1">
        <f t="shared" si="3"/>
        <v>6.45</v>
      </c>
      <c r="E21" s="1">
        <f t="shared" si="4"/>
        <v>5.5</v>
      </c>
    </row>
    <row r="22" spans="1:5" s="1" customFormat="1" x14ac:dyDescent="0.25">
      <c r="A22" s="1">
        <f t="shared" si="0"/>
        <v>13</v>
      </c>
      <c r="B22" s="1">
        <f t="shared" si="1"/>
        <v>-8.8999999999999986</v>
      </c>
      <c r="C22" s="1">
        <f t="shared" si="2"/>
        <v>-0.95</v>
      </c>
      <c r="D22" s="1">
        <f t="shared" si="3"/>
        <v>5.95</v>
      </c>
      <c r="E22" s="1">
        <f t="shared" si="4"/>
        <v>5</v>
      </c>
    </row>
    <row r="23" spans="1:5" s="1" customFormat="1" x14ac:dyDescent="0.25">
      <c r="A23" s="1">
        <f t="shared" si="0"/>
        <v>13.5</v>
      </c>
      <c r="B23" s="1">
        <f t="shared" si="1"/>
        <v>-8.3999999999999986</v>
      </c>
      <c r="C23" s="1">
        <f t="shared" si="2"/>
        <v>-0.95</v>
      </c>
      <c r="D23" s="1">
        <f t="shared" si="3"/>
        <v>5.45</v>
      </c>
      <c r="E23" s="1">
        <f t="shared" si="4"/>
        <v>4.5</v>
      </c>
    </row>
    <row r="24" spans="1:5" s="1" customFormat="1" x14ac:dyDescent="0.25">
      <c r="A24" s="1">
        <f t="shared" si="0"/>
        <v>14</v>
      </c>
      <c r="B24" s="1">
        <f t="shared" si="1"/>
        <v>-7.8999999999999986</v>
      </c>
      <c r="C24" s="1">
        <f t="shared" si="2"/>
        <v>-0.95</v>
      </c>
      <c r="D24" s="1">
        <f t="shared" si="3"/>
        <v>4.95</v>
      </c>
      <c r="E24" s="1">
        <f t="shared" si="4"/>
        <v>4</v>
      </c>
    </row>
    <row r="25" spans="1:5" s="1" customFormat="1" x14ac:dyDescent="0.25">
      <c r="A25" s="1">
        <f t="shared" si="0"/>
        <v>14.5</v>
      </c>
      <c r="B25" s="1">
        <f t="shared" si="1"/>
        <v>-7.3999999999999986</v>
      </c>
      <c r="C25" s="1">
        <f t="shared" si="2"/>
        <v>-0.95</v>
      </c>
      <c r="D25" s="1">
        <f t="shared" si="3"/>
        <v>4.45</v>
      </c>
      <c r="E25" s="1">
        <f t="shared" si="4"/>
        <v>3.5</v>
      </c>
    </row>
    <row r="26" spans="1:5" s="1" customFormat="1" x14ac:dyDescent="0.25">
      <c r="A26" s="1">
        <f t="shared" si="0"/>
        <v>15</v>
      </c>
      <c r="B26" s="1">
        <f t="shared" si="1"/>
        <v>-6.8999999999999986</v>
      </c>
      <c r="C26" s="1">
        <f t="shared" si="2"/>
        <v>-0.95</v>
      </c>
      <c r="D26" s="1">
        <f t="shared" si="3"/>
        <v>3.95</v>
      </c>
      <c r="E26" s="1">
        <f t="shared" si="4"/>
        <v>3</v>
      </c>
    </row>
    <row r="27" spans="1:5" s="1" customFormat="1" x14ac:dyDescent="0.25">
      <c r="A27" s="1">
        <f t="shared" si="0"/>
        <v>15.5</v>
      </c>
      <c r="B27" s="1">
        <f t="shared" si="1"/>
        <v>-6.3999999999999986</v>
      </c>
      <c r="C27" s="1">
        <f t="shared" si="2"/>
        <v>-0.95</v>
      </c>
      <c r="D27" s="1">
        <f t="shared" si="3"/>
        <v>3.45</v>
      </c>
      <c r="E27" s="1">
        <f t="shared" si="4"/>
        <v>2.5</v>
      </c>
    </row>
    <row r="28" spans="1:5" s="1" customFormat="1" x14ac:dyDescent="0.25">
      <c r="A28" s="1">
        <f t="shared" si="0"/>
        <v>16</v>
      </c>
      <c r="B28" s="1">
        <f t="shared" si="1"/>
        <v>-5.8999999999999986</v>
      </c>
      <c r="C28" s="1">
        <f t="shared" si="2"/>
        <v>-0.95</v>
      </c>
      <c r="D28" s="1">
        <f t="shared" si="3"/>
        <v>2.95</v>
      </c>
      <c r="E28" s="1">
        <f t="shared" si="4"/>
        <v>2</v>
      </c>
    </row>
    <row r="29" spans="1:5" s="1" customFormat="1" x14ac:dyDescent="0.25">
      <c r="A29" s="1">
        <f t="shared" si="0"/>
        <v>16.5</v>
      </c>
      <c r="B29" s="1">
        <f t="shared" si="1"/>
        <v>-5.3999999999999986</v>
      </c>
      <c r="C29" s="1">
        <f t="shared" si="2"/>
        <v>-0.95</v>
      </c>
      <c r="D29" s="1">
        <f t="shared" si="3"/>
        <v>2.4500000000000002</v>
      </c>
      <c r="E29" s="1">
        <f t="shared" si="4"/>
        <v>1.5000000000000002</v>
      </c>
    </row>
    <row r="30" spans="1:5" s="1" customFormat="1" x14ac:dyDescent="0.25">
      <c r="A30" s="1">
        <f t="shared" si="0"/>
        <v>17</v>
      </c>
      <c r="B30" s="1">
        <f t="shared" si="1"/>
        <v>-4.8999999999999986</v>
      </c>
      <c r="C30" s="1">
        <f t="shared" si="2"/>
        <v>-0.95</v>
      </c>
      <c r="D30" s="1">
        <f t="shared" si="3"/>
        <v>1.95</v>
      </c>
      <c r="E30" s="1">
        <f t="shared" si="4"/>
        <v>1</v>
      </c>
    </row>
    <row r="31" spans="1:5" s="1" customFormat="1" x14ac:dyDescent="0.25">
      <c r="A31" s="1">
        <f t="shared" si="0"/>
        <v>17.5</v>
      </c>
      <c r="B31" s="1">
        <f t="shared" si="1"/>
        <v>-4.3999999999999986</v>
      </c>
      <c r="C31" s="1">
        <f t="shared" si="2"/>
        <v>-0.95</v>
      </c>
      <c r="D31" s="1">
        <f t="shared" si="3"/>
        <v>1.45</v>
      </c>
      <c r="E31" s="1">
        <f t="shared" si="4"/>
        <v>0.5</v>
      </c>
    </row>
    <row r="32" spans="1:5" s="1" customFormat="1" x14ac:dyDescent="0.25">
      <c r="A32" s="1">
        <f t="shared" si="0"/>
        <v>18</v>
      </c>
      <c r="B32" s="1">
        <f t="shared" si="1"/>
        <v>-3.8999999999999986</v>
      </c>
      <c r="C32" s="1">
        <f t="shared" si="2"/>
        <v>-0.95</v>
      </c>
      <c r="D32" s="1">
        <f t="shared" si="3"/>
        <v>0.95</v>
      </c>
      <c r="E32" s="1">
        <f t="shared" si="4"/>
        <v>0</v>
      </c>
    </row>
    <row r="33" spans="1:5" s="1" customFormat="1" x14ac:dyDescent="0.25">
      <c r="A33" s="1">
        <f t="shared" si="0"/>
        <v>18.5</v>
      </c>
      <c r="B33" s="1">
        <f t="shared" si="1"/>
        <v>-3.3999999999999986</v>
      </c>
      <c r="C33" s="1">
        <f t="shared" si="2"/>
        <v>-0.95</v>
      </c>
      <c r="D33" s="1">
        <f t="shared" si="3"/>
        <v>0.45</v>
      </c>
      <c r="E33" s="1">
        <f t="shared" si="4"/>
        <v>-0.49999999999999994</v>
      </c>
    </row>
    <row r="34" spans="1:5" s="1" customFormat="1" x14ac:dyDescent="0.25">
      <c r="A34" s="1">
        <f t="shared" si="0"/>
        <v>19</v>
      </c>
      <c r="B34" s="1">
        <f t="shared" si="1"/>
        <v>-2.8999999999999986</v>
      </c>
      <c r="C34" s="1">
        <f t="shared" si="2"/>
        <v>-0.95</v>
      </c>
      <c r="D34" s="1">
        <f t="shared" si="3"/>
        <v>-0.05</v>
      </c>
      <c r="E34" s="1">
        <f t="shared" si="4"/>
        <v>-1</v>
      </c>
    </row>
    <row r="35" spans="1:5" s="1" customFormat="1" x14ac:dyDescent="0.25">
      <c r="A35" s="1">
        <f t="shared" si="0"/>
        <v>19.5</v>
      </c>
      <c r="B35" s="1">
        <f t="shared" si="1"/>
        <v>-2.3999999999999986</v>
      </c>
      <c r="C35" s="1">
        <f t="shared" si="2"/>
        <v>-0.95</v>
      </c>
      <c r="D35" s="1">
        <f t="shared" si="3"/>
        <v>-0.05</v>
      </c>
      <c r="E35" s="1">
        <f t="shared" si="4"/>
        <v>-1</v>
      </c>
    </row>
    <row r="36" spans="1:5" s="1" customFormat="1" x14ac:dyDescent="0.25">
      <c r="A36" s="1">
        <f t="shared" si="0"/>
        <v>20</v>
      </c>
      <c r="B36" s="1">
        <f t="shared" si="1"/>
        <v>-1.8999999999999986</v>
      </c>
      <c r="C36" s="1">
        <f t="shared" si="2"/>
        <v>-0.95</v>
      </c>
      <c r="D36" s="1">
        <f t="shared" si="3"/>
        <v>-0.05</v>
      </c>
      <c r="E36" s="1">
        <f t="shared" si="4"/>
        <v>-1</v>
      </c>
    </row>
    <row r="37" spans="1:5" s="1" customFormat="1" x14ac:dyDescent="0.25">
      <c r="A37" s="1">
        <f t="shared" si="0"/>
        <v>20.5</v>
      </c>
      <c r="B37" s="1">
        <f t="shared" si="1"/>
        <v>-1.3999999999999986</v>
      </c>
      <c r="C37" s="1">
        <f t="shared" si="2"/>
        <v>-0.95</v>
      </c>
      <c r="D37" s="1">
        <f t="shared" si="3"/>
        <v>-0.05</v>
      </c>
      <c r="E37" s="1">
        <f t="shared" si="4"/>
        <v>-1</v>
      </c>
    </row>
    <row r="38" spans="1:5" s="1" customFormat="1" x14ac:dyDescent="0.25">
      <c r="A38" s="1">
        <f t="shared" si="0"/>
        <v>21</v>
      </c>
      <c r="B38" s="1">
        <f t="shared" si="1"/>
        <v>-0.89999999999999858</v>
      </c>
      <c r="C38" s="1">
        <f t="shared" si="2"/>
        <v>-0.95</v>
      </c>
      <c r="D38" s="1">
        <f t="shared" si="3"/>
        <v>-0.05</v>
      </c>
      <c r="E38" s="1">
        <f t="shared" si="4"/>
        <v>-1</v>
      </c>
    </row>
    <row r="39" spans="1:5" s="1" customFormat="1" x14ac:dyDescent="0.25">
      <c r="A39" s="1">
        <f t="shared" si="0"/>
        <v>21.5</v>
      </c>
      <c r="B39" s="1">
        <f t="shared" si="1"/>
        <v>-0.39999999999999858</v>
      </c>
      <c r="C39" s="1">
        <f t="shared" si="2"/>
        <v>-0.44999999999999996</v>
      </c>
      <c r="D39" s="1">
        <f t="shared" si="3"/>
        <v>-0.05</v>
      </c>
      <c r="E39" s="1">
        <f t="shared" si="4"/>
        <v>-0.49999999999999994</v>
      </c>
    </row>
    <row r="40" spans="1:5" s="1" customFormat="1" x14ac:dyDescent="0.25">
      <c r="A40" s="1">
        <f t="shared" si="0"/>
        <v>22</v>
      </c>
      <c r="B40" s="1">
        <f t="shared" si="1"/>
        <v>0.10000000000000142</v>
      </c>
      <c r="C40" s="1">
        <f t="shared" si="2"/>
        <v>5.0000000000000044E-2</v>
      </c>
      <c r="D40" s="1">
        <f t="shared" si="3"/>
        <v>-0.05</v>
      </c>
      <c r="E40" s="1">
        <f t="shared" si="4"/>
        <v>0</v>
      </c>
    </row>
    <row r="41" spans="1:5" s="1" customFormat="1" x14ac:dyDescent="0.25">
      <c r="A41" s="1">
        <f t="shared" si="0"/>
        <v>22.5</v>
      </c>
      <c r="B41" s="1">
        <f t="shared" si="1"/>
        <v>0.60000000000000142</v>
      </c>
      <c r="C41" s="1">
        <f t="shared" si="2"/>
        <v>0.55000000000000004</v>
      </c>
      <c r="D41" s="1">
        <f t="shared" si="3"/>
        <v>-0.05</v>
      </c>
      <c r="E41" s="1">
        <f t="shared" si="4"/>
        <v>0.5</v>
      </c>
    </row>
    <row r="42" spans="1:5" s="1" customFormat="1" x14ac:dyDescent="0.25">
      <c r="A42" s="1">
        <f t="shared" si="0"/>
        <v>23</v>
      </c>
      <c r="B42" s="1">
        <f t="shared" si="1"/>
        <v>1.1000000000000014</v>
      </c>
      <c r="C42" s="1">
        <f t="shared" si="2"/>
        <v>1.05</v>
      </c>
      <c r="D42" s="1">
        <f t="shared" si="3"/>
        <v>-0.05</v>
      </c>
      <c r="E42" s="1">
        <f t="shared" si="4"/>
        <v>1</v>
      </c>
    </row>
    <row r="43" spans="1:5" s="1" customFormat="1" x14ac:dyDescent="0.25">
      <c r="A43" s="1">
        <f t="shared" si="0"/>
        <v>23.5</v>
      </c>
      <c r="B43" s="1">
        <f t="shared" si="1"/>
        <v>1.6000000000000014</v>
      </c>
      <c r="C43" s="1">
        <f t="shared" si="2"/>
        <v>1.55</v>
      </c>
      <c r="D43" s="1">
        <f t="shared" si="3"/>
        <v>-0.05</v>
      </c>
      <c r="E43" s="1">
        <f t="shared" si="4"/>
        <v>1.5</v>
      </c>
    </row>
    <row r="44" spans="1:5" s="1" customFormat="1" x14ac:dyDescent="0.25">
      <c r="A44" s="1">
        <f t="shared" si="0"/>
        <v>24</v>
      </c>
      <c r="B44" s="1">
        <f t="shared" si="1"/>
        <v>2.1000000000000014</v>
      </c>
      <c r="C44" s="1">
        <f t="shared" si="2"/>
        <v>2.0499999999999998</v>
      </c>
      <c r="D44" s="1">
        <f t="shared" si="3"/>
        <v>-0.05</v>
      </c>
      <c r="E44" s="1">
        <f t="shared" si="4"/>
        <v>1.9999999999999998</v>
      </c>
    </row>
    <row r="45" spans="1:5" s="1" customFormat="1" x14ac:dyDescent="0.25">
      <c r="A45" s="1">
        <f t="shared" si="0"/>
        <v>24.5</v>
      </c>
      <c r="B45" s="1">
        <f t="shared" si="1"/>
        <v>2.6000000000000014</v>
      </c>
      <c r="C45" s="1">
        <f t="shared" si="2"/>
        <v>2.5499999999999998</v>
      </c>
      <c r="D45" s="1">
        <f t="shared" si="3"/>
        <v>-0.05</v>
      </c>
      <c r="E45" s="1">
        <f t="shared" si="4"/>
        <v>2.5</v>
      </c>
    </row>
    <row r="46" spans="1:5" s="1" customFormat="1" x14ac:dyDescent="0.25">
      <c r="A46" s="1">
        <f t="shared" si="0"/>
        <v>25</v>
      </c>
      <c r="B46" s="1">
        <f t="shared" si="1"/>
        <v>3.1000000000000014</v>
      </c>
      <c r="C46" s="1">
        <f t="shared" si="2"/>
        <v>3.05</v>
      </c>
      <c r="D46" s="1">
        <f t="shared" si="3"/>
        <v>-0.05</v>
      </c>
      <c r="E46" s="1">
        <f t="shared" si="4"/>
        <v>3</v>
      </c>
    </row>
    <row r="47" spans="1:5" s="1" customFormat="1" x14ac:dyDescent="0.25">
      <c r="A47" s="1">
        <f t="shared" si="0"/>
        <v>25.5</v>
      </c>
      <c r="B47" s="1">
        <f t="shared" si="1"/>
        <v>3.6000000000000014</v>
      </c>
      <c r="C47" s="1">
        <f t="shared" si="2"/>
        <v>3.55</v>
      </c>
      <c r="D47" s="1">
        <f t="shared" si="3"/>
        <v>-0.05</v>
      </c>
      <c r="E47" s="1">
        <f t="shared" si="4"/>
        <v>3.5</v>
      </c>
    </row>
    <row r="48" spans="1:5" s="1" customFormat="1" x14ac:dyDescent="0.25">
      <c r="A48" s="1">
        <f t="shared" si="0"/>
        <v>26</v>
      </c>
      <c r="B48" s="1">
        <f t="shared" si="1"/>
        <v>4.1000000000000014</v>
      </c>
      <c r="C48" s="1">
        <f t="shared" si="2"/>
        <v>4.05</v>
      </c>
      <c r="D48" s="1">
        <f t="shared" si="3"/>
        <v>-0.05</v>
      </c>
      <c r="E48" s="1">
        <f t="shared" si="4"/>
        <v>4</v>
      </c>
    </row>
    <row r="49" spans="1:5" s="1" customFormat="1" x14ac:dyDescent="0.25">
      <c r="A49" s="1">
        <f t="shared" si="0"/>
        <v>26.5</v>
      </c>
      <c r="B49" s="1">
        <f t="shared" si="1"/>
        <v>4.6000000000000014</v>
      </c>
      <c r="C49" s="1">
        <f t="shared" si="2"/>
        <v>4.55</v>
      </c>
      <c r="D49" s="1">
        <f t="shared" si="3"/>
        <v>-0.05</v>
      </c>
      <c r="E49" s="1">
        <f t="shared" si="4"/>
        <v>4.5</v>
      </c>
    </row>
    <row r="50" spans="1:5" s="1" customFormat="1" x14ac:dyDescent="0.25">
      <c r="A50" s="1">
        <f t="shared" si="0"/>
        <v>27</v>
      </c>
      <c r="B50" s="1">
        <f t="shared" si="1"/>
        <v>5.1000000000000014</v>
      </c>
      <c r="C50" s="1">
        <f t="shared" si="2"/>
        <v>5.05</v>
      </c>
      <c r="D50" s="1">
        <f t="shared" si="3"/>
        <v>-0.05</v>
      </c>
      <c r="E50" s="1">
        <f t="shared" si="4"/>
        <v>5</v>
      </c>
    </row>
    <row r="51" spans="1:5" s="1" customFormat="1" x14ac:dyDescent="0.25">
      <c r="A51" s="1">
        <f t="shared" si="0"/>
        <v>27.5</v>
      </c>
      <c r="B51" s="1">
        <f t="shared" si="1"/>
        <v>5.6000000000000014</v>
      </c>
      <c r="C51" s="1">
        <f t="shared" si="2"/>
        <v>5.55</v>
      </c>
      <c r="D51" s="1">
        <f t="shared" si="3"/>
        <v>-0.05</v>
      </c>
      <c r="E51" s="1">
        <f t="shared" si="4"/>
        <v>5.5</v>
      </c>
    </row>
    <row r="52" spans="1:5" s="1" customFormat="1" x14ac:dyDescent="0.25">
      <c r="A52" s="1">
        <f t="shared" si="0"/>
        <v>28</v>
      </c>
      <c r="B52" s="1">
        <f t="shared" si="1"/>
        <v>6.1000000000000014</v>
      </c>
      <c r="C52" s="1">
        <f t="shared" si="2"/>
        <v>6.05</v>
      </c>
      <c r="D52" s="1">
        <f t="shared" si="3"/>
        <v>-0.05</v>
      </c>
      <c r="E52" s="1">
        <f t="shared" si="4"/>
        <v>6</v>
      </c>
    </row>
    <row r="53" spans="1:5" s="1" customFormat="1" x14ac:dyDescent="0.25">
      <c r="A53" s="1">
        <f t="shared" si="0"/>
        <v>28.5</v>
      </c>
      <c r="B53" s="1">
        <f t="shared" si="1"/>
        <v>6.6000000000000014</v>
      </c>
      <c r="C53" s="1">
        <f t="shared" si="2"/>
        <v>6.55</v>
      </c>
      <c r="D53" s="1">
        <f t="shared" si="3"/>
        <v>-0.05</v>
      </c>
      <c r="E53" s="1">
        <f t="shared" si="4"/>
        <v>6.5</v>
      </c>
    </row>
    <row r="54" spans="1:5" s="1" customFormat="1" x14ac:dyDescent="0.25">
      <c r="A54" s="1">
        <f t="shared" si="0"/>
        <v>29</v>
      </c>
      <c r="B54" s="1">
        <f t="shared" si="1"/>
        <v>7.1000000000000014</v>
      </c>
      <c r="C54" s="1">
        <f t="shared" si="2"/>
        <v>7.05</v>
      </c>
      <c r="D54" s="1">
        <f t="shared" si="3"/>
        <v>-0.05</v>
      </c>
      <c r="E54" s="1">
        <f t="shared" si="4"/>
        <v>7</v>
      </c>
    </row>
    <row r="55" spans="1:5" s="1" customFormat="1" x14ac:dyDescent="0.25">
      <c r="A55" s="1">
        <f t="shared" si="0"/>
        <v>29.5</v>
      </c>
      <c r="B55" s="1">
        <f t="shared" si="1"/>
        <v>7.6000000000000014</v>
      </c>
      <c r="C55" s="1">
        <f t="shared" si="2"/>
        <v>7.55</v>
      </c>
      <c r="D55" s="1">
        <f t="shared" si="3"/>
        <v>-0.05</v>
      </c>
      <c r="E55" s="1">
        <f t="shared" si="4"/>
        <v>7.5</v>
      </c>
    </row>
    <row r="56" spans="1:5" s="1" customFormat="1" x14ac:dyDescent="0.25">
      <c r="A56" s="1">
        <f t="shared" si="0"/>
        <v>30</v>
      </c>
      <c r="B56" s="1">
        <f t="shared" si="1"/>
        <v>8.1000000000000014</v>
      </c>
      <c r="C56" s="1">
        <f t="shared" si="2"/>
        <v>8.0500000000000007</v>
      </c>
      <c r="D56" s="1">
        <f t="shared" si="3"/>
        <v>-0.05</v>
      </c>
      <c r="E56" s="1">
        <f t="shared" si="4"/>
        <v>8</v>
      </c>
    </row>
    <row r="57" spans="1:5" s="1" customForma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6"/>
  <sheetViews>
    <sheetView workbookViewId="0"/>
  </sheetViews>
  <sheetFormatPr defaultRowHeight="15" x14ac:dyDescent="0.25"/>
  <cols>
    <col min="1" max="4" width="11.7109375" customWidth="1"/>
  </cols>
  <sheetData>
    <row r="1" spans="1:5" x14ac:dyDescent="0.25">
      <c r="A1" s="2" t="s">
        <v>11</v>
      </c>
    </row>
    <row r="2" spans="1:5" x14ac:dyDescent="0.25">
      <c r="A2" s="8" t="s">
        <v>12</v>
      </c>
      <c r="B2" s="8" t="s">
        <v>8</v>
      </c>
      <c r="C2" s="8" t="s">
        <v>13</v>
      </c>
      <c r="D2" s="8" t="s">
        <v>21</v>
      </c>
    </row>
    <row r="3" spans="1:5" x14ac:dyDescent="0.25">
      <c r="B3" s="1"/>
      <c r="C3" s="4"/>
    </row>
    <row r="4" spans="1:5" x14ac:dyDescent="0.25">
      <c r="A4" s="2" t="s">
        <v>24</v>
      </c>
    </row>
    <row r="5" spans="1:5" x14ac:dyDescent="0.25">
      <c r="A5" t="s">
        <v>25</v>
      </c>
      <c r="B5" t="s">
        <v>26</v>
      </c>
      <c r="C5" t="s">
        <v>27</v>
      </c>
    </row>
    <row r="6" spans="1:5" x14ac:dyDescent="0.25">
      <c r="B6" s="9"/>
    </row>
    <row r="8" spans="1:5" x14ac:dyDescent="0.25">
      <c r="A8" s="2" t="s">
        <v>14</v>
      </c>
      <c r="D8" t="s">
        <v>22</v>
      </c>
    </row>
    <row r="9" spans="1:5" x14ac:dyDescent="0.25">
      <c r="A9" t="s">
        <v>16</v>
      </c>
      <c r="B9" t="s">
        <v>17</v>
      </c>
      <c r="C9" t="s">
        <v>18</v>
      </c>
      <c r="D9" t="s">
        <v>19</v>
      </c>
      <c r="E9" t="s">
        <v>23</v>
      </c>
    </row>
    <row r="15" spans="1:5" x14ac:dyDescent="0.25">
      <c r="A15" s="2" t="s">
        <v>15</v>
      </c>
      <c r="B15">
        <f>COUNTA(A:A)-COUNTA(A1:A16)</f>
        <v>0</v>
      </c>
    </row>
    <row r="16" spans="1:5" x14ac:dyDescent="0.25">
      <c r="A16" t="s">
        <v>16</v>
      </c>
      <c r="B16" t="s">
        <v>17</v>
      </c>
      <c r="C16" t="s">
        <v>18</v>
      </c>
      <c r="D16" t="s">
        <v>19</v>
      </c>
      <c r="E1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7" baseType="lpstr">
      <vt:lpstr>Add New</vt:lpstr>
      <vt:lpstr>AMZN</vt:lpstr>
      <vt:lpstr>AAPL</vt:lpstr>
      <vt:lpstr>DUK</vt:lpstr>
      <vt:lpstr>Code Sheet</vt:lpstr>
      <vt:lpstr>Chart AMZN</vt:lpstr>
      <vt:lpstr>Chart AAPL</vt:lpstr>
      <vt:lpstr>Chart DUK</vt:lpstr>
      <vt:lpstr>AddEdit</vt:lpstr>
      <vt:lpstr>CallPut</vt:lpstr>
      <vt:lpstr>ChartIncrement</vt:lpstr>
      <vt:lpstr>ChartMax</vt:lpstr>
      <vt:lpstr>ChartMin</vt:lpstr>
      <vt:lpstr>Expiration</vt:lpstr>
      <vt:lpstr>ListNumber</vt:lpstr>
      <vt:lpstr>LongShort</vt:lpstr>
      <vt:lpstr>Premium</vt:lpstr>
      <vt:lpstr>SecuritiesCount</vt:lpstr>
      <vt:lpstr>Security</vt:lpstr>
      <vt:lpstr>SelectedCallPut</vt:lpstr>
      <vt:lpstr>SelectedListNumber</vt:lpstr>
      <vt:lpstr>SelectedLongShort</vt:lpstr>
      <vt:lpstr>SelectedPremium</vt:lpstr>
      <vt:lpstr>SelectedStrike</vt:lpstr>
      <vt:lpstr>StockPrice</vt:lpstr>
      <vt:lpstr>Strike</vt:lpstr>
      <vt:lpstr>Ticker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Mueller</dc:creator>
  <cp:lastModifiedBy>Zach Mueller</cp:lastModifiedBy>
  <dcterms:created xsi:type="dcterms:W3CDTF">2011-12-23T18:48:57Z</dcterms:created>
  <dcterms:modified xsi:type="dcterms:W3CDTF">2011-12-24T21:25:41Z</dcterms:modified>
</cp:coreProperties>
</file>